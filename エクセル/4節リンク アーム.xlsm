
<file path=[Content_Types].xml><?xml version="1.0" encoding="utf-8"?>
<Types xmlns="http://schemas.openxmlformats.org/package/2006/content-types"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binary" PartName="/xl/metadata"/>
  <Override ContentType="application/vnd.openxmlformats-officedocument.spreadsheetml.sharedStrings+xml" PartName="/xl/sharedStrings.xml"/>
  <Override ContentType="application/vnd.openxmlformats-officedocument.drawing+xml" PartName="/xl/drawings/drawing3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drawingml.chart+xml" PartName="/xl/charts/chart1.xml"/>
  <Override ContentType="application/vnd.openxmlformats-officedocument.drawingml.chart+xml" PartName="/xl/charts/chart3.xml"/>
  <Override ContentType="application/vnd.openxmlformats-officedocument.drawingml.chart+xml" PartName="/xl/charts/chart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/>
  <sheets>
    <sheet state="visible" name="入力・結果" sheetId="1" r:id="rId4"/>
    <sheet state="visible" name="演算" sheetId="2" r:id="rId5"/>
    <sheet state="visible" name="使用法" sheetId="3" r:id="rId6"/>
  </sheets>
  <definedNames/>
  <calcPr/>
  <extLst>
    <ext uri="GoogleSheetsCustomDataVersion1">
      <go:sheetsCustomData xmlns:go="http://customooxmlschemas.google.com/" r:id="rId7" roundtripDataSignature="AMtx7mhpZa4DDniWTUAbzy9XKgClEXjbeg=="/>
    </ext>
  </extLst>
</workbook>
</file>

<file path=xl/sharedStrings.xml><?xml version="1.0" encoding="utf-8"?>
<sst xmlns="http://schemas.openxmlformats.org/spreadsheetml/2006/main" count="127" uniqueCount="85">
  <si>
    <t>駆動リンク角度</t>
  </si>
  <si>
    <t>機構減速比</t>
  </si>
  <si>
    <t>出力【ｇ】</t>
  </si>
  <si>
    <t>落合先輩</t>
  </si>
  <si>
    <t>レミントン</t>
  </si>
  <si>
    <t>4節リンク設定</t>
  </si>
  <si>
    <t>出力設定</t>
  </si>
  <si>
    <t>↓イーグル6.62Ｖ　2200ｍＡ　35Ｃ×2</t>
  </si>
  <si>
    <t>固定節DA</t>
  </si>
  <si>
    <t>モーター個数</t>
  </si>
  <si>
    <t>角度を指定1</t>
  </si>
  <si>
    <t>モータ数</t>
  </si>
  <si>
    <t>最大トルク【ｇ・ｃｍ】</t>
  </si>
  <si>
    <t>駆動節AB</t>
  </si>
  <si>
    <t>最大トルク</t>
  </si>
  <si>
    <t>トルク</t>
  </si>
  <si>
    <t>揺動節BC</t>
  </si>
  <si>
    <t>入力トルク</t>
  </si>
  <si>
    <t>減速比</t>
  </si>
  <si>
    <t>従動節CD</t>
  </si>
  <si>
    <t>先端距離1</t>
  </si>
  <si>
    <t>初期角度α</t>
  </si>
  <si>
    <t>最終段トルク</t>
  </si>
  <si>
    <t>角度を指定2</t>
  </si>
  <si>
    <t>先端長さBE</t>
  </si>
  <si>
    <t>伝達効率</t>
  </si>
  <si>
    <t>先端角度Γ</t>
  </si>
  <si>
    <t>真円度</t>
  </si>
  <si>
    <t>駆動中心高さ</t>
  </si>
  <si>
    <t>3300角1</t>
  </si>
  <si>
    <t>先端距離2</t>
  </si>
  <si>
    <t>参考半径</t>
  </si>
  <si>
    <t>3300角2</t>
  </si>
  <si>
    <t>いいんじゃない？</t>
  </si>
  <si>
    <t>角度</t>
  </si>
  <si>
    <t>θ</t>
  </si>
  <si>
    <t>駆動ｘ</t>
  </si>
  <si>
    <t>駆動y</t>
  </si>
  <si>
    <t>β</t>
  </si>
  <si>
    <t>先端角</t>
  </si>
  <si>
    <t>先端ｘ</t>
  </si>
  <si>
    <t>先端ｙ</t>
  </si>
  <si>
    <t>距離</t>
  </si>
  <si>
    <t>真角度</t>
  </si>
  <si>
    <t>真ｘ</t>
  </si>
  <si>
    <t>真ｙ</t>
  </si>
  <si>
    <t>参考ｘ</t>
  </si>
  <si>
    <t>参考ｙ</t>
  </si>
  <si>
    <t>ψ</t>
  </si>
  <si>
    <t>角度変位</t>
  </si>
  <si>
    <t>出力トルク</t>
  </si>
  <si>
    <t>先端トルク</t>
  </si>
  <si>
    <t>a1</t>
  </si>
  <si>
    <t>a2</t>
  </si>
  <si>
    <t>a3</t>
  </si>
  <si>
    <t>a4</t>
  </si>
  <si>
    <t>赤：ＡＢ</t>
  </si>
  <si>
    <t>駆動節</t>
  </si>
  <si>
    <t>シアン：ＢＣ</t>
  </si>
  <si>
    <t>揺動節</t>
  </si>
  <si>
    <t>緑：ＣＤ</t>
  </si>
  <si>
    <t>従動節</t>
  </si>
  <si>
    <t>黄：ＤＡ</t>
  </si>
  <si>
    <t>固定節</t>
  </si>
  <si>
    <t>マゼンタ：ＢＥ</t>
  </si>
  <si>
    <t>アーム先端</t>
  </si>
  <si>
    <t>節の長さを入力</t>
  </si>
  <si>
    <t>角度を入力、図の矢印方向が正</t>
  </si>
  <si>
    <t>地面からＡ点までの高さを入力</t>
  </si>
  <si>
    <t>Ａ点を中心とした参考円の半径を入力</t>
  </si>
  <si>
    <t>使用するモーターの個数を入力</t>
  </si>
  <si>
    <t>Ｌ列のモーターの右のＭ列の値を入力</t>
  </si>
  <si>
    <t>モーターでのトルクが表示</t>
  </si>
  <si>
    <t>ギアで稼ぐ減速の値を入力</t>
  </si>
  <si>
    <t>最終段ギアまでで稼がれるトルクが表示</t>
  </si>
  <si>
    <t>0.66と入力、きつい条件で設定するなら0.6</t>
  </si>
  <si>
    <t>真円度が表示</t>
  </si>
  <si>
    <t>3.3kgが持ち上がる角度が表示</t>
  </si>
  <si>
    <t>攻撃に使うときのθの値を入力、矢印方向が正</t>
  </si>
  <si>
    <t>角度1での先端のトルクが表示</t>
  </si>
  <si>
    <t>角度1での先端の減速が表示</t>
  </si>
  <si>
    <t>角度1での先端までの距離が表示</t>
  </si>
  <si>
    <t>角度2での先端のトルクが表示</t>
  </si>
  <si>
    <t>角度2での先端の減速が表示</t>
  </si>
  <si>
    <t>角度2での先端までの距離が表示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</si>
</sst>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">
    <font>
      <sz val="11.0"/>
      <color theme="1"/>
      <name val="Arial"/>
    </font>
    <font>
      <color theme="1"/>
      <name val="Calibri"/>
    </font>
    <font>
      <sz val="11.0"/>
      <color theme="1"/>
      <name val="Calibri"/>
    </font>
    <font/>
    <font>
      <sz val="11.0"/>
      <color rgb="FF000000"/>
      <name val="Calibri"/>
    </font>
  </fonts>
  <fills count="6">
    <fill>
      <patternFill patternType="none"/>
    </fill>
    <fill>
      <patternFill patternType="lightGray"/>
    </fill>
    <fill>
      <patternFill patternType="solid">
        <fgColor rgb="FFD8D8D8"/>
        <bgColor rgb="FFD8D8D8"/>
      </patternFill>
    </fill>
    <fill>
      <patternFill patternType="solid">
        <fgColor rgb="FFFFC000"/>
        <bgColor rgb="FFFFC000"/>
      </patternFill>
    </fill>
    <fill>
      <patternFill patternType="solid">
        <fgColor rgb="FFFFFF00"/>
        <bgColor rgb="FFFFFF00"/>
      </patternFill>
    </fill>
    <fill>
      <patternFill patternType="solid">
        <fgColor rgb="FFD0CECE"/>
        <bgColor rgb="FFD0CECE"/>
      </patternFill>
    </fill>
  </fills>
  <borders count="29">
    <border/>
    <border>
      <left style="medium">
        <color rgb="FF000000"/>
      </left>
      <top style="medium">
        <color rgb="FF000000"/>
      </top>
      <bottom style="medium">
        <color rgb="FF000000"/>
      </bottom>
    </border>
    <border>
      <right style="medium">
        <color rgb="FF000000"/>
      </right>
      <top style="medium">
        <color rgb="FF000000"/>
      </top>
      <bottom style="medium">
        <color rgb="FF000000"/>
      </bottom>
    </border>
    <border>
      <bottom style="medium">
        <color rgb="FF000000"/>
      </bottom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</border>
    <border>
      <left style="thin">
        <color rgb="FF000000"/>
      </left>
      <right/>
      <top style="medium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</border>
    <border>
      <left style="medium">
        <color rgb="FF000000"/>
      </left>
      <top style="medium">
        <color rgb="FF000000"/>
      </top>
    </border>
    <border>
      <left/>
      <right style="medium">
        <color rgb="FF000000"/>
      </right>
      <top style="medium">
        <color rgb="FF000000"/>
      </top>
      <bottom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left style="thin">
        <color rgb="FF000000"/>
      </left>
      <right/>
      <top style="thin">
        <color rgb="FF000000"/>
      </top>
      <bottom style="thin">
        <color rgb="FF000000"/>
      </bottom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</border>
    <border>
      <right style="medium">
        <color rgb="FF000000"/>
      </right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</border>
    <border>
      <left/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bottom style="medium">
        <color rgb="FF000000"/>
      </bottom>
    </border>
    <border>
      <right style="medium">
        <color rgb="FF000000"/>
      </right>
      <bottom style="medium">
        <color rgb="FF000000"/>
      </bottom>
    </border>
    <border>
      <left style="medium">
        <color rgb="FF000000"/>
      </left>
      <right style="thin">
        <color rgb="FF000000"/>
      </right>
      <bottom style="medium">
        <color rgb="FF000000"/>
      </bottom>
    </border>
    <border>
      <left style="thin">
        <color rgb="FF000000"/>
      </left>
      <right/>
      <top/>
      <bottom style="medium">
        <color rgb="FF000000"/>
      </bottom>
    </border>
    <border>
      <left style="medium">
        <color rgb="FF000000"/>
      </left>
      <right style="thin">
        <color rgb="FF000000"/>
      </right>
      <top style="thin">
        <color rgb="FF000000"/>
      </top>
    </border>
    <border>
      <left style="thin">
        <color rgb="FF000000"/>
      </left>
      <right style="medium">
        <color rgb="FF000000"/>
      </right>
      <top style="thin">
        <color rgb="FF000000"/>
      </top>
      <bottom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</border>
    <border>
      <left style="medium">
        <color rgb="FF000000"/>
      </left>
      <right style="thin">
        <color rgb="FF000000"/>
      </right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</border>
    <border>
      <right style="thin">
        <color rgb="FF000000"/>
      </right>
      <top style="thin">
        <color rgb="FF000000"/>
      </top>
      <bottom style="thin">
        <color rgb="FF000000"/>
      </bottom>
    </border>
    <border>
      <left style="medium">
        <color rgb="FF000000"/>
      </left>
      <right style="medium">
        <color rgb="FF000000"/>
      </right>
      <top style="medium">
        <color rgb="FF000000"/>
      </top>
    </border>
    <border>
      <left style="medium">
        <color rgb="FF000000"/>
      </left>
      <right style="medium">
        <color rgb="FF000000"/>
      </right>
    </border>
    <border>
      <left style="medium">
        <color rgb="FF000000"/>
      </left>
      <right style="medium">
        <color rgb="FF000000"/>
      </right>
      <bottom style="medium">
        <color rgb="FF000000"/>
      </bottom>
    </border>
  </borders>
  <cellStyleXfs count="1">
    <xf borderId="0" fillId="0" fontId="0" numFmtId="0" applyAlignment="1" applyFont="1"/>
  </cellStyleXfs>
  <cellXfs count="48">
    <xf borderId="0" fillId="0" fontId="0" numFmtId="0" xfId="0" applyAlignment="1" applyFont="1">
      <alignment readingOrder="0" shrinkToFit="0" vertical="center" wrapText="0"/>
    </xf>
    <xf borderId="0" fillId="0" fontId="1" numFmtId="0" xfId="0" applyAlignment="1" applyFont="1">
      <alignment vertical="center"/>
    </xf>
    <xf borderId="1" fillId="0" fontId="2" numFmtId="0" xfId="0" applyAlignment="1" applyBorder="1" applyFont="1">
      <alignment horizontal="center" vertical="center"/>
    </xf>
    <xf borderId="2" fillId="0" fontId="3" numFmtId="0" xfId="0" applyAlignment="1" applyBorder="1" applyFont="1">
      <alignment vertical="center"/>
    </xf>
    <xf borderId="3" fillId="0" fontId="2" numFmtId="0" xfId="0" applyAlignment="1" applyBorder="1" applyFont="1">
      <alignment horizontal="center" vertical="center"/>
    </xf>
    <xf borderId="3" fillId="0" fontId="3" numFmtId="0" xfId="0" applyAlignment="1" applyBorder="1" applyFont="1">
      <alignment vertical="center"/>
    </xf>
    <xf borderId="4" fillId="0" fontId="2" numFmtId="0" xfId="0" applyAlignment="1" applyBorder="1" applyFont="1">
      <alignment horizontal="left" vertical="center"/>
    </xf>
    <xf borderId="5" fillId="2" fontId="2" numFmtId="0" xfId="0" applyAlignment="1" applyBorder="1" applyFill="1" applyFont="1">
      <alignment vertical="center"/>
    </xf>
    <xf borderId="4" fillId="0" fontId="2" numFmtId="0" xfId="0" applyAlignment="1" applyBorder="1" applyFont="1">
      <alignment vertical="center"/>
    </xf>
    <xf borderId="5" fillId="2" fontId="4" numFmtId="0" xfId="0" applyAlignment="1" applyBorder="1" applyFont="1">
      <alignment readingOrder="0" vertical="center"/>
    </xf>
    <xf borderId="6" fillId="2" fontId="2" numFmtId="0" xfId="0" applyAlignment="1" applyBorder="1" applyFont="1">
      <alignment vertical="center"/>
    </xf>
    <xf borderId="7" fillId="0" fontId="2" numFmtId="0" xfId="0" applyAlignment="1" applyBorder="1" applyFont="1">
      <alignment vertical="center"/>
    </xf>
    <xf borderId="8" fillId="2" fontId="2" numFmtId="0" xfId="0" applyAlignment="1" applyBorder="1" applyFont="1">
      <alignment vertical="center"/>
    </xf>
    <xf borderId="9" fillId="0" fontId="2" numFmtId="0" xfId="0" applyAlignment="1" applyBorder="1" applyFont="1">
      <alignment horizontal="left" vertical="center"/>
    </xf>
    <xf borderId="10" fillId="2" fontId="2" numFmtId="0" xfId="0" applyAlignment="1" applyBorder="1" applyFont="1">
      <alignment vertical="center"/>
    </xf>
    <xf borderId="9" fillId="0" fontId="2" numFmtId="0" xfId="0" applyAlignment="1" applyBorder="1" applyFont="1">
      <alignment vertical="center"/>
    </xf>
    <xf borderId="10" fillId="2" fontId="4" numFmtId="0" xfId="0" applyAlignment="1" applyBorder="1" applyFont="1">
      <alignment readingOrder="0" vertical="center"/>
    </xf>
    <xf borderId="11" fillId="3" fontId="2" numFmtId="0" xfId="0" applyAlignment="1" applyBorder="1" applyFill="1" applyFont="1">
      <alignment vertical="center"/>
    </xf>
    <xf borderId="12" fillId="0" fontId="2" numFmtId="0" xfId="0" applyAlignment="1" applyBorder="1" applyFont="1">
      <alignment vertical="center"/>
    </xf>
    <xf borderId="13" fillId="0" fontId="2" numFmtId="0" xfId="0" applyAlignment="1" applyBorder="1" applyFont="1">
      <alignment vertical="center"/>
    </xf>
    <xf borderId="11" fillId="4" fontId="2" numFmtId="0" xfId="0" applyAlignment="1" applyBorder="1" applyFill="1" applyFont="1">
      <alignment vertical="center"/>
    </xf>
    <xf borderId="11" fillId="2" fontId="2" numFmtId="0" xfId="0" applyAlignment="1" applyBorder="1" applyFont="1">
      <alignment vertical="center"/>
    </xf>
    <xf borderId="14" fillId="0" fontId="2" numFmtId="0" xfId="0" applyAlignment="1" applyBorder="1" applyFont="1">
      <alignment vertical="center"/>
    </xf>
    <xf borderId="15" fillId="3" fontId="2" numFmtId="0" xfId="0" applyAlignment="1" applyBorder="1" applyFont="1">
      <alignment vertical="center"/>
    </xf>
    <xf borderId="16" fillId="0" fontId="2" numFmtId="0" xfId="0" applyAlignment="1" applyBorder="1" applyFont="1">
      <alignment vertical="center"/>
    </xf>
    <xf borderId="17" fillId="0" fontId="2" numFmtId="0" xfId="0" applyAlignment="1" applyBorder="1" applyFont="1">
      <alignment vertical="center"/>
    </xf>
    <xf borderId="18" fillId="0" fontId="2" numFmtId="0" xfId="0" applyAlignment="1" applyBorder="1" applyFont="1">
      <alignment vertical="center"/>
    </xf>
    <xf borderId="19" fillId="4" fontId="2" numFmtId="0" xfId="0" applyAlignment="1" applyBorder="1" applyFont="1">
      <alignment vertical="center"/>
    </xf>
    <xf borderId="20" fillId="0" fontId="2" numFmtId="0" xfId="0" applyAlignment="1" applyBorder="1" applyFont="1">
      <alignment vertical="center"/>
    </xf>
    <xf borderId="21" fillId="3" fontId="2" numFmtId="0" xfId="0" applyAlignment="1" applyBorder="1" applyFont="1">
      <alignment vertical="center"/>
    </xf>
    <xf borderId="6" fillId="4" fontId="2" numFmtId="0" xfId="0" applyAlignment="1" applyBorder="1" applyFont="1">
      <alignment vertical="center"/>
    </xf>
    <xf borderId="22" fillId="3" fontId="2" numFmtId="0" xfId="0" applyAlignment="1" applyBorder="1" applyFont="1">
      <alignment vertical="center"/>
    </xf>
    <xf borderId="22" fillId="2" fontId="2" numFmtId="0" xfId="0" applyAlignment="1" applyBorder="1" applyFont="1">
      <alignment vertical="center"/>
    </xf>
    <xf borderId="22" fillId="4" fontId="2" numFmtId="0" xfId="0" applyAlignment="1" applyBorder="1" applyFont="1">
      <alignment vertical="center"/>
    </xf>
    <xf borderId="23" fillId="0" fontId="2" numFmtId="0" xfId="0" applyAlignment="1" applyBorder="1" applyFont="1">
      <alignment vertical="center"/>
    </xf>
    <xf borderId="0" fillId="0" fontId="2" numFmtId="0" xfId="0" applyAlignment="1" applyFont="1">
      <alignment vertical="center"/>
    </xf>
    <xf borderId="24" fillId="0" fontId="2" numFmtId="0" xfId="0" applyAlignment="1" applyBorder="1" applyFont="1">
      <alignment horizontal="center" vertical="center"/>
    </xf>
    <xf borderId="24" fillId="0" fontId="2" numFmtId="0" xfId="0" applyAlignment="1" applyBorder="1" applyFont="1">
      <alignment vertical="center"/>
    </xf>
    <xf borderId="24" fillId="4" fontId="2" numFmtId="0" xfId="0" applyAlignment="1" applyBorder="1" applyFont="1">
      <alignment vertical="center"/>
    </xf>
    <xf borderId="24" fillId="3" fontId="2" numFmtId="0" xfId="0" applyAlignment="1" applyBorder="1" applyFont="1">
      <alignment vertical="center"/>
    </xf>
    <xf borderId="24" fillId="2" fontId="2" numFmtId="0" xfId="0" applyAlignment="1" applyBorder="1" applyFont="1">
      <alignment vertical="center"/>
    </xf>
    <xf borderId="25" fillId="0" fontId="2" numFmtId="0" xfId="0" applyAlignment="1" applyBorder="1" applyFont="1">
      <alignment vertical="center"/>
    </xf>
    <xf borderId="6" fillId="5" fontId="2" numFmtId="0" xfId="0" applyAlignment="1" applyBorder="1" applyFill="1" applyFont="1">
      <alignment vertical="center"/>
    </xf>
    <xf borderId="26" fillId="0" fontId="2" numFmtId="0" xfId="0" applyAlignment="1" applyBorder="1" applyFont="1">
      <alignment vertical="center"/>
    </xf>
    <xf borderId="11" fillId="5" fontId="2" numFmtId="0" xfId="0" applyAlignment="1" applyBorder="1" applyFont="1">
      <alignment vertical="center"/>
    </xf>
    <xf borderId="27" fillId="0" fontId="2" numFmtId="0" xfId="0" applyAlignment="1" applyBorder="1" applyFont="1">
      <alignment vertical="center"/>
    </xf>
    <xf borderId="22" fillId="5" fontId="2" numFmtId="0" xfId="0" applyAlignment="1" applyBorder="1" applyFont="1">
      <alignment vertical="center"/>
    </xf>
    <xf borderId="28" fillId="0" fontId="2" numFmtId="0" xfId="0" applyAlignment="1" applyBorder="1" applyFont="1">
      <alignment vertical="center"/>
    </xf>
  </cellXfs>
  <cellStyles count="1">
    <cellStyle xfId="0" name="Normal" builtinId="0"/>
  </cellStyles>
  <dxfs count="0"/>
</styleSheet>
</file>

<file path=xl/_rels/workbook.xml.rels><?xml version="1.0" encoding="UTF-8" standalone="yes"?>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customschemas.google.com/relationships/workbookmetadata" Target="metadata"/></Relationships>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出力【ｇ】</a:t>
            </a:r>
          </a:p>
        </c:rich>
      </c:tx>
      <c:overlay val="0"/>
    </c:title>
    <c:plotArea>
      <c:layout>
        <c:manualLayout>
          <c:xMode val="edge"/>
          <c:yMode val="edge"/>
          <c:x val="0.10458092738407698"/>
          <c:y val="0.16296296296296298"/>
          <c:w val="0.8648635170603675"/>
          <c:h val="0.5973687664041994"/>
        </c:manualLayout>
      </c:layout>
      <c:scatterChart>
        <c:scatterStyle val="lineMarker"/>
        <c:varyColors val="0"/>
        <c:ser>
          <c:idx val="0"/>
          <c:order val="0"/>
          <c:tx>
            <c:strRef>
              <c:f>'演算'!$X$3</c:f>
            </c:strRef>
          </c:tx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'演算'!$AG$8</c:f>
            </c:numRef>
          </c:xVal>
          <c:yVal>
            <c:numRef>
              <c:f>'演算'!$X$4:$X$364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3323257"/>
        <c:axId val="1208785563"/>
      </c:scatterChart>
      <c:valAx>
        <c:axId val="1043323257"/>
        <c:scaling>
          <c:orientation val="minMax"/>
          <c:max val="360.0"/>
        </c:scaling>
        <c:delete val="0"/>
        <c:axPos val="b"/>
        <c:majorGridlines>
          <c:spPr>
            <a:ln>
              <a:solidFill>
                <a:srgbClr val="B7B7B7">
                  <a:alpha val="0"/>
                </a:srgbClr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208785563"/>
      </c:valAx>
      <c:valAx>
        <c:axId val="1208785563"/>
        <c:scaling>
          <c:orientation val="minMax"/>
          <c:max val="20000.0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043323257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先端軌跡</a:t>
            </a:r>
          </a:p>
        </c:rich>
      </c:tx>
      <c:overlay val="0"/>
    </c:title>
    <c:plotArea>
      <c:layout>
        <c:manualLayout>
          <c:xMode val="edge"/>
          <c:yMode val="edge"/>
          <c:x val="0.06749735541189891"/>
          <c:y val="0.12955379599441078"/>
          <c:w val="0.8698433989006811"/>
          <c:h val="0.8504526530758483"/>
        </c:manualLayout>
      </c:layout>
      <c:scatterChart>
        <c:scatterStyle val="lineMarker"/>
        <c:varyColors val="0"/>
        <c:ser>
          <c:idx val="0"/>
          <c:order val="0"/>
          <c:spPr>
            <a:ln>
              <a:noFill/>
            </a:ln>
          </c:spPr>
          <c:marker>
            <c:symbol val="circle"/>
            <c:size val="7"/>
            <c:spPr>
              <a:solidFill>
                <a:schemeClr val="accent1"/>
              </a:solidFill>
              <a:ln cmpd="sng">
                <a:solidFill>
                  <a:schemeClr val="accent1"/>
                </a:solidFill>
              </a:ln>
            </c:spPr>
          </c:marker>
          <c:xVal>
            <c:numRef>
              <c:f>'演算'!$O$4:$O$364</c:f>
            </c:numRef>
          </c:xVal>
          <c:yVal>
            <c:numRef>
              <c:f>'演算'!$P$4:$P$364</c:f>
              <c:numCache/>
            </c:numRef>
          </c:y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2828812"/>
        <c:axId val="870799594"/>
      </c:scatterChart>
      <c:valAx>
        <c:axId val="2002828812"/>
        <c:scaling>
          <c:orientation val="minMax"/>
          <c:max val="800.0"/>
        </c:scaling>
        <c:delete val="0"/>
        <c:axPos val="b"/>
        <c:majorGridlines>
          <c:spPr>
            <a:ln>
              <a:solidFill>
                <a:srgbClr val="B7B7B7">
                  <a:alpha val="0"/>
                </a:srgbClr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870799594"/>
      </c:valAx>
      <c:valAx>
        <c:axId val="870799594"/>
        <c:scaling>
          <c:orientation val="minMax"/>
          <c:max val="800.0"/>
        </c:scaling>
        <c:delete val="0"/>
        <c:axPos val="l"/>
        <c:majorGridlines>
          <c:spPr>
            <a:ln>
              <a:solidFill>
                <a:srgbClr val="B7B7B7">
                  <a:alpha val="0"/>
                </a:srgbClr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2002828812"/>
      </c:valAx>
    </c:plotArea>
    <c:legend>
      <c:legendPos val="r"/>
      <c:layout>
        <c:manualLayout>
          <c:xMode val="edge"/>
          <c:yMode val="edge"/>
          <c:x val="0.71933"/>
          <c:y val="0.03939858474041897"/>
        </c:manualLayout>
      </c:layout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charts/chart3.xml><?xml version="1.0" encoding="utf-8"?>
<c:chartSpace xmlns:a="http://schemas.openxmlformats.org/drawingml/2006/main" xmlns:c="http://schemas.openxmlformats.org/drawingml/2006/chart" xmlns:r="http://schemas.openxmlformats.org/officeDocument/2006/relationships" xmlns:mc="http://schemas.openxmlformats.org/markup-compatibility/2006" xmlns:mv="urn:schemas-microsoft-com:mac:vml" xmlns:c14="http://schemas.microsoft.com/office/drawing/2007/8/2/chart">
  <c:chart>
    <c:title>
      <c:tx>
        <c:rich>
          <a:bodyPr/>
          <a:lstStyle/>
          <a:p>
            <a:pPr lvl="0">
              <a:defRPr b="1" i="0" sz="1600">
                <a:solidFill>
                  <a:schemeClr val="lt1"/>
                </a:solidFill>
                <a:latin typeface="+mn-lt"/>
              </a:defRPr>
            </a:pPr>
            <a:r>
              <a:rPr b="1" i="0" sz="1600">
                <a:solidFill>
                  <a:schemeClr val="lt1"/>
                </a:solidFill>
                <a:latin typeface="+mn-lt"/>
              </a:rPr>
              <a:t>機構減速比グラフ</a:t>
            </a:r>
          </a:p>
        </c:rich>
      </c:tx>
      <c:overlay val="0"/>
    </c:title>
    <c:plotArea>
      <c:layout/>
      <c:lineChart>
        <c:varyColors val="0"/>
        <c:ser>
          <c:idx val="0"/>
          <c:order val="0"/>
          <c:spPr>
            <a:ln cmpd="sng" w="28575">
              <a:solidFill>
                <a:srgbClr val="5B9BD5"/>
              </a:solidFill>
            </a:ln>
          </c:spPr>
          <c:marker>
            <c:symbol val="none"/>
          </c:marker>
          <c:cat>
            <c:strRef>
              <c:f>'演算'!$AJ$3:$AJ$363</c:f>
            </c:strRef>
          </c:cat>
          <c:val>
            <c:numRef>
              <c:f>'演算'!$AK$3:$AK$363</c:f>
              <c:numCache/>
            </c:numRef>
          </c:val>
          <c:smooth val="0"/>
        </c:ser>
        <c:axId val="1955067818"/>
        <c:axId val="1579424744"/>
      </c:lineChart>
      <c:catAx>
        <c:axId val="195506781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spPr/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579424744"/>
      </c:catAx>
      <c:valAx>
        <c:axId val="1579424744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</a:ln>
          </c:spPr>
        </c:majorGridlines>
        <c:minorGridlines>
          <c:spPr>
            <a:ln>
              <a:solidFill>
                <a:srgbClr val="CCCCCC">
                  <a:alpha val="0"/>
                </a:srgbClr>
              </a:solidFill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b="0">
                    <a:solidFill>
                      <a:srgbClr val="000000"/>
                    </a:solidFill>
                    <a:latin typeface="+mn-lt"/>
                  </a:rPr>
                  <a:t/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/>
        </c:spPr>
        <c:txPr>
          <a:bodyPr/>
          <a:lstStyle/>
          <a:p>
            <a:pPr lvl="0">
              <a:defRPr b="0" i="0" sz="900">
                <a:solidFill>
                  <a:schemeClr val="lt1"/>
                </a:solidFill>
                <a:latin typeface="+mn-lt"/>
              </a:defRPr>
            </a:pPr>
          </a:p>
        </c:txPr>
        <c:crossAx val="1955067818"/>
      </c:valAx>
    </c:plotArea>
    <c:legend>
      <c:legendPos val="b"/>
      <c:overlay val="0"/>
      <c:txPr>
        <a:bodyPr/>
        <a:lstStyle/>
        <a:p>
          <a:pPr lvl="0">
            <a:defRPr b="0" i="0" sz="900">
              <a:solidFill>
                <a:schemeClr val="lt1"/>
              </a:solidFill>
              <a:latin typeface="+mn-lt"/>
            </a:defRPr>
          </a:pPr>
        </a:p>
      </c:txPr>
    </c:legend>
    <c:plotVisOnly val="1"/>
  </c:chart>
  <c:spPr>
    <a:solidFill>
      <a:schemeClr val="dk1"/>
    </a:solidFill>
  </c:spPr>
</c:chartSpace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chart" Target="../charts/chart1.xml"/><Relationship Id="rId2" Type="http://schemas.openxmlformats.org/officeDocument/2006/relationships/chart" Target="../charts/chart2.xml"/><Relationship Id="rId3" Type="http://schemas.openxmlformats.org/officeDocument/2006/relationships/chart" Target="../charts/chart3.xml"/><Relationship Id="rId4" Type="http://schemas.openxmlformats.org/officeDocument/2006/relationships/image" Target="../media/image1.png"/></Relationships>
</file>

<file path=xl/drawings/_rels/drawing3.xml.rels><?xml version="1.0" encoding="UTF-8" standalone="yes"?>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0</xdr:colOff>
      <xdr:row>14</xdr:row>
      <xdr:rowOff>57150</xdr:rowOff>
    </xdr:from>
    <xdr:ext cx="4333875" cy="2657475"/>
    <xdr:graphicFrame>
      <xdr:nvGraphicFramePr>
        <xdr:cNvPr id="47342175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1"/>
        </a:graphicData>
      </a:graphic>
    </xdr:graphicFrame>
    <xdr:clientData fLocksWithSheet="0"/>
  </xdr:oneCellAnchor>
  <xdr:oneCellAnchor>
    <xdr:from>
      <xdr:col>7</xdr:col>
      <xdr:colOff>590550</xdr:colOff>
      <xdr:row>13</xdr:row>
      <xdr:rowOff>0</xdr:rowOff>
    </xdr:from>
    <xdr:ext cx="4114800" cy="3990975"/>
    <xdr:graphicFrame>
      <xdr:nvGraphicFramePr>
        <xdr:cNvPr id="1839831891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2"/>
        </a:graphicData>
      </a:graphic>
    </xdr:graphicFrame>
    <xdr:clientData fLocksWithSheet="0"/>
  </xdr:oneCellAnchor>
  <xdr:oneCellAnchor>
    <xdr:from>
      <xdr:col>0</xdr:col>
      <xdr:colOff>0</xdr:colOff>
      <xdr:row>31</xdr:row>
      <xdr:rowOff>85725</xdr:rowOff>
    </xdr:from>
    <xdr:ext cx="4362450" cy="2638425"/>
    <xdr:graphicFrame>
      <xdr:nvGraphicFramePr>
        <xdr:cNvPr id="2111419240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r:id="rId3"/>
        </a:graphicData>
      </a:graphic>
    </xdr:graphicFrame>
    <xdr:clientData fLocksWithSheet="0"/>
  </xdr:oneCellAnchor>
  <xdr:oneCellAnchor>
    <xdr:from>
      <xdr:col>0</xdr:col>
      <xdr:colOff>38100</xdr:colOff>
      <xdr:row>0</xdr:row>
      <xdr:rowOff>114300</xdr:rowOff>
    </xdr:from>
    <xdr:ext cx="2886075" cy="1885950"/>
    <xdr:pic>
      <xdr:nvPicPr>
        <xdr:cNvPr id="0" name="image1.png"/>
        <xdr:cNvPicPr preferRelativeResize="0"/>
      </xdr:nvPicPr>
      <xdr:blipFill>
        <a:blip cstate="print" r:embed="rId4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0</xdr:col>
      <xdr:colOff>152400</xdr:colOff>
      <xdr:row>3</xdr:row>
      <xdr:rowOff>28575</xdr:rowOff>
    </xdr:from>
    <xdr:ext cx="6019800" cy="3457575"/>
    <xdr:pic>
      <xdr:nvPicPr>
        <xdr:cNvPr id="0" name="image2.png"/>
        <xdr:cNvPicPr preferRelativeResize="0"/>
      </xdr:nvPicPr>
      <xdr:blipFill>
        <a:blip cstate="print" r:embed="rId1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" width="7.88"/>
    <col customWidth="1" min="2" max="5" width="7.63"/>
    <col customWidth="1" min="6" max="6" width="10.88"/>
    <col customWidth="1" min="7" max="7" width="7.63"/>
    <col customWidth="1" min="8" max="8" width="10.88"/>
    <col customWidth="1" min="9" max="9" width="7.63"/>
    <col customWidth="1" min="10" max="10" width="10.25"/>
    <col customWidth="1" min="11" max="12" width="7.88"/>
    <col customWidth="1" min="13" max="13" width="21.38"/>
    <col customWidth="1" min="14" max="14" width="12.88"/>
    <col customWidth="1" min="15" max="15" width="9.75"/>
    <col customWidth="1" min="16" max="20" width="7.88"/>
    <col customWidth="1" min="21" max="26" width="7.63"/>
  </cols>
  <sheetData>
    <row r="1" ht="12.75" customHeight="1">
      <c r="N1" s="1" t="s">
        <v>0</v>
      </c>
      <c r="O1" s="1" t="s">
        <v>1</v>
      </c>
      <c r="P1" s="1" t="s">
        <v>2</v>
      </c>
      <c r="R1" s="1" t="s">
        <v>3</v>
      </c>
      <c r="T1" s="1" t="s">
        <v>4</v>
      </c>
    </row>
    <row r="2" ht="12.75" customHeight="1">
      <c r="F2" s="2" t="s">
        <v>5</v>
      </c>
      <c r="G2" s="3"/>
      <c r="H2" s="2" t="s">
        <v>6</v>
      </c>
      <c r="I2" s="3"/>
      <c r="J2" s="4"/>
      <c r="K2" s="5"/>
      <c r="L2" s="1" t="s">
        <v>7</v>
      </c>
      <c r="N2" s="1">
        <f>'演算'!AJ3</f>
        <v>0</v>
      </c>
      <c r="O2" s="1">
        <f>'演算'!AK3</f>
        <v>0.4016875364</v>
      </c>
      <c r="P2" s="1">
        <f>'演算'!X4</f>
        <v>1329.743942</v>
      </c>
    </row>
    <row r="3" ht="12.75" customHeight="1">
      <c r="F3" s="6" t="s">
        <v>8</v>
      </c>
      <c r="G3" s="7">
        <v>30.0</v>
      </c>
      <c r="H3" s="8" t="s">
        <v>9</v>
      </c>
      <c r="I3" s="9">
        <v>3.0</v>
      </c>
      <c r="J3" s="8" t="s">
        <v>10</v>
      </c>
      <c r="K3" s="10">
        <v>53.0</v>
      </c>
      <c r="L3" s="11" t="s">
        <v>11</v>
      </c>
      <c r="M3" s="12" t="s">
        <v>12</v>
      </c>
      <c r="N3" s="1">
        <f>'演算'!AJ4</f>
        <v>1</v>
      </c>
      <c r="O3" s="1">
        <f>'演算'!AK4</f>
        <v>0.3985682199</v>
      </c>
      <c r="P3" s="1">
        <f>'演算'!X5</f>
        <v>1321.531827</v>
      </c>
      <c r="R3" s="7">
        <v>30.0</v>
      </c>
      <c r="T3" s="7">
        <v>20.0</v>
      </c>
    </row>
    <row r="4" ht="12.75" customHeight="1">
      <c r="F4" s="13" t="s">
        <v>13</v>
      </c>
      <c r="G4" s="14">
        <v>50.0</v>
      </c>
      <c r="H4" s="15" t="s">
        <v>14</v>
      </c>
      <c r="I4" s="16">
        <v>430.0</v>
      </c>
      <c r="J4" s="15" t="s">
        <v>15</v>
      </c>
      <c r="K4" s="17">
        <f t="array" ref="K4">INDEX('演算'!$S$4:$X$364,MATCH($K$3,'演算'!$S$4:$S$364,0),6)</f>
        <v>4406.831219</v>
      </c>
      <c r="L4" s="18">
        <v>1.0</v>
      </c>
      <c r="M4" s="19">
        <v>530.0</v>
      </c>
      <c r="N4" s="1">
        <f>'演算'!AJ5</f>
        <v>2</v>
      </c>
      <c r="O4" s="1">
        <f>'演算'!AK5</f>
        <v>0.3962384301</v>
      </c>
      <c r="P4" s="1">
        <f>'演算'!X6</f>
        <v>1315.987997</v>
      </c>
      <c r="R4" s="14">
        <v>50.0</v>
      </c>
      <c r="T4" s="14">
        <v>45.0</v>
      </c>
    </row>
    <row r="5" ht="12.75" customHeight="1">
      <c r="F5" s="13" t="s">
        <v>16</v>
      </c>
      <c r="G5" s="14">
        <v>45.0</v>
      </c>
      <c r="H5" s="15" t="s">
        <v>17</v>
      </c>
      <c r="I5" s="20">
        <f>I3*I4</f>
        <v>1290</v>
      </c>
      <c r="J5" s="15" t="s">
        <v>18</v>
      </c>
      <c r="K5" s="17">
        <f t="array" ref="K5">$I$6/INDEX('演算'!$S$4:$X$364,MATCH($K$3,'演算'!$S$4:$S$364,0),4)</f>
        <v>316.8562773</v>
      </c>
      <c r="L5" s="18">
        <v>2.0</v>
      </c>
      <c r="M5" s="19">
        <v>500.0</v>
      </c>
      <c r="N5" s="1">
        <f>'演算'!AJ6</f>
        <v>3</v>
      </c>
      <c r="O5" s="1">
        <f>'演算'!AK6</f>
        <v>0.394715977</v>
      </c>
      <c r="P5" s="1">
        <f>'演算'!X7</f>
        <v>1313.176862</v>
      </c>
      <c r="R5" s="14">
        <v>45.0</v>
      </c>
      <c r="T5" s="14">
        <v>40.0</v>
      </c>
    </row>
    <row r="6" ht="12.75" customHeight="1">
      <c r="F6" s="13" t="s">
        <v>19</v>
      </c>
      <c r="G6" s="14">
        <v>35.0</v>
      </c>
      <c r="H6" s="15" t="s">
        <v>18</v>
      </c>
      <c r="I6" s="21">
        <v>250.0</v>
      </c>
      <c r="J6" s="22" t="s">
        <v>20</v>
      </c>
      <c r="K6" s="23">
        <f t="array" ref="K6">INDEX('演算'!$I$4:$X$364,MATCH($K$3,'演算'!$S$4:$S$364,0),1)</f>
        <v>556.5149796</v>
      </c>
      <c r="L6" s="18">
        <v>3.0</v>
      </c>
      <c r="M6" s="19">
        <v>430.0</v>
      </c>
      <c r="N6" s="1">
        <f>'演算'!AJ7</f>
        <v>4</v>
      </c>
      <c r="O6" s="1">
        <f>'演算'!AK7</f>
        <v>0.3940147519</v>
      </c>
      <c r="P6" s="1">
        <f>'演算'!X8</f>
        <v>1313.150049</v>
      </c>
      <c r="R6" s="14">
        <v>35.0</v>
      </c>
      <c r="T6" s="14">
        <v>45.0</v>
      </c>
    </row>
    <row r="7" ht="12.75" customHeight="1">
      <c r="F7" s="13" t="s">
        <v>21</v>
      </c>
      <c r="G7" s="14">
        <v>-50.0</v>
      </c>
      <c r="H7" s="15" t="s">
        <v>22</v>
      </c>
      <c r="I7" s="20">
        <f>I6*I5</f>
        <v>322500</v>
      </c>
      <c r="J7" s="8" t="s">
        <v>23</v>
      </c>
      <c r="K7" s="10">
        <v>348.0</v>
      </c>
      <c r="L7" s="18">
        <v>4.0</v>
      </c>
      <c r="M7" s="19">
        <v>370.0</v>
      </c>
      <c r="N7" s="1">
        <f>'演算'!AJ8</f>
        <v>5</v>
      </c>
      <c r="O7" s="1">
        <f>'演算'!AK8</f>
        <v>0.3941449705</v>
      </c>
      <c r="P7" s="1">
        <f>'演算'!X9</f>
        <v>1315.947099</v>
      </c>
      <c r="R7" s="14">
        <v>-50.0</v>
      </c>
      <c r="T7" s="14">
        <v>-50.0</v>
      </c>
    </row>
    <row r="8" ht="12.75" customHeight="1">
      <c r="F8" s="15" t="s">
        <v>24</v>
      </c>
      <c r="G8" s="14">
        <v>550.0</v>
      </c>
      <c r="H8" s="15" t="s">
        <v>25</v>
      </c>
      <c r="I8" s="16">
        <v>0.6</v>
      </c>
      <c r="J8" s="15" t="s">
        <v>15</v>
      </c>
      <c r="K8" s="17">
        <f t="array" ref="K8">INDEX('演算'!$S$4:$X$364,MATCH($K$7,'演算'!$S$4:$S$364,0),6)</f>
        <v>1595.99456</v>
      </c>
      <c r="L8" s="24">
        <v>5.0</v>
      </c>
      <c r="M8" s="25">
        <v>300.0</v>
      </c>
      <c r="N8" s="1">
        <f>'演算'!AJ9</f>
        <v>6</v>
      </c>
      <c r="O8" s="1">
        <f>'演算'!AK9</f>
        <v>0.3951134728</v>
      </c>
      <c r="P8" s="1">
        <f>'演算'!X10</f>
        <v>1321.596345</v>
      </c>
      <c r="R8" s="14">
        <v>550.0</v>
      </c>
      <c r="T8" s="14">
        <v>300.0</v>
      </c>
    </row>
    <row r="9" ht="12.75" customHeight="1">
      <c r="F9" s="15" t="s">
        <v>26</v>
      </c>
      <c r="G9" s="14">
        <v>180.0</v>
      </c>
      <c r="H9" s="26" t="s">
        <v>27</v>
      </c>
      <c r="I9" s="27">
        <f>'演算'!AG18</f>
        <v>0.9259648871</v>
      </c>
      <c r="J9" s="28" t="s">
        <v>18</v>
      </c>
      <c r="K9" s="29">
        <f t="array" ref="K9">$I$6/INDEX('演算'!$S$4:$X$364,MATCH($K$7,'演算'!$S$4:$S$364,0),4)</f>
        <v>122.2290532</v>
      </c>
      <c r="N9" s="1">
        <f>'演算'!AJ10</f>
        <v>7</v>
      </c>
      <c r="O9" s="1">
        <f>'演算'!AK10</f>
        <v>0.3969240613</v>
      </c>
      <c r="P9" s="1">
        <f>'演算'!X11</f>
        <v>1330.11593</v>
      </c>
      <c r="R9" s="14">
        <v>180.0</v>
      </c>
      <c r="T9" s="14">
        <v>180.0</v>
      </c>
    </row>
    <row r="10" ht="12.75" customHeight="1">
      <c r="F10" s="15" t="s">
        <v>28</v>
      </c>
      <c r="G10" s="21">
        <v>110.0</v>
      </c>
      <c r="H10" s="8" t="s">
        <v>29</v>
      </c>
      <c r="I10" s="30">
        <f t="array" ref="I10">INDEX('演算'!$S$4:$AF$364,MATCH("a",'演算'!$AE$4:$AE$364,0),1)</f>
        <v>43</v>
      </c>
      <c r="J10" s="22" t="s">
        <v>30</v>
      </c>
      <c r="K10" s="31">
        <f t="array" ref="K10">INDEX('演算'!$I$4:$X$364,MATCH($K$7,'演算'!$S$4:$S$364,0),1)</f>
        <v>592.7669776</v>
      </c>
      <c r="N10" s="1">
        <f>'演算'!AJ11</f>
        <v>8</v>
      </c>
      <c r="O10" s="1">
        <f>'演算'!AK11</f>
        <v>0.3995778597</v>
      </c>
      <c r="P10" s="1">
        <f>'演算'!X12</f>
        <v>1341.514885</v>
      </c>
      <c r="R10" s="21">
        <v>110.0</v>
      </c>
      <c r="T10" s="21">
        <v>110.0</v>
      </c>
    </row>
    <row r="11" ht="12.75" customHeight="1">
      <c r="F11" s="22" t="s">
        <v>31</v>
      </c>
      <c r="G11" s="32">
        <v>600.0</v>
      </c>
      <c r="H11" s="22" t="s">
        <v>32</v>
      </c>
      <c r="I11" s="33">
        <f t="array" ref="I11">INDEX('演算'!$S$4:$AF$364,MATCH("a",'演算'!$AF$4:$AF$364,0),1)</f>
        <v>180</v>
      </c>
      <c r="M11" s="7">
        <v>30.0</v>
      </c>
      <c r="N11" s="1">
        <f>'演算'!AJ12</f>
        <v>9</v>
      </c>
      <c r="O11" s="1">
        <f>'演算'!AK12</f>
        <v>0.4030736764</v>
      </c>
      <c r="P11" s="1">
        <f>'演算'!X13</f>
        <v>1355.794238</v>
      </c>
      <c r="R11" s="32">
        <v>600.0</v>
      </c>
      <c r="T11" s="32">
        <v>300.0</v>
      </c>
    </row>
    <row r="12" ht="12.75" customHeight="1">
      <c r="F12" s="34"/>
      <c r="M12" s="14">
        <v>50.0</v>
      </c>
      <c r="N12" s="1">
        <f>'演算'!AJ13</f>
        <v>10</v>
      </c>
      <c r="O12" s="1">
        <f>'演算'!AK13</f>
        <v>0.407408359</v>
      </c>
      <c r="P12" s="1">
        <f>'演算'!X14</f>
        <v>1372.948101</v>
      </c>
    </row>
    <row r="13" ht="12.75" customHeight="1">
      <c r="F13" s="34"/>
      <c r="J13" s="1">
        <f>I3*2/3/G8*10*K5*0.3</f>
        <v>3.456613934</v>
      </c>
      <c r="M13" s="14">
        <v>70.0</v>
      </c>
      <c r="N13" s="1">
        <f>'演算'!AJ14</f>
        <v>11</v>
      </c>
      <c r="O13" s="1">
        <f>'演算'!AK14</f>
        <v>0.412577129</v>
      </c>
      <c r="P13" s="1">
        <f>'演算'!X15</f>
        <v>1392.964705</v>
      </c>
    </row>
    <row r="14" ht="12.75" customHeight="1">
      <c r="F14" s="34"/>
      <c r="M14" s="14">
        <v>50.0</v>
      </c>
      <c r="N14" s="1">
        <f>'演算'!AJ15</f>
        <v>12</v>
      </c>
      <c r="O14" s="1">
        <f>'演算'!AK15</f>
        <v>0.4185738897</v>
      </c>
      <c r="P14" s="1">
        <f>'演算'!X16</f>
        <v>1415.827352</v>
      </c>
    </row>
    <row r="15" ht="12.75" customHeight="1">
      <c r="M15" s="14">
        <v>-50.0</v>
      </c>
      <c r="N15" s="1">
        <f>'演算'!AJ16</f>
        <v>13</v>
      </c>
      <c r="O15" s="1">
        <f>'演算'!AK16</f>
        <v>0.4253915011</v>
      </c>
      <c r="P15" s="1">
        <f>'演算'!X17</f>
        <v>1441.515287</v>
      </c>
      <c r="T15" s="7">
        <v>30.0</v>
      </c>
    </row>
    <row r="16" ht="12.75" customHeight="1">
      <c r="M16" s="14">
        <v>550.0</v>
      </c>
      <c r="N16" s="1">
        <f>'演算'!AJ17</f>
        <v>14</v>
      </c>
      <c r="O16" s="1">
        <f>'演算'!AK17</f>
        <v>0.4330220206</v>
      </c>
      <c r="P16" s="1">
        <f>'演算'!X18</f>
        <v>1470.004448</v>
      </c>
      <c r="T16" s="14">
        <v>50.0</v>
      </c>
    </row>
    <row r="17" ht="12.75" customHeight="1">
      <c r="M17" s="14">
        <v>180.0</v>
      </c>
      <c r="N17" s="1">
        <f>'演算'!AJ18</f>
        <v>15</v>
      </c>
      <c r="O17" s="1">
        <f>'演算'!AK18</f>
        <v>0.4414569089</v>
      </c>
      <c r="P17" s="1">
        <f>'演算'!X19</f>
        <v>1501.268132</v>
      </c>
      <c r="T17" s="14">
        <v>80.0</v>
      </c>
    </row>
    <row r="18" ht="12.75" customHeight="1">
      <c r="M18" s="21">
        <v>110.0</v>
      </c>
      <c r="N18" s="1">
        <f>'演算'!AJ19</f>
        <v>16</v>
      </c>
      <c r="O18" s="1">
        <f>'演算'!AK19</f>
        <v>0.4506872016</v>
      </c>
      <c r="P18" s="1">
        <f>'演算'!X20</f>
        <v>1535.277545</v>
      </c>
      <c r="T18" s="14">
        <v>40.0</v>
      </c>
    </row>
    <row r="19" ht="12.75" customHeight="1">
      <c r="M19" s="32">
        <v>600.0</v>
      </c>
      <c r="N19" s="1">
        <f>'演算'!AJ20</f>
        <v>17</v>
      </c>
      <c r="O19" s="1">
        <f>'演算'!AK20</f>
        <v>0.4607036493</v>
      </c>
      <c r="P19" s="1">
        <f>'演算'!X21</f>
        <v>1572.002269</v>
      </c>
      <c r="T19" s="14">
        <v>-50.0</v>
      </c>
    </row>
    <row r="20" ht="12.75" customHeight="1">
      <c r="N20" s="1">
        <f>'演算'!AJ21</f>
        <v>18</v>
      </c>
      <c r="O20" s="1">
        <f>'演算'!AK21</f>
        <v>0.4714968301</v>
      </c>
      <c r="P20" s="1">
        <f>'演算'!X22</f>
        <v>1611.410634</v>
      </c>
      <c r="T20" s="14">
        <v>300.0</v>
      </c>
    </row>
    <row r="21" ht="12.75" customHeight="1">
      <c r="N21" s="1">
        <f>'演算'!AJ22</f>
        <v>19</v>
      </c>
      <c r="O21" s="1">
        <f>'演算'!AK22</f>
        <v>0.4830572359</v>
      </c>
      <c r="P21" s="1">
        <f>'演算'!X23</f>
        <v>1653.470022</v>
      </c>
      <c r="T21" s="14">
        <v>180.0</v>
      </c>
    </row>
    <row r="22" ht="12.75" customHeight="1">
      <c r="N22" s="1">
        <f>'演算'!AJ23</f>
        <v>20</v>
      </c>
      <c r="O22" s="1">
        <f>'演算'!AK23</f>
        <v>0.495375338</v>
      </c>
      <c r="P22" s="1">
        <f>'演算'!X24</f>
        <v>1698.147099</v>
      </c>
      <c r="T22" s="21">
        <v>148.355</v>
      </c>
    </row>
    <row r="23" ht="12.75" customHeight="1">
      <c r="N23" s="1">
        <f>'演算'!AJ24</f>
        <v>21</v>
      </c>
      <c r="O23" s="1">
        <f>'演算'!AK24</f>
        <v>0.5084416343</v>
      </c>
      <c r="P23" s="1">
        <f>'演算'!X25</f>
        <v>1745.407997</v>
      </c>
      <c r="T23" s="32">
        <v>300.0</v>
      </c>
    </row>
    <row r="24" ht="12.75" customHeight="1">
      <c r="N24" s="1">
        <f>'演算'!AJ25</f>
        <v>22</v>
      </c>
      <c r="O24" s="1">
        <f>'演算'!AK25</f>
        <v>0.5222466814</v>
      </c>
      <c r="P24" s="1">
        <f>'演算'!X26</f>
        <v>1795.218449</v>
      </c>
    </row>
    <row r="25" ht="12.75" customHeight="1">
      <c r="N25" s="1">
        <f>'演算'!AJ26</f>
        <v>23</v>
      </c>
      <c r="O25" s="1">
        <f>'演算'!AK26</f>
        <v>0.536781115</v>
      </c>
      <c r="P25" s="1">
        <f>'演算'!X27</f>
        <v>1847.543878</v>
      </c>
      <c r="T25" s="1" t="s">
        <v>33</v>
      </c>
    </row>
    <row r="26" ht="12.75" customHeight="1">
      <c r="N26" s="1">
        <f>'演算'!AJ27</f>
        <v>24</v>
      </c>
      <c r="O26" s="1">
        <f>'演算'!AK27</f>
        <v>0.5520356601</v>
      </c>
      <c r="P26" s="1">
        <f>'演算'!X28</f>
        <v>1902.349474</v>
      </c>
      <c r="T26" s="7">
        <v>10.0</v>
      </c>
    </row>
    <row r="27" ht="12.75" customHeight="1">
      <c r="N27" s="1">
        <f>'演算'!AJ28</f>
        <v>25</v>
      </c>
      <c r="O27" s="1">
        <f>'演算'!AK28</f>
        <v>0.5680011344</v>
      </c>
      <c r="P27" s="1">
        <f>'演算'!X29</f>
        <v>1959.600228</v>
      </c>
      <c r="T27" s="14">
        <v>20.0</v>
      </c>
    </row>
    <row r="28" ht="12.75" customHeight="1">
      <c r="N28" s="1">
        <f>'演算'!AJ29</f>
        <v>26</v>
      </c>
      <c r="O28" s="1">
        <f>'演算'!AK29</f>
        <v>0.5846684454</v>
      </c>
      <c r="P28" s="1">
        <f>'演算'!X30</f>
        <v>2019.260957</v>
      </c>
      <c r="T28" s="14">
        <v>50.0</v>
      </c>
    </row>
    <row r="29" ht="12.75" customHeight="1">
      <c r="N29" s="1">
        <f>'演算'!AJ30</f>
        <v>27</v>
      </c>
      <c r="O29" s="1">
        <f>'演算'!AK30</f>
        <v>0.6020285843</v>
      </c>
      <c r="P29" s="1">
        <f>'演算'!X31</f>
        <v>2081.296319</v>
      </c>
      <c r="T29" s="14">
        <v>40.0</v>
      </c>
    </row>
    <row r="30" ht="12.75" customHeight="1">
      <c r="N30" s="1">
        <f>'演算'!AJ31</f>
        <v>28</v>
      </c>
      <c r="O30" s="1">
        <f>'演算'!AK31</f>
        <v>0.620072616</v>
      </c>
      <c r="P30" s="1">
        <f>'演算'!X32</f>
        <v>2145.670811</v>
      </c>
      <c r="T30" s="14">
        <v>-50.0</v>
      </c>
    </row>
    <row r="31" ht="12.75" customHeight="1">
      <c r="N31" s="1">
        <f>'演算'!AJ32</f>
        <v>29</v>
      </c>
      <c r="O31" s="1">
        <f>'演算'!AK32</f>
        <v>0.6387916677</v>
      </c>
      <c r="P31" s="1">
        <f>'演算'!X33</f>
        <v>2212.348763</v>
      </c>
      <c r="T31" s="14">
        <v>300.0</v>
      </c>
    </row>
    <row r="32" ht="12.75" customHeight="1">
      <c r="N32" s="1">
        <f>'演算'!AJ33</f>
        <v>30</v>
      </c>
      <c r="O32" s="1">
        <f>'演算'!AK33</f>
        <v>0.6581769164</v>
      </c>
      <c r="P32" s="1">
        <f>'演算'!X34</f>
        <v>2281.294326</v>
      </c>
      <c r="T32" s="14">
        <v>180.0</v>
      </c>
    </row>
    <row r="33" ht="12.75" customHeight="1">
      <c r="N33" s="1">
        <f>'演算'!AJ34</f>
        <v>31</v>
      </c>
      <c r="O33" s="1">
        <f>'演算'!AK34</f>
        <v>0.6782195759</v>
      </c>
      <c r="P33" s="1">
        <f>'演算'!X35</f>
        <v>2352.471461</v>
      </c>
      <c r="T33" s="21">
        <v>110.0</v>
      </c>
    </row>
    <row r="34" ht="12.75" customHeight="1">
      <c r="N34" s="1">
        <f>'演算'!AJ35</f>
        <v>32</v>
      </c>
      <c r="O34" s="1">
        <f>'演算'!AK35</f>
        <v>0.698910883</v>
      </c>
      <c r="P34" s="1">
        <f>'演算'!X36</f>
        <v>2425.843921</v>
      </c>
      <c r="T34" s="32">
        <v>300.0</v>
      </c>
    </row>
    <row r="35" ht="12.75" customHeight="1">
      <c r="N35" s="1">
        <f>'演算'!AJ36</f>
        <v>33</v>
      </c>
      <c r="O35" s="1">
        <f>'演算'!AK36</f>
        <v>0.7202420851</v>
      </c>
      <c r="P35" s="1">
        <f>'演算'!X37</f>
        <v>2501.375238</v>
      </c>
    </row>
    <row r="36" ht="12.75" customHeight="1">
      <c r="N36" s="1">
        <f>'演算'!AJ37</f>
        <v>34</v>
      </c>
      <c r="O36" s="1">
        <f>'演算'!AK37</f>
        <v>0.7422044272</v>
      </c>
      <c r="P36" s="1">
        <f>'演算'!X38</f>
        <v>2579.028709</v>
      </c>
    </row>
    <row r="37" ht="12.75" customHeight="1">
      <c r="N37" s="1">
        <f>'演算'!AJ38</f>
        <v>35</v>
      </c>
      <c r="O37" s="1">
        <f>'演算'!AK38</f>
        <v>0.7647891401</v>
      </c>
      <c r="P37" s="1">
        <f>'演算'!X39</f>
        <v>2658.76738</v>
      </c>
    </row>
    <row r="38" ht="12.75" customHeight="1">
      <c r="N38" s="1">
        <f>'演算'!AJ39</f>
        <v>36</v>
      </c>
      <c r="O38" s="1">
        <f>'演算'!AK39</f>
        <v>0.7879874294</v>
      </c>
      <c r="P38" s="1">
        <f>'演算'!X40</f>
        <v>2740.554035</v>
      </c>
    </row>
    <row r="39" ht="12.75" customHeight="1">
      <c r="N39" s="1">
        <f>'演算'!AJ40</f>
        <v>37</v>
      </c>
      <c r="O39" s="1">
        <f>'演算'!AK40</f>
        <v>0.8117904651</v>
      </c>
      <c r="P39" s="1">
        <f>'演算'!X41</f>
        <v>2824.351187</v>
      </c>
    </row>
    <row r="40" ht="12.75" customHeight="1">
      <c r="N40" s="1">
        <f>'演算'!AJ41</f>
        <v>38</v>
      </c>
      <c r="O40" s="1">
        <f>'演算'!AK41</f>
        <v>0.8361893718</v>
      </c>
      <c r="P40" s="1">
        <f>'演算'!X42</f>
        <v>2910.121068</v>
      </c>
    </row>
    <row r="41" ht="12.75" customHeight="1">
      <c r="N41" s="1">
        <f>'演算'!AJ42</f>
        <v>39</v>
      </c>
      <c r="O41" s="1">
        <f>'演算'!AK42</f>
        <v>0.8611752206</v>
      </c>
      <c r="P41" s="1">
        <f>'演算'!X43</f>
        <v>2997.825623</v>
      </c>
    </row>
    <row r="42" ht="12.75" customHeight="1">
      <c r="N42" s="1">
        <f>'演算'!AJ43</f>
        <v>40</v>
      </c>
      <c r="O42" s="1">
        <f>'演算'!AK43</f>
        <v>0.886739021</v>
      </c>
      <c r="P42" s="1">
        <f>'演算'!X44</f>
        <v>3087.426506</v>
      </c>
    </row>
    <row r="43" ht="12.75" customHeight="1">
      <c r="N43" s="1">
        <f>'演算'!AJ44</f>
        <v>41</v>
      </c>
      <c r="O43" s="1">
        <f>'演算'!AK44</f>
        <v>0.912871714</v>
      </c>
      <c r="P43" s="1">
        <f>'演算'!X45</f>
        <v>3178.885077</v>
      </c>
    </row>
    <row r="44" ht="12.75" customHeight="1">
      <c r="N44" s="1">
        <f>'演算'!AJ45</f>
        <v>42</v>
      </c>
      <c r="O44" s="1">
        <f>'演算'!AK45</f>
        <v>0.9395641657</v>
      </c>
      <c r="P44" s="1">
        <f>'演算'!X46</f>
        <v>3272.162401</v>
      </c>
    </row>
    <row r="45" ht="12.75" customHeight="1">
      <c r="N45" s="1">
        <f>'演算'!AJ46</f>
        <v>43</v>
      </c>
      <c r="O45" s="1">
        <f>'演算'!AK46</f>
        <v>0.9668071624</v>
      </c>
      <c r="P45" s="1">
        <f>'演算'!X47</f>
        <v>3367.219251</v>
      </c>
    </row>
    <row r="46" ht="12.75" customHeight="1">
      <c r="N46" s="1">
        <f>'演算'!AJ47</f>
        <v>44</v>
      </c>
      <c r="O46" s="1">
        <f>'演算'!AK47</f>
        <v>0.9945914054</v>
      </c>
      <c r="P46" s="1">
        <f>'演算'!X48</f>
        <v>3464.016106</v>
      </c>
    </row>
    <row r="47" ht="12.75" customHeight="1">
      <c r="N47" s="1">
        <f>'演算'!AJ48</f>
        <v>45</v>
      </c>
      <c r="O47" s="1">
        <f>'演算'!AK48</f>
        <v>1.022907507</v>
      </c>
      <c r="P47" s="1">
        <f>'演算'!X49</f>
        <v>3562.513162</v>
      </c>
    </row>
    <row r="48" ht="12.75" customHeight="1">
      <c r="N48" s="1">
        <f>'演算'!AJ49</f>
        <v>46</v>
      </c>
      <c r="O48" s="1">
        <f>'演算'!AK49</f>
        <v>1.051745987</v>
      </c>
      <c r="P48" s="1">
        <f>'演算'!X50</f>
        <v>3662.670333</v>
      </c>
    </row>
    <row r="49" ht="12.75" customHeight="1">
      <c r="N49" s="1">
        <f>'演算'!AJ50</f>
        <v>47</v>
      </c>
      <c r="O49" s="1">
        <f>'演算'!AK50</f>
        <v>1.08109727</v>
      </c>
      <c r="P49" s="1">
        <f>'演算'!X51</f>
        <v>3764.447257</v>
      </c>
    </row>
    <row r="50" ht="12.75" customHeight="1">
      <c r="N50" s="1">
        <f>'演算'!AJ51</f>
        <v>48</v>
      </c>
      <c r="O50" s="1">
        <f>'演算'!AK51</f>
        <v>1.110951683</v>
      </c>
      <c r="P50" s="1">
        <f>'演算'!X52</f>
        <v>3867.803309</v>
      </c>
    </row>
    <row r="51" ht="12.75" customHeight="1">
      <c r="N51" s="1">
        <f>'演算'!AJ52</f>
        <v>49</v>
      </c>
      <c r="O51" s="1">
        <f>'演算'!AK52</f>
        <v>1.141299454</v>
      </c>
      <c r="P51" s="1">
        <f>'演算'!X53</f>
        <v>3972.697606</v>
      </c>
    </row>
    <row r="52" ht="12.75" customHeight="1">
      <c r="N52" s="1">
        <f>'演算'!AJ53</f>
        <v>50</v>
      </c>
      <c r="O52" s="1">
        <f>'演算'!AK53</f>
        <v>1.172130709</v>
      </c>
      <c r="P52" s="1">
        <f>'演算'!X54</f>
        <v>4079.08902</v>
      </c>
    </row>
    <row r="53" ht="12.75" customHeight="1">
      <c r="N53" s="1">
        <f>'演算'!AJ54</f>
        <v>51</v>
      </c>
      <c r="O53" s="1">
        <f>'演算'!AK54</f>
        <v>1.203435473</v>
      </c>
      <c r="P53" s="1">
        <f>'演算'!X55</f>
        <v>4186.936187</v>
      </c>
    </row>
    <row r="54" ht="12.75" customHeight="1">
      <c r="N54" s="1">
        <f>'演算'!AJ55</f>
        <v>52</v>
      </c>
      <c r="O54" s="1">
        <f>'演算'!AK55</f>
        <v>1.235203666</v>
      </c>
      <c r="P54" s="1">
        <f>'演算'!X56</f>
        <v>4296.197519</v>
      </c>
    </row>
    <row r="55" ht="12.75" customHeight="1">
      <c r="N55" s="1">
        <f>'演算'!AJ56</f>
        <v>53</v>
      </c>
      <c r="O55" s="1">
        <f>'演算'!AK56</f>
        <v>1.267425109</v>
      </c>
      <c r="P55" s="1">
        <f>'演算'!X57</f>
        <v>4406.831219</v>
      </c>
    </row>
    <row r="56" ht="12.75" customHeight="1">
      <c r="N56" s="1">
        <f>'演算'!AJ57</f>
        <v>54</v>
      </c>
      <c r="O56" s="1">
        <f>'演算'!AK57</f>
        <v>1.300089517</v>
      </c>
      <c r="P56" s="1">
        <f>'演算'!X58</f>
        <v>4518.795291</v>
      </c>
    </row>
    <row r="57" ht="12.75" customHeight="1">
      <c r="N57" s="1">
        <f>'演算'!AJ58</f>
        <v>55</v>
      </c>
      <c r="O57" s="1">
        <f>'演算'!AK58</f>
        <v>1.333186504</v>
      </c>
      <c r="P57" s="1">
        <f>'演算'!X59</f>
        <v>4632.047556</v>
      </c>
    </row>
    <row r="58" ht="12.75" customHeight="1">
      <c r="N58" s="1">
        <f>'演算'!AJ59</f>
        <v>56</v>
      </c>
      <c r="O58" s="1">
        <f>'演算'!AK59</f>
        <v>1.366705582</v>
      </c>
      <c r="P58" s="1">
        <f>'演算'!X60</f>
        <v>4746.545664</v>
      </c>
    </row>
    <row r="59" ht="12.75" customHeight="1">
      <c r="N59" s="1">
        <f>'演算'!AJ60</f>
        <v>57</v>
      </c>
      <c r="O59" s="1">
        <f>'演算'!AK60</f>
        <v>1.40063616</v>
      </c>
      <c r="P59" s="1">
        <f>'演算'!X61</f>
        <v>4862.24711</v>
      </c>
    </row>
    <row r="60" ht="12.75" customHeight="1">
      <c r="N60" s="1">
        <f>'演算'!AJ61</f>
        <v>58</v>
      </c>
      <c r="O60" s="1">
        <f>'演算'!AK61</f>
        <v>1.43496755</v>
      </c>
      <c r="P60" s="1">
        <f>'演算'!X62</f>
        <v>4979.109248</v>
      </c>
    </row>
    <row r="61" ht="12.75" customHeight="1">
      <c r="N61" s="1">
        <f>'演算'!AJ62</f>
        <v>59</v>
      </c>
      <c r="O61" s="1">
        <f>'演算'!AK62</f>
        <v>1.469688963</v>
      </c>
      <c r="P61" s="1">
        <f>'演算'!X63</f>
        <v>5097.089308</v>
      </c>
    </row>
    <row r="62" ht="12.75" customHeight="1">
      <c r="N62" s="1">
        <f>'演算'!AJ63</f>
        <v>60</v>
      </c>
      <c r="O62" s="1">
        <f>'演算'!AK63</f>
        <v>1.504789515</v>
      </c>
      <c r="P62" s="1">
        <f>'演算'!X64</f>
        <v>5216.144408</v>
      </c>
    </row>
    <row r="63" ht="12.75" customHeight="1">
      <c r="N63" s="1">
        <f>'演算'!AJ64</f>
        <v>61</v>
      </c>
      <c r="O63" s="1">
        <f>'演算'!AK64</f>
        <v>1.540258224</v>
      </c>
      <c r="P63" s="1">
        <f>'演算'!X65</f>
        <v>5336.23157</v>
      </c>
    </row>
    <row r="64" ht="12.75" customHeight="1">
      <c r="N64" s="1">
        <f>'演算'!AJ65</f>
        <v>62</v>
      </c>
      <c r="O64" s="1">
        <f>'演算'!AK65</f>
        <v>1.576084016</v>
      </c>
      <c r="P64" s="1">
        <f>'演算'!X66</f>
        <v>5457.307738</v>
      </c>
    </row>
    <row r="65" ht="12.75" customHeight="1">
      <c r="N65" s="1">
        <f>'演算'!AJ66</f>
        <v>63</v>
      </c>
      <c r="O65" s="1">
        <f>'演算'!AK66</f>
        <v>1.612255724</v>
      </c>
      <c r="P65" s="1">
        <f>'演算'!X67</f>
        <v>5579.32979</v>
      </c>
    </row>
    <row r="66" ht="12.75" customHeight="1">
      <c r="N66" s="1">
        <f>'演算'!AJ67</f>
        <v>64</v>
      </c>
      <c r="O66" s="1">
        <f>'演算'!AK67</f>
        <v>1.648762095</v>
      </c>
      <c r="P66" s="1">
        <f>'演算'!X68</f>
        <v>5702.254557</v>
      </c>
    </row>
    <row r="67" ht="12.75" customHeight="1">
      <c r="N67" s="1">
        <f>'演算'!AJ68</f>
        <v>65</v>
      </c>
      <c r="O67" s="1">
        <f>'演算'!AK68</f>
        <v>1.685591783</v>
      </c>
      <c r="P67" s="1">
        <f>'演算'!X69</f>
        <v>5826.038833</v>
      </c>
    </row>
    <row r="68" ht="12.75" customHeight="1">
      <c r="N68" s="1">
        <f>'演算'!AJ69</f>
        <v>66</v>
      </c>
      <c r="O68" s="1">
        <f>'演算'!AK69</f>
        <v>1.722733363</v>
      </c>
      <c r="P68" s="1">
        <f>'演算'!X70</f>
        <v>5950.639398</v>
      </c>
    </row>
    <row r="69" ht="12.75" customHeight="1">
      <c r="N69" s="1">
        <f>'演算'!AJ70</f>
        <v>67</v>
      </c>
      <c r="O69" s="1">
        <f>'演算'!AK70</f>
        <v>1.760175324</v>
      </c>
      <c r="P69" s="1">
        <f>'演算'!X71</f>
        <v>6076.013028</v>
      </c>
    </row>
    <row r="70" ht="12.75" customHeight="1">
      <c r="N70" s="1">
        <f>'演算'!AJ71</f>
        <v>68</v>
      </c>
      <c r="O70" s="1">
        <f>'演算'!AK71</f>
        <v>1.797906077</v>
      </c>
      <c r="P70" s="1">
        <f>'演算'!X72</f>
        <v>6202.116509</v>
      </c>
    </row>
    <row r="71" ht="12.75" customHeight="1">
      <c r="N71" s="1">
        <f>'演算'!AJ72</f>
        <v>69</v>
      </c>
      <c r="O71" s="1">
        <f>'演算'!AK72</f>
        <v>1.835913953</v>
      </c>
      <c r="P71" s="1">
        <f>'演算'!X73</f>
        <v>6328.906657</v>
      </c>
    </row>
    <row r="72" ht="12.75" customHeight="1">
      <c r="N72" s="1">
        <f>'演算'!AJ73</f>
        <v>70</v>
      </c>
      <c r="O72" s="1">
        <f>'演算'!AK73</f>
        <v>1.874187214</v>
      </c>
      <c r="P72" s="1">
        <f>'演算'!X74</f>
        <v>6456.340329</v>
      </c>
    </row>
    <row r="73" ht="12.75" customHeight="1">
      <c r="N73" s="1">
        <f>'演算'!AJ74</f>
        <v>71</v>
      </c>
      <c r="O73" s="1">
        <f>'演算'!AK74</f>
        <v>1.912714046</v>
      </c>
      <c r="P73" s="1">
        <f>'演算'!X75</f>
        <v>6584.37444</v>
      </c>
    </row>
    <row r="74" ht="12.75" customHeight="1">
      <c r="N74" s="1">
        <f>'演算'!AJ75</f>
        <v>72</v>
      </c>
      <c r="O74" s="1">
        <f>'演算'!AK75</f>
        <v>1.951482569</v>
      </c>
      <c r="P74" s="1">
        <f>'演算'!X76</f>
        <v>6712.965975</v>
      </c>
    </row>
    <row r="75" ht="12.75" customHeight="1">
      <c r="N75" s="1">
        <f>'演算'!AJ76</f>
        <v>73</v>
      </c>
      <c r="O75" s="1">
        <f>'演算'!AK76</f>
        <v>1.990480837</v>
      </c>
      <c r="P75" s="1">
        <f>'演算'!X77</f>
        <v>6842.072006</v>
      </c>
    </row>
    <row r="76" ht="12.75" customHeight="1">
      <c r="N76" s="1">
        <f>'演算'!AJ77</f>
        <v>74</v>
      </c>
      <c r="O76" s="1">
        <f>'演算'!AK77</f>
        <v>2.029696841</v>
      </c>
      <c r="P76" s="1">
        <f>'演算'!X78</f>
        <v>6971.649703</v>
      </c>
    </row>
    <row r="77" ht="12.75" customHeight="1">
      <c r="N77" s="1">
        <f>'演算'!AJ78</f>
        <v>75</v>
      </c>
      <c r="O77" s="1">
        <f>'演算'!AK78</f>
        <v>2.069118513</v>
      </c>
      <c r="P77" s="1">
        <f>'演算'!X79</f>
        <v>7101.656351</v>
      </c>
    </row>
    <row r="78" ht="12.75" customHeight="1">
      <c r="N78" s="1">
        <f>'演算'!AJ79</f>
        <v>76</v>
      </c>
      <c r="O78" s="1">
        <f>'演算'!AK79</f>
        <v>2.108733731</v>
      </c>
      <c r="P78" s="1">
        <f>'演算'!X80</f>
        <v>7232.049361</v>
      </c>
    </row>
    <row r="79" ht="12.75" customHeight="1">
      <c r="N79" s="1">
        <f>'演算'!AJ80</f>
        <v>77</v>
      </c>
      <c r="O79" s="1">
        <f>'演算'!AK80</f>
        <v>2.148530318</v>
      </c>
      <c r="P79" s="1">
        <f>'演算'!X81</f>
        <v>7362.786285</v>
      </c>
    </row>
    <row r="80" ht="12.75" customHeight="1">
      <c r="N80" s="1">
        <f>'演算'!AJ81</f>
        <v>78</v>
      </c>
      <c r="O80" s="1">
        <f>'演算'!AK81</f>
        <v>2.188496049</v>
      </c>
      <c r="P80" s="1">
        <f>'演算'!X82</f>
        <v>7493.824827</v>
      </c>
    </row>
    <row r="81" ht="12.75" customHeight="1">
      <c r="N81" s="1">
        <f>'演算'!AJ82</f>
        <v>79</v>
      </c>
      <c r="O81" s="1">
        <f>'演算'!AK82</f>
        <v>2.228618652</v>
      </c>
      <c r="P81" s="1">
        <f>'演算'!X83</f>
        <v>7625.122858</v>
      </c>
    </row>
    <row r="82" ht="12.75" customHeight="1">
      <c r="N82" s="1">
        <f>'演算'!AJ83</f>
        <v>80</v>
      </c>
      <c r="O82" s="1">
        <f>'演算'!AK83</f>
        <v>2.268885813</v>
      </c>
      <c r="P82" s="1">
        <f>'演算'!X84</f>
        <v>7756.638427</v>
      </c>
    </row>
    <row r="83" ht="12.75" customHeight="1">
      <c r="N83" s="1">
        <f>'演算'!AJ84</f>
        <v>81</v>
      </c>
      <c r="O83" s="1">
        <f>'演算'!AK84</f>
        <v>2.309285178</v>
      </c>
      <c r="P83" s="1">
        <f>'演算'!X85</f>
        <v>7888.329771</v>
      </c>
    </row>
    <row r="84" ht="12.75" customHeight="1">
      <c r="N84" s="1">
        <f>'演算'!AJ85</f>
        <v>82</v>
      </c>
      <c r="O84" s="1">
        <f>'演算'!AK85</f>
        <v>2.349804359</v>
      </c>
      <c r="P84" s="1">
        <f>'演算'!X86</f>
        <v>8020.155333</v>
      </c>
    </row>
    <row r="85" ht="12.75" customHeight="1">
      <c r="N85" s="1">
        <f>'演算'!AJ86</f>
        <v>83</v>
      </c>
      <c r="O85" s="1">
        <f>'演算'!AK86</f>
        <v>2.390430934</v>
      </c>
      <c r="P85" s="1">
        <f>'演算'!X87</f>
        <v>8152.073766</v>
      </c>
    </row>
    <row r="86" ht="12.75" customHeight="1">
      <c r="N86" s="1">
        <f>'演算'!AJ87</f>
        <v>84</v>
      </c>
      <c r="O86" s="1">
        <f>'演算'!AK87</f>
        <v>2.431152452</v>
      </c>
      <c r="P86" s="1">
        <f>'演算'!X88</f>
        <v>8284.043949</v>
      </c>
    </row>
    <row r="87" ht="12.75" customHeight="1">
      <c r="N87" s="1">
        <f>'演算'!AJ88</f>
        <v>85</v>
      </c>
      <c r="O87" s="1">
        <f>'演算'!AK88</f>
        <v>2.47195644</v>
      </c>
      <c r="P87" s="1">
        <f>'演算'!X89</f>
        <v>8416.024998</v>
      </c>
    </row>
    <row r="88" ht="12.75" customHeight="1">
      <c r="N88" s="1">
        <f>'演算'!AJ89</f>
        <v>86</v>
      </c>
      <c r="O88" s="1">
        <f>'演算'!AK89</f>
        <v>2.512830398</v>
      </c>
      <c r="P88" s="1">
        <f>'演算'!X90</f>
        <v>8547.976273</v>
      </c>
    </row>
    <row r="89" ht="12.75" customHeight="1">
      <c r="N89" s="1">
        <f>'演算'!AJ90</f>
        <v>87</v>
      </c>
      <c r="O89" s="1">
        <f>'演算'!AK90</f>
        <v>2.553761814</v>
      </c>
      <c r="P89" s="1">
        <f>'演算'!X91</f>
        <v>8679.85739</v>
      </c>
    </row>
    <row r="90" ht="12.75" customHeight="1">
      <c r="N90" s="1">
        <f>'演算'!AJ91</f>
        <v>88</v>
      </c>
      <c r="O90" s="1">
        <f>'演算'!AK91</f>
        <v>2.594738158</v>
      </c>
      <c r="P90" s="1">
        <f>'演算'!X92</f>
        <v>8811.628233</v>
      </c>
    </row>
    <row r="91" ht="12.75" customHeight="1">
      <c r="N91" s="1">
        <f>'演算'!AJ92</f>
        <v>89</v>
      </c>
      <c r="O91" s="1">
        <f>'演算'!AK92</f>
        <v>2.635746889</v>
      </c>
      <c r="P91" s="1">
        <f>'演算'!X93</f>
        <v>8943.24896</v>
      </c>
    </row>
    <row r="92" ht="12.75" customHeight="1">
      <c r="N92" s="1">
        <f>'演算'!AJ93</f>
        <v>90</v>
      </c>
      <c r="O92" s="1">
        <f>'演算'!AK93</f>
        <v>2.67677546</v>
      </c>
      <c r="P92" s="1">
        <f>'演算'!X94</f>
        <v>9074.680016</v>
      </c>
    </row>
    <row r="93" ht="12.75" customHeight="1">
      <c r="N93" s="1">
        <f>'演算'!AJ94</f>
        <v>91</v>
      </c>
      <c r="O93" s="1">
        <f>'演算'!AK94</f>
        <v>2.717811322</v>
      </c>
      <c r="P93" s="1">
        <f>'演算'!X95</f>
        <v>9205.882138</v>
      </c>
    </row>
    <row r="94" ht="12.75" customHeight="1">
      <c r="N94" s="1">
        <f>'演算'!AJ95</f>
        <v>92</v>
      </c>
      <c r="O94" s="1">
        <f>'演算'!AK95</f>
        <v>2.758841923</v>
      </c>
      <c r="P94" s="1">
        <f>'演算'!X96</f>
        <v>9336.816366</v>
      </c>
    </row>
    <row r="95" ht="12.75" customHeight="1">
      <c r="N95" s="1">
        <f>'演算'!AJ96</f>
        <v>93</v>
      </c>
      <c r="O95" s="1">
        <f>'演算'!AK96</f>
        <v>2.799854718</v>
      </c>
      <c r="P95" s="1">
        <f>'演算'!X97</f>
        <v>9467.444053</v>
      </c>
    </row>
    <row r="96" ht="12.75" customHeight="1">
      <c r="N96" s="1">
        <f>'演算'!AJ97</f>
        <v>94</v>
      </c>
      <c r="O96" s="1">
        <f>'演算'!AK97</f>
        <v>2.840837168</v>
      </c>
      <c r="P96" s="1">
        <f>'演算'!X98</f>
        <v>9597.726868</v>
      </c>
    </row>
    <row r="97" ht="12.75" customHeight="1">
      <c r="N97" s="1">
        <f>'演算'!AJ98</f>
        <v>95</v>
      </c>
      <c r="O97" s="1">
        <f>'演算'!AK98</f>
        <v>2.881776746</v>
      </c>
      <c r="P97" s="1">
        <f>'演算'!X99</f>
        <v>9727.62681</v>
      </c>
    </row>
    <row r="98" ht="12.75" customHeight="1">
      <c r="N98" s="1">
        <f>'演算'!AJ99</f>
        <v>96</v>
      </c>
      <c r="O98" s="1">
        <f>'演算'!AK99</f>
        <v>2.922660938</v>
      </c>
      <c r="P98" s="1">
        <f>'演算'!X100</f>
        <v>9857.10621</v>
      </c>
    </row>
    <row r="99" ht="12.75" customHeight="1">
      <c r="N99" s="1">
        <f>'演算'!AJ100</f>
        <v>97</v>
      </c>
      <c r="O99" s="1">
        <f>'演算'!AK100</f>
        <v>2.963477252</v>
      </c>
      <c r="P99" s="1">
        <f>'演算'!X101</f>
        <v>9986.127742</v>
      </c>
    </row>
    <row r="100" ht="12.75" customHeight="1">
      <c r="N100" s="1">
        <f>'演算'!AJ101</f>
        <v>98</v>
      </c>
      <c r="O100" s="1">
        <f>'演算'!AK101</f>
        <v>3.004213217</v>
      </c>
      <c r="P100" s="1">
        <f>'演算'!X102</f>
        <v>10114.65443</v>
      </c>
    </row>
    <row r="101" ht="12.75" customHeight="1">
      <c r="N101" s="1">
        <f>'演算'!AJ102</f>
        <v>99</v>
      </c>
      <c r="O101" s="1">
        <f>'演算'!AK102</f>
        <v>3.044856387</v>
      </c>
      <c r="P101" s="1">
        <f>'演算'!X103</f>
        <v>10242.64964</v>
      </c>
    </row>
    <row r="102" ht="12.75" customHeight="1">
      <c r="N102" s="1">
        <f>'演算'!AJ103</f>
        <v>100</v>
      </c>
      <c r="O102" s="1">
        <f>'演算'!AK103</f>
        <v>3.085394348</v>
      </c>
      <c r="P102" s="1">
        <f>'演算'!X104</f>
        <v>10370.07712</v>
      </c>
    </row>
    <row r="103" ht="12.75" customHeight="1">
      <c r="N103" s="1">
        <f>'演算'!AJ104</f>
        <v>101</v>
      </c>
      <c r="O103" s="1">
        <f>'演算'!AK104</f>
        <v>3.125814717</v>
      </c>
      <c r="P103" s="1">
        <f>'演算'!X105</f>
        <v>10496.90098</v>
      </c>
    </row>
    <row r="104" ht="12.75" customHeight="1">
      <c r="N104" s="1">
        <f>'演算'!AJ105</f>
        <v>102</v>
      </c>
      <c r="O104" s="1">
        <f>'演算'!AK105</f>
        <v>3.166105151</v>
      </c>
      <c r="P104" s="1">
        <f>'演算'!X106</f>
        <v>10623.08569</v>
      </c>
    </row>
    <row r="105" ht="12.75" customHeight="1">
      <c r="N105" s="1">
        <f>'演算'!AJ106</f>
        <v>103</v>
      </c>
      <c r="O105" s="1">
        <f>'演算'!AK106</f>
        <v>3.206253346</v>
      </c>
      <c r="P105" s="1">
        <f>'演算'!X107</f>
        <v>10748.59611</v>
      </c>
    </row>
    <row r="106" ht="12.75" customHeight="1">
      <c r="N106" s="1">
        <f>'演算'!AJ107</f>
        <v>104</v>
      </c>
      <c r="O106" s="1">
        <f>'演算'!AK107</f>
        <v>3.246247043</v>
      </c>
      <c r="P106" s="1">
        <f>'演算'!X108</f>
        <v>10873.39748</v>
      </c>
    </row>
    <row r="107" ht="12.75" customHeight="1">
      <c r="N107" s="1">
        <f>'演算'!AJ108</f>
        <v>105</v>
      </c>
      <c r="O107" s="1">
        <f>'演算'!AK108</f>
        <v>3.286074032</v>
      </c>
      <c r="P107" s="1">
        <f>'演算'!X109</f>
        <v>10997.45543</v>
      </c>
    </row>
    <row r="108" ht="12.75" customHeight="1">
      <c r="N108" s="1">
        <f>'演算'!AJ109</f>
        <v>106</v>
      </c>
      <c r="O108" s="1">
        <f>'演算'!AK109</f>
        <v>3.325722154</v>
      </c>
      <c r="P108" s="1">
        <f>'演算'!X110</f>
        <v>11120.73599</v>
      </c>
    </row>
    <row r="109" ht="12.75" customHeight="1">
      <c r="N109" s="1">
        <f>'演算'!AJ110</f>
        <v>107</v>
      </c>
      <c r="O109" s="1">
        <f>'演算'!AK110</f>
        <v>3.365179306</v>
      </c>
      <c r="P109" s="1">
        <f>'演算'!X111</f>
        <v>11243.20557</v>
      </c>
    </row>
    <row r="110" ht="12.75" customHeight="1">
      <c r="N110" s="1">
        <f>'演算'!AJ111</f>
        <v>108</v>
      </c>
      <c r="O110" s="1">
        <f>'演算'!AK111</f>
        <v>3.404433446</v>
      </c>
      <c r="P110" s="1">
        <f>'演算'!X112</f>
        <v>11364.83102</v>
      </c>
    </row>
    <row r="111" ht="12.75" customHeight="1">
      <c r="N111" s="1">
        <f>'演算'!AJ112</f>
        <v>109</v>
      </c>
      <c r="O111" s="1">
        <f>'演算'!AK112</f>
        <v>3.443472591</v>
      </c>
      <c r="P111" s="1">
        <f>'演算'!X113</f>
        <v>11485.57955</v>
      </c>
    </row>
    <row r="112" ht="12.75" customHeight="1">
      <c r="N112" s="1">
        <f>'演算'!AJ113</f>
        <v>110</v>
      </c>
      <c r="O112" s="1">
        <f>'演算'!AK113</f>
        <v>3.482284827</v>
      </c>
      <c r="P112" s="1">
        <f>'演算'!X114</f>
        <v>11605.41881</v>
      </c>
    </row>
    <row r="113" ht="12.75" customHeight="1">
      <c r="N113" s="1">
        <f>'演算'!AJ114</f>
        <v>111</v>
      </c>
      <c r="O113" s="1">
        <f>'演算'!AK114</f>
        <v>3.52085831</v>
      </c>
      <c r="P113" s="1">
        <f>'演算'!X115</f>
        <v>11724.31686</v>
      </c>
    </row>
    <row r="114" ht="12.75" customHeight="1">
      <c r="N114" s="1">
        <f>'演算'!AJ115</f>
        <v>112</v>
      </c>
      <c r="O114" s="1">
        <f>'演算'!AK115</f>
        <v>3.559181269</v>
      </c>
      <c r="P114" s="1">
        <f>'演算'!X116</f>
        <v>11842.24217</v>
      </c>
    </row>
    <row r="115" ht="12.75" customHeight="1">
      <c r="N115" s="1">
        <f>'演算'!AJ116</f>
        <v>113</v>
      </c>
      <c r="O115" s="1">
        <f>'演算'!AK116</f>
        <v>3.597242011</v>
      </c>
      <c r="P115" s="1">
        <f>'演算'!X117</f>
        <v>11959.16365</v>
      </c>
    </row>
    <row r="116" ht="12.75" customHeight="1">
      <c r="N116" s="1">
        <f>'演算'!AJ117</f>
        <v>114</v>
      </c>
      <c r="O116" s="1">
        <f>'演算'!AK117</f>
        <v>3.635028922</v>
      </c>
      <c r="P116" s="1">
        <f>'演算'!X118</f>
        <v>12075.05062</v>
      </c>
    </row>
    <row r="117" ht="12.75" customHeight="1">
      <c r="N117" s="1">
        <f>'演算'!AJ118</f>
        <v>115</v>
      </c>
      <c r="O117" s="1">
        <f>'演算'!AK118</f>
        <v>3.672530473</v>
      </c>
      <c r="P117" s="1">
        <f>'演算'!X119</f>
        <v>12189.87281</v>
      </c>
    </row>
    <row r="118" ht="12.75" customHeight="1">
      <c r="N118" s="1">
        <f>'演算'!AJ119</f>
        <v>116</v>
      </c>
      <c r="O118" s="1">
        <f>'演算'!AK119</f>
        <v>3.709735225</v>
      </c>
      <c r="P118" s="1">
        <f>'演算'!X120</f>
        <v>12303.60042</v>
      </c>
    </row>
    <row r="119" ht="12.75" customHeight="1">
      <c r="N119" s="1">
        <f>'演算'!AJ120</f>
        <v>117</v>
      </c>
      <c r="O119" s="1">
        <f>'演算'!AK120</f>
        <v>3.746631825</v>
      </c>
      <c r="P119" s="1">
        <f>'演算'!X121</f>
        <v>12416.20405</v>
      </c>
    </row>
    <row r="120" ht="12.75" customHeight="1">
      <c r="N120" s="1">
        <f>'演算'!AJ121</f>
        <v>118</v>
      </c>
      <c r="O120" s="1">
        <f>'演算'!AK121</f>
        <v>3.783209019</v>
      </c>
      <c r="P120" s="1">
        <f>'演算'!X122</f>
        <v>12527.65475</v>
      </c>
    </row>
    <row r="121" ht="12.75" customHeight="1">
      <c r="N121" s="1">
        <f>'演算'!AJ122</f>
        <v>119</v>
      </c>
      <c r="O121" s="1">
        <f>'演算'!AK122</f>
        <v>3.819455649</v>
      </c>
      <c r="P121" s="1">
        <f>'演算'!X123</f>
        <v>12637.924</v>
      </c>
    </row>
    <row r="122" ht="12.75" customHeight="1">
      <c r="N122" s="1">
        <f>'演算'!AJ123</f>
        <v>120</v>
      </c>
      <c r="O122" s="1">
        <f>'演算'!AK123</f>
        <v>3.85536066</v>
      </c>
      <c r="P122" s="1">
        <f>'演算'!X124</f>
        <v>12746.98373</v>
      </c>
    </row>
    <row r="123" ht="12.75" customHeight="1">
      <c r="N123" s="1">
        <f>'演算'!AJ124</f>
        <v>121</v>
      </c>
      <c r="O123" s="1">
        <f>'演算'!AK124</f>
        <v>3.890913098</v>
      </c>
      <c r="P123" s="1">
        <f>'演算'!X125</f>
        <v>12854.8063</v>
      </c>
    </row>
    <row r="124" ht="12.75" customHeight="1">
      <c r="N124" s="1">
        <f>'演算'!AJ125</f>
        <v>122</v>
      </c>
      <c r="O124" s="1">
        <f>'演算'!AK125</f>
        <v>3.926102121</v>
      </c>
      <c r="P124" s="1">
        <f>'演算'!X126</f>
        <v>12961.36452</v>
      </c>
    </row>
    <row r="125" ht="12.75" customHeight="1">
      <c r="N125" s="1">
        <f>'演算'!AJ126</f>
        <v>123</v>
      </c>
      <c r="O125" s="1">
        <f>'演算'!AK126</f>
        <v>3.960916995</v>
      </c>
      <c r="P125" s="1">
        <f>'演算'!X127</f>
        <v>13066.63163</v>
      </c>
    </row>
    <row r="126" ht="12.75" customHeight="1">
      <c r="N126" s="1">
        <f>'演算'!AJ127</f>
        <v>124</v>
      </c>
      <c r="O126" s="1">
        <f>'演算'!AK127</f>
        <v>3.995347103</v>
      </c>
      <c r="P126" s="1">
        <f>'演算'!X128</f>
        <v>13170.58134</v>
      </c>
    </row>
    <row r="127" ht="12.75" customHeight="1">
      <c r="N127" s="1">
        <f>'演算'!AJ128</f>
        <v>125</v>
      </c>
      <c r="O127" s="1">
        <f>'演算'!AK128</f>
        <v>4.029381945</v>
      </c>
      <c r="P127" s="1">
        <f>'演算'!X129</f>
        <v>13273.18779</v>
      </c>
    </row>
    <row r="128" ht="12.75" customHeight="1">
      <c r="N128" s="1">
        <f>'演算'!AJ129</f>
        <v>126</v>
      </c>
      <c r="O128" s="1">
        <f>'演算'!AK129</f>
        <v>4.063011141</v>
      </c>
      <c r="P128" s="1">
        <f>'演算'!X130</f>
        <v>13374.42557</v>
      </c>
    </row>
    <row r="129" ht="12.75" customHeight="1">
      <c r="N129" s="1">
        <f>'演算'!AJ130</f>
        <v>127</v>
      </c>
      <c r="O129" s="1">
        <f>'演算'!AK130</f>
        <v>4.096224436</v>
      </c>
      <c r="P129" s="1">
        <f>'演算'!X131</f>
        <v>13474.26972</v>
      </c>
    </row>
    <row r="130" ht="12.75" customHeight="1">
      <c r="N130" s="1">
        <f>'演算'!AJ131</f>
        <v>128</v>
      </c>
      <c r="O130" s="1">
        <f>'演算'!AK131</f>
        <v>4.1290117</v>
      </c>
      <c r="P130" s="1">
        <f>'演算'!X132</f>
        <v>13572.69575</v>
      </c>
    </row>
    <row r="131" ht="12.75" customHeight="1">
      <c r="N131" s="1">
        <f>'演算'!AJ132</f>
        <v>129</v>
      </c>
      <c r="O131" s="1">
        <f>'演算'!AK132</f>
        <v>4.161362937</v>
      </c>
      <c r="P131" s="1">
        <f>'演算'!X133</f>
        <v>13669.6796</v>
      </c>
    </row>
    <row r="132" ht="12.75" customHeight="1">
      <c r="N132" s="1">
        <f>'演算'!AJ133</f>
        <v>130</v>
      </c>
      <c r="O132" s="1">
        <f>'演算'!AK133</f>
        <v>4.193268281</v>
      </c>
      <c r="P132" s="1">
        <f>'演算'!X134</f>
        <v>13765.19766</v>
      </c>
    </row>
    <row r="133" ht="12.75" customHeight="1">
      <c r="N133" s="1">
        <f>'演算'!AJ134</f>
        <v>131</v>
      </c>
      <c r="O133" s="1">
        <f>'演算'!AK134</f>
        <v>4.224718004</v>
      </c>
      <c r="P133" s="1">
        <f>'演算'!X135</f>
        <v>13859.22678</v>
      </c>
    </row>
    <row r="134" ht="12.75" customHeight="1">
      <c r="N134" s="1">
        <f>'演算'!AJ135</f>
        <v>132</v>
      </c>
      <c r="O134" s="1">
        <f>'演算'!AK135</f>
        <v>4.255702515</v>
      </c>
      <c r="P134" s="1">
        <f>'演算'!X136</f>
        <v>13951.74428</v>
      </c>
    </row>
    <row r="135" ht="12.75" customHeight="1">
      <c r="N135" s="1">
        <f>'演算'!AJ136</f>
        <v>133</v>
      </c>
      <c r="O135" s="1">
        <f>'演算'!AK136</f>
        <v>4.286212368</v>
      </c>
      <c r="P135" s="1">
        <f>'演算'!X137</f>
        <v>14042.72792</v>
      </c>
    </row>
    <row r="136" ht="12.75" customHeight="1">
      <c r="N136" s="1">
        <f>'演算'!AJ137</f>
        <v>134</v>
      </c>
      <c r="O136" s="1">
        <f>'演算'!AK137</f>
        <v>4.31623826</v>
      </c>
      <c r="P136" s="1">
        <f>'演算'!X138</f>
        <v>14132.1559</v>
      </c>
    </row>
    <row r="137" ht="12.75" customHeight="1">
      <c r="N137" s="1">
        <f>'演算'!AJ138</f>
        <v>135</v>
      </c>
      <c r="O137" s="1">
        <f>'演算'!AK138</f>
        <v>4.345771036</v>
      </c>
      <c r="P137" s="1">
        <f>'演算'!X139</f>
        <v>14220.0069</v>
      </c>
    </row>
    <row r="138" ht="12.75" customHeight="1">
      <c r="N138" s="1">
        <f>'演算'!AJ139</f>
        <v>136</v>
      </c>
      <c r="O138" s="1">
        <f>'演算'!AK139</f>
        <v>4.374801691</v>
      </c>
      <c r="P138" s="1">
        <f>'演算'!X140</f>
        <v>14306.26005</v>
      </c>
    </row>
    <row r="139" ht="12.75" customHeight="1">
      <c r="N139" s="1">
        <f>'演算'!AJ140</f>
        <v>137</v>
      </c>
      <c r="O139" s="1">
        <f>'演算'!AK140</f>
        <v>4.403321376</v>
      </c>
      <c r="P139" s="1">
        <f>'演算'!X141</f>
        <v>14390.89493</v>
      </c>
    </row>
    <row r="140" ht="12.75" customHeight="1">
      <c r="N140" s="1">
        <f>'演算'!AJ141</f>
        <v>138</v>
      </c>
      <c r="O140" s="1">
        <f>'演算'!AK141</f>
        <v>4.431321394</v>
      </c>
      <c r="P140" s="1">
        <f>'演算'!X142</f>
        <v>14473.89157</v>
      </c>
    </row>
    <row r="141" ht="12.75" customHeight="1">
      <c r="N141" s="1">
        <f>'演算'!AJ142</f>
        <v>139</v>
      </c>
      <c r="O141" s="1">
        <f>'演算'!AK142</f>
        <v>4.458793209</v>
      </c>
      <c r="P141" s="1">
        <f>'演算'!X143</f>
        <v>14555.23048</v>
      </c>
    </row>
    <row r="142" ht="12.75" customHeight="1">
      <c r="N142" s="1">
        <f>'演算'!AJ143</f>
        <v>140</v>
      </c>
      <c r="O142" s="1">
        <f>'演算'!AK143</f>
        <v>4.485728447</v>
      </c>
      <c r="P142" s="1">
        <f>'演算'!X144</f>
        <v>14634.89261</v>
      </c>
    </row>
    <row r="143" ht="12.75" customHeight="1">
      <c r="N143" s="1">
        <f>'演算'!AJ144</f>
        <v>141</v>
      </c>
      <c r="O143" s="1">
        <f>'演算'!AK144</f>
        <v>4.512118894</v>
      </c>
      <c r="P143" s="1">
        <f>'演算'!X145</f>
        <v>14712.85936</v>
      </c>
    </row>
    <row r="144" ht="12.75" customHeight="1">
      <c r="N144" s="1">
        <f>'演算'!AJ145</f>
        <v>142</v>
      </c>
      <c r="O144" s="1">
        <f>'演算'!AK145</f>
        <v>4.537956507</v>
      </c>
      <c r="P144" s="1">
        <f>'演算'!X146</f>
        <v>14789.1126</v>
      </c>
    </row>
    <row r="145" ht="12.75" customHeight="1">
      <c r="N145" s="1">
        <f>'演算'!AJ146</f>
        <v>143</v>
      </c>
      <c r="O145" s="1">
        <f>'演算'!AK146</f>
        <v>4.563233407</v>
      </c>
      <c r="P145" s="1">
        <f>'演算'!X147</f>
        <v>14863.63464</v>
      </c>
    </row>
    <row r="146" ht="12.75" customHeight="1">
      <c r="N146" s="1">
        <f>'演算'!AJ147</f>
        <v>144</v>
      </c>
      <c r="O146" s="1">
        <f>'演算'!AK147</f>
        <v>4.587941891</v>
      </c>
      <c r="P146" s="1">
        <f>'演算'!X148</f>
        <v>14936.40828</v>
      </c>
    </row>
    <row r="147" ht="12.75" customHeight="1">
      <c r="N147" s="1">
        <f>'演算'!AJ148</f>
        <v>145</v>
      </c>
      <c r="O147" s="1">
        <f>'演算'!AK148</f>
        <v>4.612074424</v>
      </c>
      <c r="P147" s="1">
        <f>'演算'!X149</f>
        <v>15007.41673</v>
      </c>
    </row>
    <row r="148" ht="12.75" customHeight="1">
      <c r="N148" s="1">
        <f>'演算'!AJ149</f>
        <v>146</v>
      </c>
      <c r="O148" s="1">
        <f>'演算'!AK149</f>
        <v>4.635623651</v>
      </c>
      <c r="P148" s="1">
        <f>'演算'!X150</f>
        <v>15076.6437</v>
      </c>
    </row>
    <row r="149" ht="12.75" customHeight="1">
      <c r="N149" s="1">
        <f>'演算'!AJ150</f>
        <v>147</v>
      </c>
      <c r="O149" s="1">
        <f>'演算'!AK150</f>
        <v>4.658582392</v>
      </c>
      <c r="P149" s="1">
        <f>'演算'!X151</f>
        <v>15144.07332</v>
      </c>
    </row>
    <row r="150" ht="12.75" customHeight="1">
      <c r="N150" s="1">
        <f>'演算'!AJ151</f>
        <v>148</v>
      </c>
      <c r="O150" s="1">
        <f>'演算'!AK151</f>
        <v>4.68094365</v>
      </c>
      <c r="P150" s="1">
        <f>'演算'!X152</f>
        <v>15209.6902</v>
      </c>
    </row>
    <row r="151" ht="12.75" customHeight="1">
      <c r="N151" s="1">
        <f>'演算'!AJ152</f>
        <v>149</v>
      </c>
      <c r="O151" s="1">
        <f>'演算'!AK152</f>
        <v>4.702700608</v>
      </c>
      <c r="P151" s="1">
        <f>'演算'!X153</f>
        <v>15273.47939</v>
      </c>
    </row>
    <row r="152" ht="12.75" customHeight="1">
      <c r="N152" s="1">
        <f>'演算'!AJ153</f>
        <v>150</v>
      </c>
      <c r="O152" s="1">
        <f>'演算'!AK153</f>
        <v>4.723846633</v>
      </c>
      <c r="P152" s="1">
        <f>'演算'!X154</f>
        <v>15335.42641</v>
      </c>
    </row>
    <row r="153" ht="12.75" customHeight="1">
      <c r="N153" s="1">
        <f>'演算'!AJ154</f>
        <v>151</v>
      </c>
      <c r="O153" s="1">
        <f>'演算'!AK154</f>
        <v>4.744375279</v>
      </c>
      <c r="P153" s="1">
        <f>'演算'!X155</f>
        <v>15395.51721</v>
      </c>
    </row>
    <row r="154" ht="12.75" customHeight="1">
      <c r="N154" s="1">
        <f>'演算'!AJ155</f>
        <v>152</v>
      </c>
      <c r="O154" s="1">
        <f>'演算'!AK155</f>
        <v>4.76428029</v>
      </c>
      <c r="P154" s="1">
        <f>'演算'!X156</f>
        <v>15453.73823</v>
      </c>
    </row>
    <row r="155" ht="12.75" customHeight="1">
      <c r="N155" s="1">
        <f>'演算'!AJ156</f>
        <v>153</v>
      </c>
      <c r="O155" s="1">
        <f>'演算'!AK156</f>
        <v>4.783555598</v>
      </c>
      <c r="P155" s="1">
        <f>'演算'!X157</f>
        <v>15510.07634</v>
      </c>
    </row>
    <row r="156" ht="12.75" customHeight="1">
      <c r="N156" s="1">
        <f>'演算'!AJ157</f>
        <v>154</v>
      </c>
      <c r="O156" s="1">
        <f>'演算'!AK157</f>
        <v>4.802195326</v>
      </c>
      <c r="P156" s="1">
        <f>'演算'!X158</f>
        <v>15564.51887</v>
      </c>
    </row>
    <row r="157" ht="12.75" customHeight="1">
      <c r="N157" s="1">
        <f>'演算'!AJ158</f>
        <v>155</v>
      </c>
      <c r="O157" s="1">
        <f>'演算'!AK158</f>
        <v>4.820193794</v>
      </c>
      <c r="P157" s="1">
        <f>'演算'!X159</f>
        <v>15617.05359</v>
      </c>
    </row>
    <row r="158" ht="12.75" customHeight="1">
      <c r="N158" s="1">
        <f>'演算'!AJ159</f>
        <v>156</v>
      </c>
      <c r="O158" s="1">
        <f>'演算'!AK159</f>
        <v>4.837545515</v>
      </c>
      <c r="P158" s="1">
        <f>'演算'!X160</f>
        <v>15667.66875</v>
      </c>
    </row>
    <row r="159" ht="12.75" customHeight="1">
      <c r="N159" s="1">
        <f>'演算'!AJ160</f>
        <v>157</v>
      </c>
      <c r="O159" s="1">
        <f>'演算'!AK160</f>
        <v>4.854245201</v>
      </c>
      <c r="P159" s="1">
        <f>'演算'!X161</f>
        <v>15716.35303</v>
      </c>
    </row>
    <row r="160" ht="12.75" customHeight="1">
      <c r="N160" s="1">
        <f>'演算'!AJ161</f>
        <v>158</v>
      </c>
      <c r="O160" s="1">
        <f>'演算'!AK161</f>
        <v>4.87028776</v>
      </c>
      <c r="P160" s="1">
        <f>'演算'!X162</f>
        <v>15763.09558</v>
      </c>
    </row>
    <row r="161" ht="12.75" customHeight="1">
      <c r="N161" s="1">
        <f>'演算'!AJ162</f>
        <v>159</v>
      </c>
      <c r="O161" s="1">
        <f>'演算'!AK162</f>
        <v>4.885668304</v>
      </c>
      <c r="P161" s="1">
        <f>'演算'!X163</f>
        <v>15807.88599</v>
      </c>
    </row>
    <row r="162" ht="12.75" customHeight="1">
      <c r="N162" s="1">
        <f>'演算'!AJ163</f>
        <v>160</v>
      </c>
      <c r="O162" s="1">
        <f>'演算'!AK163</f>
        <v>4.900382144</v>
      </c>
      <c r="P162" s="1">
        <f>'演算'!X164</f>
        <v>15850.7143</v>
      </c>
    </row>
    <row r="163" ht="12.75" customHeight="1">
      <c r="N163" s="1">
        <f>'演算'!AJ164</f>
        <v>161</v>
      </c>
      <c r="O163" s="1">
        <f>'演算'!AK164</f>
        <v>4.914424795</v>
      </c>
      <c r="P163" s="1">
        <f>'演算'!X165</f>
        <v>15891.57101</v>
      </c>
    </row>
    <row r="164" ht="12.75" customHeight="1">
      <c r="N164" s="1">
        <f>'演算'!AJ165</f>
        <v>162</v>
      </c>
      <c r="O164" s="1">
        <f>'演算'!AK165</f>
        <v>4.927791977</v>
      </c>
      <c r="P164" s="1">
        <f>'演算'!X166</f>
        <v>15930.44706</v>
      </c>
    </row>
    <row r="165" ht="12.75" customHeight="1">
      <c r="N165" s="1">
        <f>'演算'!AJ166</f>
        <v>163</v>
      </c>
      <c r="O165" s="1">
        <f>'演算'!AK166</f>
        <v>4.940479616</v>
      </c>
      <c r="P165" s="1">
        <f>'演算'!X167</f>
        <v>15967.33387</v>
      </c>
    </row>
    <row r="166" ht="12.75" customHeight="1">
      <c r="N166" s="1">
        <f>'演算'!AJ167</f>
        <v>164</v>
      </c>
      <c r="O166" s="1">
        <f>'演算'!AK167</f>
        <v>4.952483845</v>
      </c>
      <c r="P166" s="1">
        <f>'演算'!X168</f>
        <v>16002.22327</v>
      </c>
    </row>
    <row r="167" ht="12.75" customHeight="1">
      <c r="N167" s="1">
        <f>'演算'!AJ168</f>
        <v>165</v>
      </c>
      <c r="O167" s="1">
        <f>'演算'!AK168</f>
        <v>4.963801004</v>
      </c>
      <c r="P167" s="1">
        <f>'演算'!X169</f>
        <v>16035.10757</v>
      </c>
    </row>
    <row r="168" ht="12.75" customHeight="1">
      <c r="N168" s="1">
        <f>'演算'!AJ169</f>
        <v>166</v>
      </c>
      <c r="O168" s="1">
        <f>'演算'!AK169</f>
        <v>4.974427645</v>
      </c>
      <c r="P168" s="1">
        <f>'演算'!X170</f>
        <v>16065.97951</v>
      </c>
    </row>
    <row r="169" ht="12.75" customHeight="1">
      <c r="N169" s="1">
        <f>'演算'!AJ170</f>
        <v>167</v>
      </c>
      <c r="O169" s="1">
        <f>'演算'!AK170</f>
        <v>4.984360528</v>
      </c>
      <c r="P169" s="1">
        <f>'演算'!X171</f>
        <v>16094.83229</v>
      </c>
    </row>
    <row r="170" ht="12.75" customHeight="1">
      <c r="N170" s="1">
        <f>'演算'!AJ171</f>
        <v>168</v>
      </c>
      <c r="O170" s="1">
        <f>'演算'!AK171</f>
        <v>4.993596626</v>
      </c>
      <c r="P170" s="1">
        <f>'演算'!X172</f>
        <v>16121.65957</v>
      </c>
    </row>
    <row r="171" ht="12.75" customHeight="1">
      <c r="N171" s="1">
        <f>'演算'!AJ172</f>
        <v>169</v>
      </c>
      <c r="O171" s="1">
        <f>'演算'!AK172</f>
        <v>5.002133124</v>
      </c>
      <c r="P171" s="1">
        <f>'演算'!X173</f>
        <v>16146.45544</v>
      </c>
    </row>
    <row r="172" ht="12.75" customHeight="1">
      <c r="N172" s="1">
        <f>'演算'!AJ173</f>
        <v>170</v>
      </c>
      <c r="O172" s="1">
        <f>'演算'!AK173</f>
        <v>5.00996742</v>
      </c>
      <c r="P172" s="1">
        <f>'演算'!X174</f>
        <v>16169.21445</v>
      </c>
    </row>
    <row r="173" ht="12.75" customHeight="1">
      <c r="N173" s="1">
        <f>'演算'!AJ174</f>
        <v>171</v>
      </c>
      <c r="O173" s="1">
        <f>'演算'!AK174</f>
        <v>5.017097126</v>
      </c>
      <c r="P173" s="1">
        <f>'演算'!X175</f>
        <v>16189.9316</v>
      </c>
    </row>
    <row r="174" ht="12.75" customHeight="1">
      <c r="N174" s="1">
        <f>'演算'!AJ175</f>
        <v>172</v>
      </c>
      <c r="O174" s="1">
        <f>'演算'!AK175</f>
        <v>5.023520069</v>
      </c>
      <c r="P174" s="1">
        <f>'演算'!X176</f>
        <v>16208.60232</v>
      </c>
    </row>
    <row r="175" ht="12.75" customHeight="1">
      <c r="N175" s="1">
        <f>'演算'!AJ176</f>
        <v>173</v>
      </c>
      <c r="O175" s="1">
        <f>'演算'!AK176</f>
        <v>5.029234292</v>
      </c>
      <c r="P175" s="1">
        <f>'演算'!X177</f>
        <v>16225.22251</v>
      </c>
    </row>
    <row r="176" ht="12.75" customHeight="1">
      <c r="N176" s="1">
        <f>'演算'!AJ177</f>
        <v>174</v>
      </c>
      <c r="O176" s="1">
        <f>'演算'!AK177</f>
        <v>5.034238053</v>
      </c>
      <c r="P176" s="1">
        <f>'演算'!X178</f>
        <v>16239.78851</v>
      </c>
    </row>
    <row r="177" ht="12.75" customHeight="1">
      <c r="N177" s="1">
        <f>'演算'!AJ178</f>
        <v>175</v>
      </c>
      <c r="O177" s="1">
        <f>'演算'!AK178</f>
        <v>5.038529826</v>
      </c>
      <c r="P177" s="1">
        <f>'演算'!X179</f>
        <v>16252.29711</v>
      </c>
    </row>
    <row r="178" ht="12.75" customHeight="1">
      <c r="N178" s="1">
        <f>'演算'!AJ179</f>
        <v>176</v>
      </c>
      <c r="O178" s="1">
        <f>'演算'!AK179</f>
        <v>5.042108304</v>
      </c>
      <c r="P178" s="1">
        <f>'演算'!X180</f>
        <v>16262.74554</v>
      </c>
    </row>
    <row r="179" ht="12.75" customHeight="1">
      <c r="N179" s="1">
        <f>'演算'!AJ180</f>
        <v>177</v>
      </c>
      <c r="O179" s="1">
        <f>'演算'!AK180</f>
        <v>5.044972397</v>
      </c>
      <c r="P179" s="1">
        <f>'演算'!X181</f>
        <v>16271.1315</v>
      </c>
    </row>
    <row r="180" ht="12.75" customHeight="1">
      <c r="N180" s="1">
        <f>'演算'!AJ181</f>
        <v>178</v>
      </c>
      <c r="O180" s="1">
        <f>'演算'!AK181</f>
        <v>5.04712123</v>
      </c>
      <c r="P180" s="1">
        <f>'演算'!X182</f>
        <v>16277.45311</v>
      </c>
    </row>
    <row r="181" ht="12.75" customHeight="1">
      <c r="N181" s="1">
        <f>'演算'!AJ182</f>
        <v>179</v>
      </c>
      <c r="O181" s="1">
        <f>'演算'!AK182</f>
        <v>5.048554149</v>
      </c>
      <c r="P181" s="1">
        <f>'演算'!X183</f>
        <v>16281.70896</v>
      </c>
    </row>
    <row r="182" ht="12.75" customHeight="1">
      <c r="N182" s="1">
        <f>'演算'!AJ183</f>
        <v>180</v>
      </c>
      <c r="O182" s="1">
        <f>'演算'!AK183</f>
        <v>5.049270718</v>
      </c>
      <c r="P182" s="1">
        <f>'演算'!X184</f>
        <v>16283.89807</v>
      </c>
    </row>
    <row r="183" ht="12.75" customHeight="1">
      <c r="N183" s="1">
        <f>'演算'!AJ184</f>
        <v>181</v>
      </c>
      <c r="O183" s="1">
        <f>'演算'!AK184</f>
        <v>0.9506087035</v>
      </c>
      <c r="P183" s="1">
        <f>'演算'!X185</f>
        <v>3065.713165</v>
      </c>
    </row>
    <row r="184" ht="12.75" customHeight="1">
      <c r="N184" s="1">
        <f>'演算'!AJ185</f>
        <v>182</v>
      </c>
      <c r="O184" s="1">
        <f>'演算'!AK185</f>
        <v>0.9506018428</v>
      </c>
      <c r="P184" s="1">
        <f>'演算'!X186</f>
        <v>3065.691328</v>
      </c>
    </row>
    <row r="185" ht="12.75" customHeight="1">
      <c r="N185" s="1">
        <f>'演算'!AJ186</f>
        <v>183</v>
      </c>
      <c r="O185" s="1">
        <f>'演算'!AK186</f>
        <v>0.9505881178</v>
      </c>
      <c r="P185" s="1">
        <f>'演算'!X187</f>
        <v>3065.647547</v>
      </c>
    </row>
    <row r="186" ht="12.75" customHeight="1">
      <c r="N186" s="1">
        <f>'演算'!AJ187</f>
        <v>184</v>
      </c>
      <c r="O186" s="1">
        <f>'演算'!AK187</f>
        <v>0.9505675212</v>
      </c>
      <c r="P186" s="1">
        <f>'演算'!X188</f>
        <v>3065.581798</v>
      </c>
    </row>
    <row r="187" ht="12.75" customHeight="1">
      <c r="N187" s="1">
        <f>'演算'!AJ188</f>
        <v>185</v>
      </c>
      <c r="O187" s="1">
        <f>'演算'!AK188</f>
        <v>0.9505400422</v>
      </c>
      <c r="P187" s="1">
        <f>'演算'!X189</f>
        <v>3065.494046</v>
      </c>
    </row>
    <row r="188" ht="12.75" customHeight="1">
      <c r="N188" s="1">
        <f>'演算'!AJ189</f>
        <v>186</v>
      </c>
      <c r="O188" s="1">
        <f>'演算'!AK189</f>
        <v>0.9505056661</v>
      </c>
      <c r="P188" s="1">
        <f>'演算'!X190</f>
        <v>3065.384245</v>
      </c>
    </row>
    <row r="189" ht="12.75" customHeight="1">
      <c r="N189" s="1">
        <f>'演算'!AJ190</f>
        <v>187</v>
      </c>
      <c r="O189" s="1">
        <f>'演算'!AK190</f>
        <v>0.9504643748</v>
      </c>
      <c r="P189" s="1">
        <f>'演算'!X191</f>
        <v>3065.252337</v>
      </c>
    </row>
    <row r="190" ht="12.75" customHeight="1">
      <c r="N190" s="1">
        <f>'演算'!AJ191</f>
        <v>188</v>
      </c>
      <c r="O190" s="1">
        <f>'演算'!AK191</f>
        <v>0.9504161463</v>
      </c>
      <c r="P190" s="1">
        <f>'演算'!X192</f>
        <v>3065.098252</v>
      </c>
    </row>
    <row r="191" ht="12.75" customHeight="1">
      <c r="N191" s="1">
        <f>'演算'!AJ192</f>
        <v>189</v>
      </c>
      <c r="O191" s="1">
        <f>'演算'!AK192</f>
        <v>0.9503609551</v>
      </c>
      <c r="P191" s="1">
        <f>'演算'!X193</f>
        <v>3064.921908</v>
      </c>
    </row>
    <row r="192" ht="12.75" customHeight="1">
      <c r="N192" s="1">
        <f>'演算'!AJ193</f>
        <v>190</v>
      </c>
      <c r="O192" s="1">
        <f>'演算'!AK193</f>
        <v>0.9502987717</v>
      </c>
      <c r="P192" s="1">
        <f>'演算'!X194</f>
        <v>3064.723211</v>
      </c>
    </row>
    <row r="193" ht="12.75" customHeight="1">
      <c r="N193" s="1">
        <f>'演算'!AJ194</f>
        <v>191</v>
      </c>
      <c r="O193" s="1">
        <f>'演算'!AK194</f>
        <v>0.9502295631</v>
      </c>
      <c r="P193" s="1">
        <f>'演算'!X195</f>
        <v>3064.502056</v>
      </c>
    </row>
    <row r="194" ht="12.75" customHeight="1">
      <c r="N194" s="1">
        <f>'演算'!AJ195</f>
        <v>192</v>
      </c>
      <c r="O194" s="1">
        <f>'演算'!AK195</f>
        <v>0.9501532923</v>
      </c>
      <c r="P194" s="1">
        <f>'演算'!X196</f>
        <v>3064.258324</v>
      </c>
    </row>
    <row r="195" ht="12.75" customHeight="1">
      <c r="N195" s="1">
        <f>'演算'!AJ196</f>
        <v>193</v>
      </c>
      <c r="O195" s="1">
        <f>'演算'!AK196</f>
        <v>0.9500699186</v>
      </c>
      <c r="P195" s="1">
        <f>'演算'!X197</f>
        <v>3063.991885</v>
      </c>
    </row>
    <row r="196" ht="12.75" customHeight="1">
      <c r="N196" s="1">
        <f>'演算'!AJ197</f>
        <v>194</v>
      </c>
      <c r="O196" s="1">
        <f>'演算'!AK197</f>
        <v>0.9499793973</v>
      </c>
      <c r="P196" s="1">
        <f>'演算'!X198</f>
        <v>3063.702597</v>
      </c>
    </row>
    <row r="197" ht="12.75" customHeight="1">
      <c r="N197" s="1">
        <f>'演算'!AJ198</f>
        <v>195</v>
      </c>
      <c r="O197" s="1">
        <f>'演算'!AK198</f>
        <v>0.9498816797</v>
      </c>
      <c r="P197" s="1">
        <f>'演算'!X199</f>
        <v>3063.390304</v>
      </c>
    </row>
    <row r="198" ht="12.75" customHeight="1">
      <c r="N198" s="1">
        <f>'演算'!AJ199</f>
        <v>196</v>
      </c>
      <c r="O198" s="1">
        <f>'演算'!AK199</f>
        <v>0.9497767134</v>
      </c>
      <c r="P198" s="1">
        <f>'演算'!X200</f>
        <v>3063.054839</v>
      </c>
    </row>
    <row r="199" ht="12.75" customHeight="1">
      <c r="N199" s="1">
        <f>'演算'!AJ200</f>
        <v>197</v>
      </c>
      <c r="O199" s="1">
        <f>'演算'!AK200</f>
        <v>0.9496644417</v>
      </c>
      <c r="P199" s="1">
        <f>'演算'!X201</f>
        <v>3062.696019</v>
      </c>
    </row>
    <row r="200" ht="12.75" customHeight="1">
      <c r="N200" s="1">
        <f>'演算'!AJ201</f>
        <v>198</v>
      </c>
      <c r="O200" s="1">
        <f>'演算'!AK201</f>
        <v>0.9495448039</v>
      </c>
      <c r="P200" s="1">
        <f>'演算'!X202</f>
        <v>3062.313652</v>
      </c>
    </row>
    <row r="201" ht="12.75" customHeight="1">
      <c r="N201" s="1">
        <f>'演算'!AJ202</f>
        <v>199</v>
      </c>
      <c r="O201" s="1">
        <f>'演算'!AK202</f>
        <v>0.949417735</v>
      </c>
      <c r="P201" s="1">
        <f>'演算'!X203</f>
        <v>3061.90753</v>
      </c>
    </row>
    <row r="202" ht="12.75" customHeight="1">
      <c r="N202" s="1">
        <f>'演算'!AJ203</f>
        <v>200</v>
      </c>
      <c r="O202" s="1">
        <f>'演算'!AK203</f>
        <v>0.949283166</v>
      </c>
      <c r="P202" s="1">
        <f>'演算'!X204</f>
        <v>3061.477432</v>
      </c>
    </row>
    <row r="203" ht="12.75" customHeight="1">
      <c r="N203" s="1">
        <f>'演算'!AJ204</f>
        <v>201</v>
      </c>
      <c r="O203" s="1">
        <f>'演算'!AK204</f>
        <v>0.9491410233</v>
      </c>
      <c r="P203" s="1">
        <f>'演算'!X205</f>
        <v>3061.023124</v>
      </c>
    </row>
    <row r="204" ht="12.75" customHeight="1">
      <c r="N204" s="1">
        <f>'演算'!AJ205</f>
        <v>202</v>
      </c>
      <c r="O204" s="1">
        <f>'演算'!AK205</f>
        <v>0.9489912292</v>
      </c>
      <c r="P204" s="1">
        <f>'演算'!X206</f>
        <v>3060.544355</v>
      </c>
    </row>
    <row r="205" ht="12.75" customHeight="1">
      <c r="N205" s="1">
        <f>'演算'!AJ206</f>
        <v>203</v>
      </c>
      <c r="O205" s="1">
        <f>'演算'!AK206</f>
        <v>0.9488337012</v>
      </c>
      <c r="P205" s="1">
        <f>'演算'!X207</f>
        <v>3060.040864</v>
      </c>
    </row>
    <row r="206" ht="12.75" customHeight="1">
      <c r="N206" s="1">
        <f>'演算'!AJ207</f>
        <v>204</v>
      </c>
      <c r="O206" s="1">
        <f>'演算'!AK207</f>
        <v>0.9486683524</v>
      </c>
      <c r="P206" s="1">
        <f>'演算'!X208</f>
        <v>3059.512373</v>
      </c>
    </row>
    <row r="207" ht="12.75" customHeight="1">
      <c r="N207" s="1">
        <f>'演算'!AJ208</f>
        <v>205</v>
      </c>
      <c r="O207" s="1">
        <f>'演算'!AK208</f>
        <v>0.9484950913</v>
      </c>
      <c r="P207" s="1">
        <f>'演算'!X209</f>
        <v>3058.958589</v>
      </c>
    </row>
    <row r="208" ht="12.75" customHeight="1">
      <c r="N208" s="1">
        <f>'演算'!AJ209</f>
        <v>206</v>
      </c>
      <c r="O208" s="1">
        <f>'演算'!AK209</f>
        <v>0.9483138214</v>
      </c>
      <c r="P208" s="1">
        <f>'演算'!X210</f>
        <v>3058.379203</v>
      </c>
    </row>
    <row r="209" ht="12.75" customHeight="1">
      <c r="N209" s="1">
        <f>'演算'!AJ210</f>
        <v>207</v>
      </c>
      <c r="O209" s="1">
        <f>'演算'!AK210</f>
        <v>0.9481244415</v>
      </c>
      <c r="P209" s="1">
        <f>'演算'!X211</f>
        <v>3057.773893</v>
      </c>
    </row>
    <row r="210" ht="12.75" customHeight="1">
      <c r="N210" s="1">
        <f>'演算'!AJ211</f>
        <v>208</v>
      </c>
      <c r="O210" s="1">
        <f>'演算'!AK211</f>
        <v>0.9479268454</v>
      </c>
      <c r="P210" s="1">
        <f>'演算'!X212</f>
        <v>3057.142319</v>
      </c>
    </row>
    <row r="211" ht="12.75" customHeight="1">
      <c r="N211" s="1">
        <f>'演算'!AJ212</f>
        <v>209</v>
      </c>
      <c r="O211" s="1">
        <f>'演算'!AK212</f>
        <v>0.9477209217</v>
      </c>
      <c r="P211" s="1">
        <f>'演算'!X213</f>
        <v>3056.484125</v>
      </c>
    </row>
    <row r="212" ht="12.75" customHeight="1">
      <c r="N212" s="1">
        <f>'演算'!AJ213</f>
        <v>210</v>
      </c>
      <c r="O212" s="1">
        <f>'演算'!AK213</f>
        <v>0.9475065538</v>
      </c>
      <c r="P212" s="1">
        <f>'演算'!X214</f>
        <v>3055.798938</v>
      </c>
    </row>
    <row r="213" ht="12.75" customHeight="1">
      <c r="N213" s="1">
        <f>'演算'!AJ214</f>
        <v>211</v>
      </c>
      <c r="O213" s="1">
        <f>'演算'!AK214</f>
        <v>0.9472836196</v>
      </c>
      <c r="P213" s="1">
        <f>'演算'!X215</f>
        <v>3055.086369</v>
      </c>
    </row>
    <row r="214" ht="12.75" customHeight="1">
      <c r="N214" s="1">
        <f>'演算'!AJ215</f>
        <v>212</v>
      </c>
      <c r="O214" s="1">
        <f>'演算'!AK215</f>
        <v>0.9470519917</v>
      </c>
      <c r="P214" s="1">
        <f>'演算'!X216</f>
        <v>3054.34601</v>
      </c>
    </row>
    <row r="215" ht="12.75" customHeight="1">
      <c r="N215" s="1">
        <f>'演算'!AJ216</f>
        <v>213</v>
      </c>
      <c r="O215" s="1">
        <f>'演算'!AK216</f>
        <v>0.9468115368</v>
      </c>
      <c r="P215" s="1">
        <f>'演算'!X217</f>
        <v>3053.577435</v>
      </c>
    </row>
    <row r="216" ht="12.75" customHeight="1">
      <c r="N216" s="1">
        <f>'演算'!AJ217</f>
        <v>214</v>
      </c>
      <c r="O216" s="1">
        <f>'演算'!AK217</f>
        <v>0.9465621161</v>
      </c>
      <c r="P216" s="1">
        <f>'演算'!X218</f>
        <v>3052.780201</v>
      </c>
    </row>
    <row r="217" ht="12.75" customHeight="1">
      <c r="N217" s="1">
        <f>'演算'!AJ218</f>
        <v>215</v>
      </c>
      <c r="O217" s="1">
        <f>'演算'!AK218</f>
        <v>0.9463035844</v>
      </c>
      <c r="P217" s="1">
        <f>'演算'!X219</f>
        <v>3051.953844</v>
      </c>
    </row>
    <row r="218" ht="12.75" customHeight="1">
      <c r="N218" s="1">
        <f>'演算'!AJ219</f>
        <v>216</v>
      </c>
      <c r="O218" s="1">
        <f>'演算'!AK219</f>
        <v>0.9460357906</v>
      </c>
      <c r="P218" s="1">
        <f>'演算'!X220</f>
        <v>3051.09788</v>
      </c>
    </row>
    <row r="219" ht="12.75" customHeight="1">
      <c r="N219" s="1">
        <f>'演算'!AJ220</f>
        <v>217</v>
      </c>
      <c r="O219" s="1">
        <f>'演算'!AK220</f>
        <v>0.9457585773</v>
      </c>
      <c r="P219" s="1">
        <f>'演算'!X221</f>
        <v>3050.211808</v>
      </c>
    </row>
    <row r="220" ht="12.75" customHeight="1">
      <c r="N220" s="1">
        <f>'演算'!AJ221</f>
        <v>218</v>
      </c>
      <c r="O220" s="1">
        <f>'演算'!AK221</f>
        <v>0.9454717804</v>
      </c>
      <c r="P220" s="1">
        <f>'演算'!X222</f>
        <v>3049.295102</v>
      </c>
    </row>
    <row r="221" ht="12.75" customHeight="1">
      <c r="N221" s="1">
        <f>'演算'!AJ222</f>
        <v>219</v>
      </c>
      <c r="O221" s="1">
        <f>'演算'!AK222</f>
        <v>0.9451752292</v>
      </c>
      <c r="P221" s="1">
        <f>'演算'!X223</f>
        <v>3048.347218</v>
      </c>
    </row>
    <row r="222" ht="12.75" customHeight="1">
      <c r="N222" s="1">
        <f>'演算'!AJ223</f>
        <v>220</v>
      </c>
      <c r="O222" s="1">
        <f>'演算'!AK223</f>
        <v>0.9448687461</v>
      </c>
      <c r="P222" s="1">
        <f>'演算'!X224</f>
        <v>3047.367587</v>
      </c>
    </row>
    <row r="223" ht="12.75" customHeight="1">
      <c r="N223" s="1">
        <f>'演算'!AJ224</f>
        <v>221</v>
      </c>
      <c r="O223" s="1">
        <f>'演算'!AK224</f>
        <v>0.9445521463</v>
      </c>
      <c r="P223" s="1">
        <f>'演算'!X225</f>
        <v>3046.355619</v>
      </c>
    </row>
    <row r="224" ht="12.75" customHeight="1">
      <c r="N224" s="1">
        <f>'演算'!AJ225</f>
        <v>222</v>
      </c>
      <c r="O224" s="1">
        <f>'演算'!AK225</f>
        <v>0.9442252376</v>
      </c>
      <c r="P224" s="1">
        <f>'演算'!X226</f>
        <v>3045.3107</v>
      </c>
    </row>
    <row r="225" ht="12.75" customHeight="1">
      <c r="N225" s="1">
        <f>'演算'!AJ226</f>
        <v>223</v>
      </c>
      <c r="O225" s="1">
        <f>'演算'!AK226</f>
        <v>0.9438878201</v>
      </c>
      <c r="P225" s="1">
        <f>'演算'!X227</f>
        <v>3044.232192</v>
      </c>
    </row>
    <row r="226" ht="12.75" customHeight="1">
      <c r="N226" s="1">
        <f>'演算'!AJ227</f>
        <v>224</v>
      </c>
      <c r="O226" s="1">
        <f>'演算'!AK227</f>
        <v>0.9435396864</v>
      </c>
      <c r="P226" s="1">
        <f>'演算'!X228</f>
        <v>3043.119431</v>
      </c>
    </row>
    <row r="227" ht="12.75" customHeight="1">
      <c r="N227" s="1">
        <f>'演算'!AJ228</f>
        <v>225</v>
      </c>
      <c r="O227" s="1">
        <f>'演算'!AK228</f>
        <v>0.9431806206</v>
      </c>
      <c r="P227" s="1">
        <f>'演算'!X229</f>
        <v>3041.971727</v>
      </c>
    </row>
    <row r="228" ht="12.75" customHeight="1">
      <c r="N228" s="1">
        <f>'演算'!AJ229</f>
        <v>226</v>
      </c>
      <c r="O228" s="1">
        <f>'演算'!AK229</f>
        <v>0.9428103986</v>
      </c>
      <c r="P228" s="1">
        <f>'演算'!X230</f>
        <v>3040.788366</v>
      </c>
    </row>
    <row r="229" ht="12.75" customHeight="1">
      <c r="N229" s="1">
        <f>'演算'!AJ230</f>
        <v>227</v>
      </c>
      <c r="O229" s="1">
        <f>'演算'!AK230</f>
        <v>0.9424287876</v>
      </c>
      <c r="P229" s="1">
        <f>'演算'!X231</f>
        <v>3039.568602</v>
      </c>
    </row>
    <row r="230" ht="12.75" customHeight="1">
      <c r="N230" s="1">
        <f>'演算'!AJ231</f>
        <v>228</v>
      </c>
      <c r="O230" s="1">
        <f>'演算'!AK231</f>
        <v>0.9420355458</v>
      </c>
      <c r="P230" s="1">
        <f>'演算'!X232</f>
        <v>3038.311663</v>
      </c>
    </row>
    <row r="231" ht="12.75" customHeight="1">
      <c r="N231" s="1">
        <f>'演算'!AJ232</f>
        <v>229</v>
      </c>
      <c r="O231" s="1">
        <f>'演算'!AK232</f>
        <v>0.9416304221</v>
      </c>
      <c r="P231" s="1">
        <f>'演算'!X233</f>
        <v>3037.016748</v>
      </c>
    </row>
    <row r="232" ht="12.75" customHeight="1">
      <c r="N232" s="1">
        <f>'演算'!AJ233</f>
        <v>230</v>
      </c>
      <c r="O232" s="1">
        <f>'演算'!AK233</f>
        <v>0.9412131559</v>
      </c>
      <c r="P232" s="1">
        <f>'演算'!X234</f>
        <v>3035.683022</v>
      </c>
    </row>
    <row r="233" ht="12.75" customHeight="1">
      <c r="N233" s="1">
        <f>'演算'!AJ234</f>
        <v>231</v>
      </c>
      <c r="O233" s="1">
        <f>'演算'!AK234</f>
        <v>0.9407834766</v>
      </c>
      <c r="P233" s="1">
        <f>'演算'!X235</f>
        <v>3034.309623</v>
      </c>
    </row>
    <row r="234" ht="12.75" customHeight="1">
      <c r="N234" s="1">
        <f>'演算'!AJ235</f>
        <v>232</v>
      </c>
      <c r="O234" s="1">
        <f>'演算'!AK235</f>
        <v>0.9403411032</v>
      </c>
      <c r="P234" s="1">
        <f>'演算'!X236</f>
        <v>3032.895651</v>
      </c>
    </row>
    <row r="235" ht="12.75" customHeight="1">
      <c r="N235" s="1">
        <f>'演算'!AJ236</f>
        <v>233</v>
      </c>
      <c r="O235" s="1">
        <f>'演算'!AK236</f>
        <v>0.9398857442</v>
      </c>
      <c r="P235" s="1">
        <f>'演算'!X237</f>
        <v>3031.440175</v>
      </c>
    </row>
    <row r="236" ht="12.75" customHeight="1">
      <c r="N236" s="1">
        <f>'演算'!AJ237</f>
        <v>234</v>
      </c>
      <c r="O236" s="1">
        <f>'演算'!AK237</f>
        <v>0.9394170968</v>
      </c>
      <c r="P236" s="1">
        <f>'演算'!X238</f>
        <v>3029.942228</v>
      </c>
    </row>
    <row r="237" ht="12.75" customHeight="1">
      <c r="N237" s="1">
        <f>'演算'!AJ238</f>
        <v>235</v>
      </c>
      <c r="O237" s="1">
        <f>'演算'!AK238</f>
        <v>0.9389348469</v>
      </c>
      <c r="P237" s="1">
        <f>'演算'!X239</f>
        <v>3028.400806</v>
      </c>
    </row>
    <row r="238" ht="12.75" customHeight="1">
      <c r="N238" s="1">
        <f>'演算'!AJ239</f>
        <v>236</v>
      </c>
      <c r="O238" s="1">
        <f>'演算'!AK239</f>
        <v>0.9384386684</v>
      </c>
      <c r="P238" s="1">
        <f>'演算'!X240</f>
        <v>3026.814868</v>
      </c>
    </row>
    <row r="239" ht="12.75" customHeight="1">
      <c r="N239" s="1">
        <f>'演算'!AJ240</f>
        <v>237</v>
      </c>
      <c r="O239" s="1">
        <f>'演算'!AK240</f>
        <v>0.9379282229</v>
      </c>
      <c r="P239" s="1">
        <f>'演算'!X241</f>
        <v>3025.183333</v>
      </c>
    </row>
    <row r="240" ht="12.75" customHeight="1">
      <c r="N240" s="1">
        <f>'演算'!AJ241</f>
        <v>238</v>
      </c>
      <c r="O240" s="1">
        <f>'演算'!AK241</f>
        <v>0.9374031591</v>
      </c>
      <c r="P240" s="1">
        <f>'演算'!X242</f>
        <v>3023.505077</v>
      </c>
    </row>
    <row r="241" ht="12.75" customHeight="1">
      <c r="N241" s="1">
        <f>'演算'!AJ242</f>
        <v>239</v>
      </c>
      <c r="O241" s="1">
        <f>'演算'!AK242</f>
        <v>0.9368631125</v>
      </c>
      <c r="P241" s="1">
        <f>'演算'!X243</f>
        <v>3021.778937</v>
      </c>
    </row>
    <row r="242" ht="12.75" customHeight="1">
      <c r="N242" s="1">
        <f>'演算'!AJ243</f>
        <v>240</v>
      </c>
      <c r="O242" s="1">
        <f>'演算'!AK243</f>
        <v>0.9363077048</v>
      </c>
      <c r="P242" s="1">
        <f>'演算'!X244</f>
        <v>3020.003703</v>
      </c>
    </row>
    <row r="243" ht="12.75" customHeight="1">
      <c r="N243" s="1">
        <f>'演算'!AJ244</f>
        <v>241</v>
      </c>
      <c r="O243" s="1">
        <f>'演算'!AK244</f>
        <v>0.9357365431</v>
      </c>
      <c r="P243" s="1">
        <f>'演算'!X245</f>
        <v>3018.178121</v>
      </c>
    </row>
    <row r="244" ht="12.75" customHeight="1">
      <c r="N244" s="1">
        <f>'演算'!AJ245</f>
        <v>242</v>
      </c>
      <c r="O244" s="1">
        <f>'演算'!AK245</f>
        <v>0.9351492197</v>
      </c>
      <c r="P244" s="1">
        <f>'演算'!X246</f>
        <v>3016.300887</v>
      </c>
    </row>
    <row r="245" ht="12.75" customHeight="1">
      <c r="N245" s="1">
        <f>'演算'!AJ246</f>
        <v>243</v>
      </c>
      <c r="O245" s="1">
        <f>'演算'!AK246</f>
        <v>0.9345453115</v>
      </c>
      <c r="P245" s="1">
        <f>'演算'!X247</f>
        <v>3014.370651</v>
      </c>
    </row>
    <row r="246" ht="12.75" customHeight="1">
      <c r="N246" s="1">
        <f>'演算'!AJ247</f>
        <v>244</v>
      </c>
      <c r="O246" s="1">
        <f>'演算'!AK247</f>
        <v>0.9339243793</v>
      </c>
      <c r="P246" s="1">
        <f>'演算'!X248</f>
        <v>3012.386009</v>
      </c>
    </row>
    <row r="247" ht="12.75" customHeight="1">
      <c r="N247" s="1">
        <f>'演算'!AJ248</f>
        <v>245</v>
      </c>
      <c r="O247" s="1">
        <f>'演算'!AK248</f>
        <v>0.9332859668</v>
      </c>
      <c r="P247" s="1">
        <f>'演算'!X249</f>
        <v>3010.345504</v>
      </c>
    </row>
    <row r="248" ht="12.75" customHeight="1">
      <c r="N248" s="1">
        <f>'演算'!AJ249</f>
        <v>246</v>
      </c>
      <c r="O248" s="1">
        <f>'演算'!AK249</f>
        <v>0.9326296006</v>
      </c>
      <c r="P248" s="1">
        <f>'演算'!X250</f>
        <v>3008.247622</v>
      </c>
    </row>
    <row r="249" ht="12.75" customHeight="1">
      <c r="N249" s="1">
        <f>'演算'!AJ250</f>
        <v>247</v>
      </c>
      <c r="O249" s="1">
        <f>'演算'!AK250</f>
        <v>0.9319547889</v>
      </c>
      <c r="P249" s="1">
        <f>'演算'!X251</f>
        <v>3006.090793</v>
      </c>
    </row>
    <row r="250" ht="12.75" customHeight="1">
      <c r="N250" s="1">
        <f>'演算'!AJ251</f>
        <v>248</v>
      </c>
      <c r="O250" s="1">
        <f>'演算'!AK251</f>
        <v>0.9312610214</v>
      </c>
      <c r="P250" s="1">
        <f>'演算'!X252</f>
        <v>3003.873387</v>
      </c>
    </row>
    <row r="251" ht="12.75" customHeight="1">
      <c r="N251" s="1">
        <f>'演算'!AJ252</f>
        <v>249</v>
      </c>
      <c r="O251" s="1">
        <f>'演算'!AK252</f>
        <v>0.9305477676</v>
      </c>
      <c r="P251" s="1">
        <f>'演算'!X253</f>
        <v>3001.593709</v>
      </c>
    </row>
    <row r="252" ht="12.75" customHeight="1">
      <c r="N252" s="1">
        <f>'演算'!AJ253</f>
        <v>250</v>
      </c>
      <c r="O252" s="1">
        <f>'演算'!AK253</f>
        <v>0.929814477</v>
      </c>
      <c r="P252" s="1">
        <f>'演算'!X254</f>
        <v>2999.250001</v>
      </c>
    </row>
    <row r="253" ht="12.75" customHeight="1">
      <c r="N253" s="1">
        <f>'演算'!AJ254</f>
        <v>251</v>
      </c>
      <c r="O253" s="1">
        <f>'演算'!AK254</f>
        <v>0.9290605776</v>
      </c>
      <c r="P253" s="1">
        <f>'演算'!X255</f>
        <v>2996.840434</v>
      </c>
    </row>
    <row r="254" ht="12.75" customHeight="1">
      <c r="N254" s="1">
        <f>'演算'!AJ255</f>
        <v>252</v>
      </c>
      <c r="O254" s="1">
        <f>'演算'!AK255</f>
        <v>0.9282854752</v>
      </c>
      <c r="P254" s="1">
        <f>'演算'!X256</f>
        <v>2994.363112</v>
      </c>
    </row>
    <row r="255" ht="12.75" customHeight="1">
      <c r="N255" s="1">
        <f>'演算'!AJ256</f>
        <v>253</v>
      </c>
      <c r="O255" s="1">
        <f>'演算'!AK256</f>
        <v>0.9274885525</v>
      </c>
      <c r="P255" s="1">
        <f>'演算'!X257</f>
        <v>2991.816062</v>
      </c>
    </row>
    <row r="256" ht="12.75" customHeight="1">
      <c r="N256" s="1">
        <f>'演算'!AJ257</f>
        <v>254</v>
      </c>
      <c r="O256" s="1">
        <f>'演算'!AK257</f>
        <v>0.926669168</v>
      </c>
      <c r="P256" s="1">
        <f>'演算'!X258</f>
        <v>2989.197236</v>
      </c>
    </row>
    <row r="257" ht="12.75" customHeight="1">
      <c r="N257" s="1">
        <f>'演算'!AJ258</f>
        <v>255</v>
      </c>
      <c r="O257" s="1">
        <f>'演算'!AK258</f>
        <v>0.9258266553</v>
      </c>
      <c r="P257" s="1">
        <f>'演算'!X259</f>
        <v>2986.504504</v>
      </c>
    </row>
    <row r="258" ht="12.75" customHeight="1">
      <c r="N258" s="1">
        <f>'演算'!AJ259</f>
        <v>256</v>
      </c>
      <c r="O258" s="1">
        <f>'演算'!AK259</f>
        <v>0.9249603218</v>
      </c>
      <c r="P258" s="1">
        <f>'演算'!X260</f>
        <v>2983.735654</v>
      </c>
    </row>
    <row r="259" ht="12.75" customHeight="1">
      <c r="N259" s="1">
        <f>'演算'!AJ260</f>
        <v>257</v>
      </c>
      <c r="O259" s="1">
        <f>'演算'!AK260</f>
        <v>0.9240694474</v>
      </c>
      <c r="P259" s="1">
        <f>'演算'!X261</f>
        <v>2980.888387</v>
      </c>
    </row>
    <row r="260" ht="12.75" customHeight="1">
      <c r="N260" s="1">
        <f>'演算'!AJ261</f>
        <v>258</v>
      </c>
      <c r="O260" s="1">
        <f>'演算'!AK261</f>
        <v>0.9231532838</v>
      </c>
      <c r="P260" s="1">
        <f>'演算'!X262</f>
        <v>2977.960311</v>
      </c>
    </row>
    <row r="261" ht="12.75" customHeight="1">
      <c r="N261" s="1">
        <f>'演算'!AJ262</f>
        <v>259</v>
      </c>
      <c r="O261" s="1">
        <f>'演算'!AK262</f>
        <v>0.9222110529</v>
      </c>
      <c r="P261" s="1">
        <f>'演算'!X263</f>
        <v>2974.948943</v>
      </c>
    </row>
    <row r="262" ht="12.75" customHeight="1">
      <c r="N262" s="1">
        <f>'演算'!AJ263</f>
        <v>260</v>
      </c>
      <c r="O262" s="1">
        <f>'演算'!AK263</f>
        <v>0.9212419458</v>
      </c>
      <c r="P262" s="1">
        <f>'演算'!X264</f>
        <v>2971.851698</v>
      </c>
    </row>
    <row r="263" ht="12.75" customHeight="1">
      <c r="N263" s="1">
        <f>'演算'!AJ264</f>
        <v>261</v>
      </c>
      <c r="O263" s="1">
        <f>'演算'!AK264</f>
        <v>0.920245121</v>
      </c>
      <c r="P263" s="1">
        <f>'演算'!X265</f>
        <v>2968.66589</v>
      </c>
    </row>
    <row r="264" ht="12.75" customHeight="1">
      <c r="N264" s="1">
        <f>'演算'!AJ265</f>
        <v>262</v>
      </c>
      <c r="O264" s="1">
        <f>'演算'!AK265</f>
        <v>0.9192197038</v>
      </c>
      <c r="P264" s="1">
        <f>'演算'!X266</f>
        <v>2965.388724</v>
      </c>
    </row>
    <row r="265" ht="12.75" customHeight="1">
      <c r="N265" s="1">
        <f>'演算'!AJ266</f>
        <v>263</v>
      </c>
      <c r="O265" s="1">
        <f>'演算'!AK266</f>
        <v>0.9181647841</v>
      </c>
      <c r="P265" s="1">
        <f>'演算'!X267</f>
        <v>2962.017293</v>
      </c>
    </row>
    <row r="266" ht="12.75" customHeight="1">
      <c r="N266" s="1">
        <f>'演算'!AJ267</f>
        <v>264</v>
      </c>
      <c r="O266" s="1">
        <f>'演算'!AK267</f>
        <v>0.9170794151</v>
      </c>
      <c r="P266" s="1">
        <f>'演算'!X268</f>
        <v>2958.548574</v>
      </c>
    </row>
    <row r="267" ht="12.75" customHeight="1">
      <c r="N267" s="1">
        <f>'演算'!AJ268</f>
        <v>265</v>
      </c>
      <c r="O267" s="1">
        <f>'演算'!AK268</f>
        <v>0.9159626118</v>
      </c>
      <c r="P267" s="1">
        <f>'演算'!X269</f>
        <v>2954.979423</v>
      </c>
    </row>
    <row r="268" ht="12.75" customHeight="1">
      <c r="N268" s="1">
        <f>'演算'!AJ269</f>
        <v>266</v>
      </c>
      <c r="O268" s="1">
        <f>'演算'!AK269</f>
        <v>0.9148133494</v>
      </c>
      <c r="P268" s="1">
        <f>'演算'!X270</f>
        <v>2951.306565</v>
      </c>
    </row>
    <row r="269" ht="12.75" customHeight="1">
      <c r="N269" s="1">
        <f>'演算'!AJ270</f>
        <v>267</v>
      </c>
      <c r="O269" s="1">
        <f>'演算'!AK270</f>
        <v>0.9136305614</v>
      </c>
      <c r="P269" s="1">
        <f>'演算'!X271</f>
        <v>2947.526596</v>
      </c>
    </row>
    <row r="270" ht="12.75" customHeight="1">
      <c r="N270" s="1">
        <f>'演算'!AJ271</f>
        <v>268</v>
      </c>
      <c r="O270" s="1">
        <f>'演算'!AK271</f>
        <v>0.9124131376</v>
      </c>
      <c r="P270" s="1">
        <f>'演算'!X272</f>
        <v>2943.63597</v>
      </c>
    </row>
    <row r="271" ht="12.75" customHeight="1">
      <c r="N271" s="1">
        <f>'演算'!AJ272</f>
        <v>269</v>
      </c>
      <c r="O271" s="1">
        <f>'演算'!AK272</f>
        <v>0.9111599228</v>
      </c>
      <c r="P271" s="1">
        <f>'演算'!X273</f>
        <v>2939.630998</v>
      </c>
    </row>
    <row r="272" ht="12.75" customHeight="1">
      <c r="N272" s="1">
        <f>'演算'!AJ273</f>
        <v>270</v>
      </c>
      <c r="O272" s="1">
        <f>'演算'!AK273</f>
        <v>0.909869714</v>
      </c>
      <c r="P272" s="1">
        <f>'演算'!X274</f>
        <v>2935.50784</v>
      </c>
    </row>
    <row r="273" ht="12.75" customHeight="1">
      <c r="N273" s="1">
        <f>'演算'!AJ274</f>
        <v>271</v>
      </c>
      <c r="O273" s="1">
        <f>'演算'!AK274</f>
        <v>0.908541259</v>
      </c>
      <c r="P273" s="1">
        <f>'演算'!X275</f>
        <v>2931.262498</v>
      </c>
    </row>
    <row r="274" ht="12.75" customHeight="1">
      <c r="N274" s="1">
        <f>'演算'!AJ275</f>
        <v>272</v>
      </c>
      <c r="O274" s="1">
        <f>'演算'!AK275</f>
        <v>0.9071732539</v>
      </c>
      <c r="P274" s="1">
        <f>'演算'!X276</f>
        <v>2926.890808</v>
      </c>
    </row>
    <row r="275" ht="12.75" customHeight="1">
      <c r="N275" s="1">
        <f>'演算'!AJ276</f>
        <v>273</v>
      </c>
      <c r="O275" s="1">
        <f>'演算'!AK276</f>
        <v>0.9057643411</v>
      </c>
      <c r="P275" s="1">
        <f>'演算'!X277</f>
        <v>2922.388435</v>
      </c>
    </row>
    <row r="276" ht="12.75" customHeight="1">
      <c r="N276" s="1">
        <f>'演算'!AJ277</f>
        <v>274</v>
      </c>
      <c r="O276" s="1">
        <f>'演算'!AK277</f>
        <v>0.9043131065</v>
      </c>
      <c r="P276" s="1">
        <f>'演算'!X278</f>
        <v>2917.750867</v>
      </c>
    </row>
    <row r="277" ht="12.75" customHeight="1">
      <c r="N277" s="1">
        <f>'演算'!AJ278</f>
        <v>275</v>
      </c>
      <c r="O277" s="1">
        <f>'演算'!AK278</f>
        <v>0.9028180775</v>
      </c>
      <c r="P277" s="1">
        <f>'演算'!X279</f>
        <v>2912.9734</v>
      </c>
    </row>
    <row r="278" ht="12.75" customHeight="1">
      <c r="N278" s="1">
        <f>'演算'!AJ279</f>
        <v>276</v>
      </c>
      <c r="O278" s="1">
        <f>'演算'!AK279</f>
        <v>0.9012777203</v>
      </c>
      <c r="P278" s="1">
        <f>'演算'!X280</f>
        <v>2908.051139</v>
      </c>
    </row>
    <row r="279" ht="12.75" customHeight="1">
      <c r="N279" s="1">
        <f>'演算'!AJ280</f>
        <v>277</v>
      </c>
      <c r="O279" s="1">
        <f>'演算'!AK280</f>
        <v>0.8996904371</v>
      </c>
      <c r="P279" s="1">
        <f>'演算'!X281</f>
        <v>2902.978984</v>
      </c>
    </row>
    <row r="280" ht="12.75" customHeight="1">
      <c r="N280" s="1">
        <f>'演算'!AJ281</f>
        <v>278</v>
      </c>
      <c r="O280" s="1">
        <f>'演算'!AK281</f>
        <v>0.8980545637</v>
      </c>
      <c r="P280" s="1">
        <f>'演算'!X282</f>
        <v>2897.751623</v>
      </c>
    </row>
    <row r="281" ht="12.75" customHeight="1">
      <c r="N281" s="1">
        <f>'演算'!AJ282</f>
        <v>279</v>
      </c>
      <c r="O281" s="1">
        <f>'演算'!AK282</f>
        <v>0.8963683662</v>
      </c>
      <c r="P281" s="1">
        <f>'演算'!X283</f>
        <v>2892.36352</v>
      </c>
    </row>
    <row r="282" ht="12.75" customHeight="1">
      <c r="N282" s="1">
        <f>'演算'!AJ283</f>
        <v>280</v>
      </c>
      <c r="O282" s="1">
        <f>'演算'!AK283</f>
        <v>0.8946300384</v>
      </c>
      <c r="P282" s="1">
        <f>'演算'!X284</f>
        <v>2886.808913</v>
      </c>
    </row>
    <row r="283" ht="12.75" customHeight="1">
      <c r="N283" s="1">
        <f>'演算'!AJ284</f>
        <v>281</v>
      </c>
      <c r="O283" s="1">
        <f>'演算'!AK284</f>
        <v>0.8928376988</v>
      </c>
      <c r="P283" s="1">
        <f>'演算'!X285</f>
        <v>2881.081794</v>
      </c>
    </row>
    <row r="284" ht="12.75" customHeight="1">
      <c r="N284" s="1">
        <f>'演算'!AJ285</f>
        <v>282</v>
      </c>
      <c r="O284" s="1">
        <f>'演算'!AK285</f>
        <v>0.8909893868</v>
      </c>
      <c r="P284" s="1">
        <f>'演算'!X286</f>
        <v>2875.175909</v>
      </c>
    </row>
    <row r="285" ht="12.75" customHeight="1">
      <c r="N285" s="1">
        <f>'演算'!AJ286</f>
        <v>283</v>
      </c>
      <c r="O285" s="1">
        <f>'演算'!AK286</f>
        <v>0.8890830605</v>
      </c>
      <c r="P285" s="1">
        <f>'演算'!X287</f>
        <v>2869.08474</v>
      </c>
    </row>
    <row r="286" ht="12.75" customHeight="1">
      <c r="N286" s="1">
        <f>'演算'!AJ287</f>
        <v>284</v>
      </c>
      <c r="O286" s="1">
        <f>'演算'!AK287</f>
        <v>0.8871165923</v>
      </c>
      <c r="P286" s="1">
        <f>'演算'!X288</f>
        <v>2862.801499</v>
      </c>
    </row>
    <row r="287" ht="12.75" customHeight="1">
      <c r="N287" s="1">
        <f>'演算'!AJ288</f>
        <v>285</v>
      </c>
      <c r="O287" s="1">
        <f>'演算'!AK288</f>
        <v>0.885087766</v>
      </c>
      <c r="P287" s="1">
        <f>'演算'!X289</f>
        <v>2856.319115</v>
      </c>
    </row>
    <row r="288" ht="12.75" customHeight="1">
      <c r="N288" s="1">
        <f>'演算'!AJ289</f>
        <v>286</v>
      </c>
      <c r="O288" s="1">
        <f>'演算'!AK289</f>
        <v>0.8829942735</v>
      </c>
      <c r="P288" s="1">
        <f>'演算'!X290</f>
        <v>2849.630223</v>
      </c>
    </row>
    <row r="289" ht="12.75" customHeight="1">
      <c r="N289" s="1">
        <f>'演算'!AJ290</f>
        <v>287</v>
      </c>
      <c r="O289" s="1">
        <f>'演算'!AK290</f>
        <v>0.8808337104</v>
      </c>
      <c r="P289" s="1">
        <f>'演算'!X291</f>
        <v>2842.727154</v>
      </c>
    </row>
    <row r="290" ht="12.75" customHeight="1">
      <c r="N290" s="1">
        <f>'演算'!AJ291</f>
        <v>288</v>
      </c>
      <c r="O290" s="1">
        <f>'演算'!AK291</f>
        <v>0.8786035733</v>
      </c>
      <c r="P290" s="1">
        <f>'演算'!X292</f>
        <v>2835.601921</v>
      </c>
    </row>
    <row r="291" ht="12.75" customHeight="1">
      <c r="N291" s="1">
        <f>'演算'!AJ292</f>
        <v>289</v>
      </c>
      <c r="O291" s="1">
        <f>'演算'!AK292</f>
        <v>0.8763012552</v>
      </c>
      <c r="P291" s="1">
        <f>'演算'!X293</f>
        <v>2828.246208</v>
      </c>
    </row>
    <row r="292" ht="12.75" customHeight="1">
      <c r="N292" s="1">
        <f>'演算'!AJ293</f>
        <v>290</v>
      </c>
      <c r="O292" s="1">
        <f>'演算'!AK293</f>
        <v>0.8739240425</v>
      </c>
      <c r="P292" s="1">
        <f>'演算'!X294</f>
        <v>2820.651361</v>
      </c>
    </row>
    <row r="293" ht="12.75" customHeight="1">
      <c r="N293" s="1">
        <f>'演算'!AJ294</f>
        <v>291</v>
      </c>
      <c r="O293" s="1">
        <f>'演算'!AK294</f>
        <v>0.8714691106</v>
      </c>
      <c r="P293" s="1">
        <f>'演算'!X295</f>
        <v>2812.808371</v>
      </c>
    </row>
    <row r="294" ht="12.75" customHeight="1">
      <c r="N294" s="1">
        <f>'演算'!AJ295</f>
        <v>292</v>
      </c>
      <c r="O294" s="1">
        <f>'演算'!AK295</f>
        <v>0.8689335205</v>
      </c>
      <c r="P294" s="1">
        <f>'演算'!X296</f>
        <v>2804.707867</v>
      </c>
    </row>
    <row r="295" ht="12.75" customHeight="1">
      <c r="N295" s="1">
        <f>'演算'!AJ296</f>
        <v>293</v>
      </c>
      <c r="O295" s="1">
        <f>'演算'!AK296</f>
        <v>0.866314215</v>
      </c>
      <c r="P295" s="1">
        <f>'演算'!X297</f>
        <v>2796.340101</v>
      </c>
    </row>
    <row r="296" ht="12.75" customHeight="1">
      <c r="N296" s="1">
        <f>'演算'!AJ297</f>
        <v>294</v>
      </c>
      <c r="O296" s="1">
        <f>'演算'!AK297</f>
        <v>0.8636080151</v>
      </c>
      <c r="P296" s="1">
        <f>'演算'!X298</f>
        <v>2787.694937</v>
      </c>
    </row>
    <row r="297" ht="12.75" customHeight="1">
      <c r="N297" s="1">
        <f>'演算'!AJ298</f>
        <v>295</v>
      </c>
      <c r="O297" s="1">
        <f>'演算'!AK298</f>
        <v>0.8608116162</v>
      </c>
      <c r="P297" s="1">
        <f>'演算'!X299</f>
        <v>2778.761842</v>
      </c>
    </row>
    <row r="298" ht="12.75" customHeight="1">
      <c r="N298" s="1">
        <f>'演算'!AJ299</f>
        <v>296</v>
      </c>
      <c r="O298" s="1">
        <f>'演算'!AK299</f>
        <v>0.857921585</v>
      </c>
      <c r="P298" s="1">
        <f>'演算'!X300</f>
        <v>2769.529871</v>
      </c>
    </row>
    <row r="299" ht="12.75" customHeight="1">
      <c r="N299" s="1">
        <f>'演算'!AJ300</f>
        <v>297</v>
      </c>
      <c r="O299" s="1">
        <f>'演算'!AK300</f>
        <v>0.8549343562</v>
      </c>
      <c r="P299" s="1">
        <f>'演算'!X301</f>
        <v>2759.987664</v>
      </c>
    </row>
    <row r="300" ht="12.75" customHeight="1">
      <c r="N300" s="1">
        <f>'演算'!AJ301</f>
        <v>298</v>
      </c>
      <c r="O300" s="1">
        <f>'演算'!AK301</f>
        <v>0.8518462295</v>
      </c>
      <c r="P300" s="1">
        <f>'演算'!X302</f>
        <v>2750.123429</v>
      </c>
    </row>
    <row r="301" ht="12.75" customHeight="1">
      <c r="N301" s="1">
        <f>'演算'!AJ302</f>
        <v>299</v>
      </c>
      <c r="O301" s="1">
        <f>'演算'!AK302</f>
        <v>0.848653367</v>
      </c>
      <c r="P301" s="1">
        <f>'演算'!X303</f>
        <v>2739.924939</v>
      </c>
    </row>
    <row r="302" ht="12.75" customHeight="1">
      <c r="N302" s="1">
        <f>'演算'!AJ303</f>
        <v>300</v>
      </c>
      <c r="O302" s="1">
        <f>'演算'!AK303</f>
        <v>0.8453517912</v>
      </c>
      <c r="P302" s="1">
        <f>'演算'!X304</f>
        <v>2729.379524</v>
      </c>
    </row>
    <row r="303" ht="12.75" customHeight="1">
      <c r="N303" s="1">
        <f>'演算'!AJ304</f>
        <v>301</v>
      </c>
      <c r="O303" s="1">
        <f>'演算'!AK304</f>
        <v>0.8419373831</v>
      </c>
      <c r="P303" s="1">
        <f>'演算'!X305</f>
        <v>2718.474067</v>
      </c>
    </row>
    <row r="304" ht="12.75" customHeight="1">
      <c r="N304" s="1">
        <f>'演算'!AJ305</f>
        <v>302</v>
      </c>
      <c r="O304" s="1">
        <f>'演算'!AK305</f>
        <v>0.8384058815</v>
      </c>
      <c r="P304" s="1">
        <f>'演算'!X306</f>
        <v>2707.194999</v>
      </c>
    </row>
    <row r="305" ht="12.75" customHeight="1">
      <c r="N305" s="1">
        <f>'演算'!AJ306</f>
        <v>303</v>
      </c>
      <c r="O305" s="1">
        <f>'演算'!AK306</f>
        <v>0.8347528824</v>
      </c>
      <c r="P305" s="1">
        <f>'演算'!X307</f>
        <v>2695.528302</v>
      </c>
    </row>
    <row r="306" ht="12.75" customHeight="1">
      <c r="N306" s="1">
        <f>'演算'!AJ307</f>
        <v>304</v>
      </c>
      <c r="O306" s="1">
        <f>'演算'!AK307</f>
        <v>0.8309738399</v>
      </c>
      <c r="P306" s="1">
        <f>'演算'!X308</f>
        <v>2683.459506</v>
      </c>
    </row>
    <row r="307" ht="12.75" customHeight="1">
      <c r="N307" s="1">
        <f>'演算'!AJ308</f>
        <v>305</v>
      </c>
      <c r="O307" s="1">
        <f>'演算'!AK308</f>
        <v>0.8270640677</v>
      </c>
      <c r="P307" s="1">
        <f>'演算'!X309</f>
        <v>2670.973702</v>
      </c>
    </row>
    <row r="308" ht="12.75" customHeight="1">
      <c r="N308" s="1">
        <f>'演算'!AJ309</f>
        <v>306</v>
      </c>
      <c r="O308" s="1">
        <f>'演算'!AK309</f>
        <v>0.823018742</v>
      </c>
      <c r="P308" s="1">
        <f>'演算'!X310</f>
        <v>2658.055547</v>
      </c>
    </row>
    <row r="309" ht="12.75" customHeight="1">
      <c r="N309" s="1">
        <f>'演算'!AJ310</f>
        <v>307</v>
      </c>
      <c r="O309" s="1">
        <f>'演算'!AK310</f>
        <v>0.8188329059</v>
      </c>
      <c r="P309" s="1">
        <f>'演算'!X311</f>
        <v>2644.689278</v>
      </c>
    </row>
    <row r="310" ht="12.75" customHeight="1">
      <c r="N310" s="1">
        <f>'演算'!AJ311</f>
        <v>308</v>
      </c>
      <c r="O310" s="1">
        <f>'演算'!AK311</f>
        <v>0.8145014756</v>
      </c>
      <c r="P310" s="1">
        <f>'演算'!X312</f>
        <v>2630.858737</v>
      </c>
    </row>
    <row r="311" ht="12.75" customHeight="1">
      <c r="N311" s="1">
        <f>'演算'!AJ312</f>
        <v>309</v>
      </c>
      <c r="O311" s="1">
        <f>'演算'!AK312</f>
        <v>0.8100192482</v>
      </c>
      <c r="P311" s="1">
        <f>'演算'!X313</f>
        <v>2616.547393</v>
      </c>
    </row>
    <row r="312" ht="12.75" customHeight="1">
      <c r="N312" s="1">
        <f>'演算'!AJ313</f>
        <v>310</v>
      </c>
      <c r="O312" s="1">
        <f>'演算'!AK313</f>
        <v>0.8053809116</v>
      </c>
      <c r="P312" s="1">
        <f>'演算'!X314</f>
        <v>2601.738375</v>
      </c>
    </row>
    <row r="313" ht="12.75" customHeight="1">
      <c r="N313" s="1">
        <f>'演算'!AJ314</f>
        <v>311</v>
      </c>
      <c r="O313" s="1">
        <f>'演算'!AK314</f>
        <v>0.800581058</v>
      </c>
      <c r="P313" s="1">
        <f>'演算'!X315</f>
        <v>2586.414519</v>
      </c>
    </row>
    <row r="314" ht="12.75" customHeight="1">
      <c r="N314" s="1">
        <f>'演算'!AJ315</f>
        <v>312</v>
      </c>
      <c r="O314" s="1">
        <f>'演算'!AK315</f>
        <v>0.7956141991</v>
      </c>
      <c r="P314" s="1">
        <f>'演算'!X316</f>
        <v>2570.558413</v>
      </c>
    </row>
    <row r="315" ht="12.75" customHeight="1">
      <c r="N315" s="1">
        <f>'演算'!AJ316</f>
        <v>313</v>
      </c>
      <c r="O315" s="1">
        <f>'演算'!AK316</f>
        <v>0.7904747849</v>
      </c>
      <c r="P315" s="1">
        <f>'演算'!X317</f>
        <v>2554.152464</v>
      </c>
    </row>
    <row r="316" ht="12.75" customHeight="1">
      <c r="N316" s="1">
        <f>'演算'!AJ317</f>
        <v>314</v>
      </c>
      <c r="O316" s="1">
        <f>'演算'!AK317</f>
        <v>0.785157227</v>
      </c>
      <c r="P316" s="1">
        <f>'演算'!X318</f>
        <v>2537.178969</v>
      </c>
    </row>
    <row r="317" ht="12.75" customHeight="1">
      <c r="N317" s="1">
        <f>'演算'!AJ318</f>
        <v>315</v>
      </c>
      <c r="O317" s="1">
        <f>'演算'!AK318</f>
        <v>0.7796559252</v>
      </c>
      <c r="P317" s="1">
        <f>'演算'!X319</f>
        <v>2519.620205</v>
      </c>
    </row>
    <row r="318" ht="12.75" customHeight="1">
      <c r="N318" s="1">
        <f>'演算'!AJ319</f>
        <v>316</v>
      </c>
      <c r="O318" s="1">
        <f>'演算'!AK319</f>
        <v>0.7739652992</v>
      </c>
      <c r="P318" s="1">
        <f>'演算'!X320</f>
        <v>2501.458529</v>
      </c>
    </row>
    <row r="319" ht="12.75" customHeight="1">
      <c r="N319" s="1">
        <f>'演算'!AJ320</f>
        <v>317</v>
      </c>
      <c r="O319" s="1">
        <f>'演算'!AK320</f>
        <v>0.7680798262</v>
      </c>
      <c r="P319" s="1">
        <f>'演算'!X321</f>
        <v>2482.676504</v>
      </c>
    </row>
    <row r="320" ht="12.75" customHeight="1">
      <c r="N320" s="1">
        <f>'演算'!AJ321</f>
        <v>318</v>
      </c>
      <c r="O320" s="1">
        <f>'演算'!AK321</f>
        <v>0.7619940829</v>
      </c>
      <c r="P320" s="1">
        <f>'演算'!X322</f>
        <v>2463.257032</v>
      </c>
    </row>
    <row r="321" ht="12.75" customHeight="1">
      <c r="N321" s="1">
        <f>'演算'!AJ322</f>
        <v>319</v>
      </c>
      <c r="O321" s="1">
        <f>'演算'!AK322</f>
        <v>0.7557027959</v>
      </c>
      <c r="P321" s="1">
        <f>'演算'!X323</f>
        <v>2443.183519</v>
      </c>
    </row>
    <row r="322" ht="12.75" customHeight="1">
      <c r="N322" s="1">
        <f>'演算'!AJ323</f>
        <v>320</v>
      </c>
      <c r="O322" s="1">
        <f>'演算'!AK323</f>
        <v>0.7492008978</v>
      </c>
      <c r="P322" s="1">
        <f>'演算'!X324</f>
        <v>2422.440057</v>
      </c>
    </row>
    <row r="323" ht="12.75" customHeight="1">
      <c r="N323" s="1">
        <f>'演算'!AJ324</f>
        <v>321</v>
      </c>
      <c r="O323" s="1">
        <f>'演算'!AK324</f>
        <v>0.7424835919</v>
      </c>
      <c r="P323" s="1">
        <f>'演算'!X325</f>
        <v>2401.011636</v>
      </c>
    </row>
    <row r="324" ht="12.75" customHeight="1">
      <c r="N324" s="1">
        <f>'演算'!AJ325</f>
        <v>322</v>
      </c>
      <c r="O324" s="1">
        <f>'演算'!AK325</f>
        <v>0.7355464254</v>
      </c>
      <c r="P324" s="1">
        <f>'演算'!X326</f>
        <v>2378.884377</v>
      </c>
    </row>
    <row r="325" ht="12.75" customHeight="1">
      <c r="N325" s="1">
        <f>'演算'!AJ326</f>
        <v>323</v>
      </c>
      <c r="O325" s="1">
        <f>'演算'!AK326</f>
        <v>0.7283853713</v>
      </c>
      <c r="P325" s="1">
        <f>'演算'!X327</f>
        <v>2356.045799</v>
      </c>
    </row>
    <row r="326" ht="12.75" customHeight="1">
      <c r="N326" s="1">
        <f>'演算'!AJ327</f>
        <v>324</v>
      </c>
      <c r="O326" s="1">
        <f>'演算'!AK327</f>
        <v>0.7209969208</v>
      </c>
      <c r="P326" s="1">
        <f>'演算'!X328</f>
        <v>2332.485121</v>
      </c>
    </row>
    <row r="327" ht="12.75" customHeight="1">
      <c r="N327" s="1">
        <f>'演算'!AJ328</f>
        <v>325</v>
      </c>
      <c r="O327" s="1">
        <f>'演算'!AK328</f>
        <v>0.7133781854</v>
      </c>
      <c r="P327" s="1">
        <f>'演算'!X329</f>
        <v>2308.193592</v>
      </c>
    </row>
    <row r="328" ht="12.75" customHeight="1">
      <c r="N328" s="1">
        <f>'演算'!AJ329</f>
        <v>326</v>
      </c>
      <c r="O328" s="1">
        <f>'演算'!AK329</f>
        <v>0.7055270106</v>
      </c>
      <c r="P328" s="1">
        <f>'演算'!X330</f>
        <v>2283.164858</v>
      </c>
    </row>
    <row r="329" ht="12.75" customHeight="1">
      <c r="N329" s="1">
        <f>'演算'!AJ330</f>
        <v>327</v>
      </c>
      <c r="O329" s="1">
        <f>'演算'!AK330</f>
        <v>0.6974421002</v>
      </c>
      <c r="P329" s="1">
        <f>'演算'!X331</f>
        <v>2257.395363</v>
      </c>
    </row>
    <row r="330" ht="12.75" customHeight="1">
      <c r="N330" s="1">
        <f>'演算'!AJ331</f>
        <v>328</v>
      </c>
      <c r="O330" s="1">
        <f>'演算'!AK331</f>
        <v>0.6891231519</v>
      </c>
      <c r="P330" s="1">
        <f>'演算'!X332</f>
        <v>2230.884798</v>
      </c>
    </row>
    <row r="331" ht="12.75" customHeight="1">
      <c r="N331" s="1">
        <f>'演算'!AJ332</f>
        <v>329</v>
      </c>
      <c r="O331" s="1">
        <f>'演算'!AK332</f>
        <v>0.6805710046</v>
      </c>
      <c r="P331" s="1">
        <f>'演算'!X333</f>
        <v>2203.636566</v>
      </c>
    </row>
    <row r="332" ht="12.75" customHeight="1">
      <c r="N332" s="1">
        <f>'演算'!AJ333</f>
        <v>330</v>
      </c>
      <c r="O332" s="1">
        <f>'演算'!AK333</f>
        <v>0.6717877961</v>
      </c>
      <c r="P332" s="1">
        <f>'演算'!X334</f>
        <v>2175.658303</v>
      </c>
    </row>
    <row r="333" ht="12.75" customHeight="1">
      <c r="N333" s="1">
        <f>'演算'!AJ334</f>
        <v>331</v>
      </c>
      <c r="O333" s="1">
        <f>'演算'!AK334</f>
        <v>0.6627771306</v>
      </c>
      <c r="P333" s="1">
        <f>'演算'!X335</f>
        <v>2146.962421</v>
      </c>
    </row>
    <row r="334" ht="12.75" customHeight="1">
      <c r="N334" s="1">
        <f>'演算'!AJ335</f>
        <v>332</v>
      </c>
      <c r="O334" s="1">
        <f>'演算'!AK335</f>
        <v>0.6535442554</v>
      </c>
      <c r="P334" s="1">
        <f>'演算'!X336</f>
        <v>2117.566677</v>
      </c>
    </row>
    <row r="335" ht="12.75" customHeight="1">
      <c r="N335" s="1">
        <f>'演算'!AJ336</f>
        <v>333</v>
      </c>
      <c r="O335" s="1">
        <f>'演算'!AK336</f>
        <v>0.6440962445</v>
      </c>
      <c r="P335" s="1">
        <f>'演算'!X337</f>
        <v>2087.494773</v>
      </c>
    </row>
    <row r="336" ht="12.75" customHeight="1">
      <c r="N336" s="1">
        <f>'演算'!AJ337</f>
        <v>334</v>
      </c>
      <c r="O336" s="1">
        <f>'演算'!AK337</f>
        <v>0.6344421856</v>
      </c>
      <c r="P336" s="1">
        <f>'演算'!X338</f>
        <v>2056.776967</v>
      </c>
    </row>
    <row r="337" ht="12.75" customHeight="1">
      <c r="N337" s="1">
        <f>'演算'!AJ338</f>
        <v>335</v>
      </c>
      <c r="O337" s="1">
        <f>'演算'!AK338</f>
        <v>0.6245933697</v>
      </c>
      <c r="P337" s="1">
        <f>'演算'!X339</f>
        <v>2025.450688</v>
      </c>
    </row>
    <row r="338" ht="12.75" customHeight="1">
      <c r="N338" s="1">
        <f>'演算'!AJ339</f>
        <v>336</v>
      </c>
      <c r="O338" s="1">
        <f>'演算'!AK339</f>
        <v>0.6145634771</v>
      </c>
      <c r="P338" s="1">
        <f>'演算'!X340</f>
        <v>1993.561143</v>
      </c>
    </row>
    <row r="339" ht="12.75" customHeight="1">
      <c r="N339" s="1">
        <f>'演算'!AJ340</f>
        <v>337</v>
      </c>
      <c r="O339" s="1">
        <f>'演算'!AK340</f>
        <v>0.6043687563</v>
      </c>
      <c r="P339" s="1">
        <f>'演算'!X341</f>
        <v>1961.161906</v>
      </c>
    </row>
    <row r="340" ht="12.75" customHeight="1">
      <c r="N340" s="1">
        <f>'演算'!AJ341</f>
        <v>338</v>
      </c>
      <c r="O340" s="1">
        <f>'演算'!AK341</f>
        <v>0.5940281892</v>
      </c>
      <c r="P340" s="1">
        <f>'演算'!X342</f>
        <v>1928.315459</v>
      </c>
    </row>
    <row r="341" ht="12.75" customHeight="1">
      <c r="N341" s="1">
        <f>'演算'!AJ342</f>
        <v>339</v>
      </c>
      <c r="O341" s="1">
        <f>'演算'!AK342</f>
        <v>0.5835636377</v>
      </c>
      <c r="P341" s="1">
        <f>'演算'!X343</f>
        <v>1895.093676</v>
      </c>
    </row>
    <row r="342" ht="12.75" customHeight="1">
      <c r="N342" s="1">
        <f>'演算'!AJ343</f>
        <v>340</v>
      </c>
      <c r="O342" s="1">
        <f>'演算'!AK343</f>
        <v>0.5729999624</v>
      </c>
      <c r="P342" s="1">
        <f>'演算'!X344</f>
        <v>1861.57822</v>
      </c>
    </row>
    <row r="343" ht="12.75" customHeight="1">
      <c r="N343" s="1">
        <f>'演算'!AJ344</f>
        <v>341</v>
      </c>
      <c r="O343" s="1">
        <f>'演算'!AK344</f>
        <v>0.5623651073</v>
      </c>
      <c r="P343" s="1">
        <f>'演算'!X345</f>
        <v>1827.860832</v>
      </c>
    </row>
    <row r="344" ht="12.75" customHeight="1">
      <c r="N344" s="1">
        <f>'演算'!AJ345</f>
        <v>342</v>
      </c>
      <c r="O344" s="1">
        <f>'演算'!AK345</f>
        <v>0.5516901417</v>
      </c>
      <c r="P344" s="1">
        <f>'演算'!X346</f>
        <v>1794.043483</v>
      </c>
    </row>
    <row r="345" ht="12.75" customHeight="1">
      <c r="N345" s="1">
        <f>'演算'!AJ346</f>
        <v>343</v>
      </c>
      <c r="O345" s="1">
        <f>'演算'!AK346</f>
        <v>0.5410092509</v>
      </c>
      <c r="P345" s="1">
        <f>'演算'!X347</f>
        <v>1760.23836</v>
      </c>
    </row>
    <row r="346" ht="12.75" customHeight="1">
      <c r="N346" s="1">
        <f>'演算'!AJ347</f>
        <v>344</v>
      </c>
      <c r="O346" s="1">
        <f>'演算'!AK347</f>
        <v>0.5303596679</v>
      </c>
      <c r="P346" s="1">
        <f>'演算'!X348</f>
        <v>1726.56767</v>
      </c>
    </row>
    <row r="347" ht="12.75" customHeight="1">
      <c r="N347" s="1">
        <f>'演算'!AJ348</f>
        <v>345</v>
      </c>
      <c r="O347" s="1">
        <f>'演算'!AK348</f>
        <v>0.5197815396</v>
      </c>
      <c r="P347" s="1">
        <f>'演算'!X349</f>
        <v>1693.163229</v>
      </c>
    </row>
    <row r="348" ht="12.75" customHeight="1">
      <c r="N348" s="1">
        <f>'演算'!AJ349</f>
        <v>346</v>
      </c>
      <c r="O348" s="1">
        <f>'演算'!AK349</f>
        <v>0.5093177208</v>
      </c>
      <c r="P348" s="1">
        <f>'演算'!X350</f>
        <v>1660.165822</v>
      </c>
    </row>
    <row r="349" ht="12.75" customHeight="1">
      <c r="N349" s="1">
        <f>'演算'!AJ350</f>
        <v>347</v>
      </c>
      <c r="O349" s="1">
        <f>'演算'!AK350</f>
        <v>0.4990134941</v>
      </c>
      <c r="P349" s="1">
        <f>'演算'!X351</f>
        <v>1627.724321</v>
      </c>
    </row>
    <row r="350" ht="12.75" customHeight="1">
      <c r="N350" s="1">
        <f>'演算'!AJ351</f>
        <v>348</v>
      </c>
      <c r="O350" s="1">
        <f>'演算'!AK351</f>
        <v>0.4889162127</v>
      </c>
      <c r="P350" s="1">
        <f>'演算'!X352</f>
        <v>1595.99456</v>
      </c>
    </row>
    <row r="351" ht="12.75" customHeight="1">
      <c r="N351" s="1">
        <f>'演算'!AJ352</f>
        <v>349</v>
      </c>
      <c r="O351" s="1">
        <f>'演算'!AK352</f>
        <v>0.4790748699</v>
      </c>
      <c r="P351" s="1">
        <f>'演算'!X353</f>
        <v>1565.137969</v>
      </c>
    </row>
    <row r="352" ht="12.75" customHeight="1">
      <c r="N352" s="1">
        <f>'演算'!AJ353</f>
        <v>350</v>
      </c>
      <c r="O352" s="1">
        <f>'演算'!AK353</f>
        <v>0.4695396014</v>
      </c>
      <c r="P352" s="1">
        <f>'演算'!X354</f>
        <v>1535.319991</v>
      </c>
    </row>
    <row r="353" ht="12.75" customHeight="1">
      <c r="N353" s="1">
        <f>'演算'!AJ354</f>
        <v>351</v>
      </c>
      <c r="O353" s="1">
        <f>'演算'!AK354</f>
        <v>0.4603611284</v>
      </c>
      <c r="P353" s="1">
        <f>'演算'!X355</f>
        <v>1506.708304</v>
      </c>
    </row>
    <row r="354" ht="12.75" customHeight="1">
      <c r="N354" s="1">
        <f>'演算'!AJ355</f>
        <v>352</v>
      </c>
      <c r="O354" s="1">
        <f>'演算'!AK355</f>
        <v>0.4515901581</v>
      </c>
      <c r="P354" s="1">
        <f>'演算'!X356</f>
        <v>1479.470902</v>
      </c>
    </row>
    <row r="355" ht="12.75" customHeight="1">
      <c r="N355" s="1">
        <f>'演算'!AJ356</f>
        <v>353</v>
      </c>
      <c r="O355" s="1">
        <f>'演算'!AK356</f>
        <v>0.4432767563</v>
      </c>
      <c r="P355" s="1">
        <f>'演算'!X357</f>
        <v>1453.774081</v>
      </c>
    </row>
    <row r="356" ht="12.75" customHeight="1">
      <c r="N356" s="1">
        <f>'演算'!AJ357</f>
        <v>354</v>
      </c>
      <c r="O356" s="1">
        <f>'演算'!AK357</f>
        <v>0.4354697138</v>
      </c>
      <c r="P356" s="1">
        <f>'演算'!X358</f>
        <v>1429.780397</v>
      </c>
    </row>
    <row r="357" ht="12.75" customHeight="1">
      <c r="N357" s="1">
        <f>'演算'!AJ358</f>
        <v>355</v>
      </c>
      <c r="O357" s="1">
        <f>'演算'!AK358</f>
        <v>0.4282159292</v>
      </c>
      <c r="P357" s="1">
        <f>'演算'!X359</f>
        <v>1407.646665</v>
      </c>
    </row>
    <row r="358" ht="12.75" customHeight="1">
      <c r="N358" s="1">
        <f>'演算'!AJ359</f>
        <v>356</v>
      </c>
      <c r="O358" s="1">
        <f>'演算'!AK359</f>
        <v>0.4215598286</v>
      </c>
      <c r="P358" s="1">
        <f>'演算'!X360</f>
        <v>1387.522075</v>
      </c>
    </row>
    <row r="359" ht="12.75" customHeight="1">
      <c r="N359" s="1">
        <f>'演算'!AJ360</f>
        <v>357</v>
      </c>
      <c r="O359" s="1">
        <f>'演算'!AK360</f>
        <v>0.4155428472</v>
      </c>
      <c r="P359" s="1">
        <f>'演算'!X361</f>
        <v>1369.546489</v>
      </c>
    </row>
    <row r="360" ht="12.75" customHeight="1">
      <c r="N360" s="1">
        <f>'演算'!AJ361</f>
        <v>358</v>
      </c>
      <c r="O360" s="1">
        <f>'演算'!AK361</f>
        <v>0.4102029889</v>
      </c>
      <c r="P360" s="1">
        <f>'演算'!X362</f>
        <v>1353.848984</v>
      </c>
    </row>
    <row r="361" ht="12.75" customHeight="1">
      <c r="N361" s="1">
        <f>'演算'!AJ362</f>
        <v>359</v>
      </c>
      <c r="O361" s="1">
        <f>'演算'!AK362</f>
        <v>0.4055744813</v>
      </c>
      <c r="P361" s="1">
        <f>'演算'!X363</f>
        <v>1340.546686</v>
      </c>
    </row>
    <row r="362" ht="12.75" customHeight="1">
      <c r="N362" s="1">
        <f>'演算'!AJ363</f>
        <v>360</v>
      </c>
      <c r="O362" s="1">
        <f>'演算'!AK363</f>
        <v>0.4016875364</v>
      </c>
      <c r="P362" s="1">
        <f>'演算'!X364</f>
        <v>1329.743942</v>
      </c>
    </row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>
      <c r="N617" s="1" t="str">
        <f>'演算'!AJ618</f>
        <v/>
      </c>
    </row>
    <row r="618" ht="12.75" customHeight="1">
      <c r="N618" s="1" t="str">
        <f>'演算'!AJ619</f>
        <v/>
      </c>
    </row>
    <row r="619" ht="12.75" customHeight="1">
      <c r="N619" s="1" t="str">
        <f>'演算'!AJ620</f>
        <v/>
      </c>
    </row>
    <row r="620" ht="12.75" customHeight="1">
      <c r="N620" s="1" t="str">
        <f>'演算'!AJ621</f>
        <v/>
      </c>
    </row>
    <row r="621" ht="12.75" customHeight="1">
      <c r="N621" s="1" t="str">
        <f>'演算'!AJ622</f>
        <v/>
      </c>
    </row>
    <row r="622" ht="12.75" customHeight="1">
      <c r="N622" s="1" t="str">
        <f>'演算'!AJ623</f>
        <v/>
      </c>
    </row>
    <row r="623" ht="12.75" customHeight="1">
      <c r="N623" s="1" t="str">
        <f>'演算'!AJ624</f>
        <v/>
      </c>
    </row>
    <row r="624" ht="12.75" customHeight="1">
      <c r="N624" s="1" t="str">
        <f>'演算'!AJ625</f>
        <v/>
      </c>
    </row>
    <row r="625" ht="12.75" customHeight="1">
      <c r="N625" s="1" t="str">
        <f>'演算'!AJ626</f>
        <v/>
      </c>
    </row>
    <row r="626" ht="12.75" customHeight="1">
      <c r="N626" s="1" t="str">
        <f>'演算'!AJ627</f>
        <v/>
      </c>
    </row>
    <row r="627" ht="12.75" customHeight="1">
      <c r="N627" s="1" t="str">
        <f>'演算'!AJ628</f>
        <v/>
      </c>
    </row>
    <row r="628" ht="12.75" customHeight="1">
      <c r="N628" s="1" t="str">
        <f>'演算'!AJ629</f>
        <v/>
      </c>
    </row>
    <row r="629" ht="12.75" customHeight="1">
      <c r="N629" s="1" t="str">
        <f>'演算'!AJ630</f>
        <v/>
      </c>
    </row>
    <row r="630" ht="12.75" customHeight="1">
      <c r="N630" s="1" t="str">
        <f>'演算'!AJ631</f>
        <v/>
      </c>
    </row>
    <row r="631" ht="12.75" customHeight="1">
      <c r="N631" s="1" t="str">
        <f>'演算'!AJ632</f>
        <v/>
      </c>
    </row>
    <row r="632" ht="12.75" customHeight="1">
      <c r="N632" s="1" t="str">
        <f>'演算'!AJ633</f>
        <v/>
      </c>
    </row>
    <row r="633" ht="12.75" customHeight="1">
      <c r="N633" s="1" t="str">
        <f>'演算'!AJ634</f>
        <v/>
      </c>
    </row>
    <row r="634" ht="12.75" customHeight="1">
      <c r="N634" s="1" t="str">
        <f>'演算'!AJ635</f>
        <v/>
      </c>
    </row>
    <row r="635" ht="12.75" customHeight="1">
      <c r="N635" s="1" t="str">
        <f>'演算'!AJ636</f>
        <v/>
      </c>
    </row>
    <row r="636" ht="12.75" customHeight="1">
      <c r="N636" s="1" t="str">
        <f>'演算'!AJ637</f>
        <v/>
      </c>
    </row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3">
    <mergeCell ref="F2:G2"/>
    <mergeCell ref="H2:I2"/>
    <mergeCell ref="J2:K2"/>
  </mergeCells>
  <printOptions/>
  <pageMargins bottom="0.75" footer="0.0" header="0.0" left="0.7" right="0.7" top="0.75"/>
  <pageSetup paperSize="9"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37" width="7.88"/>
  </cols>
  <sheetData>
    <row r="1" ht="12.75" customHeight="1">
      <c r="A1" s="35"/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</row>
    <row r="2" ht="12.75" customHeight="1">
      <c r="A2" s="35"/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 t="s">
        <v>34</v>
      </c>
      <c r="AK2" s="35" t="s">
        <v>1</v>
      </c>
    </row>
    <row r="3" ht="12.75" customHeight="1">
      <c r="A3" s="35"/>
      <c r="B3" s="36" t="s">
        <v>35</v>
      </c>
      <c r="C3" s="36" t="s">
        <v>36</v>
      </c>
      <c r="D3" s="36" t="s">
        <v>37</v>
      </c>
      <c r="E3" s="36" t="s">
        <v>38</v>
      </c>
      <c r="F3" s="36" t="s">
        <v>39</v>
      </c>
      <c r="G3" s="36" t="s">
        <v>40</v>
      </c>
      <c r="H3" s="36" t="s">
        <v>41</v>
      </c>
      <c r="I3" s="36" t="s">
        <v>42</v>
      </c>
      <c r="J3" s="36"/>
      <c r="K3" s="36"/>
      <c r="L3" s="36"/>
      <c r="M3" s="36" t="s">
        <v>34</v>
      </c>
      <c r="N3" s="36" t="s">
        <v>43</v>
      </c>
      <c r="O3" s="36" t="s">
        <v>44</v>
      </c>
      <c r="P3" s="36" t="s">
        <v>45</v>
      </c>
      <c r="Q3" s="36" t="s">
        <v>46</v>
      </c>
      <c r="R3" s="36" t="s">
        <v>47</v>
      </c>
      <c r="S3" s="36" t="s">
        <v>35</v>
      </c>
      <c r="T3" s="36" t="s">
        <v>48</v>
      </c>
      <c r="U3" s="36" t="s">
        <v>38</v>
      </c>
      <c r="V3" s="37" t="s">
        <v>49</v>
      </c>
      <c r="W3" s="37" t="s">
        <v>50</v>
      </c>
      <c r="X3" s="36" t="s">
        <v>51</v>
      </c>
      <c r="Y3" s="36" t="s">
        <v>52</v>
      </c>
      <c r="Z3" s="36" t="s">
        <v>53</v>
      </c>
      <c r="AA3" s="36" t="s">
        <v>54</v>
      </c>
      <c r="AB3" s="36" t="s">
        <v>55</v>
      </c>
      <c r="AC3" s="37"/>
      <c r="AD3" s="37"/>
      <c r="AE3" s="37"/>
      <c r="AF3" s="37"/>
      <c r="AG3" s="35"/>
      <c r="AH3" s="35"/>
      <c r="AI3" s="35"/>
      <c r="AJ3" s="35">
        <v>0.0</v>
      </c>
      <c r="AK3" s="35">
        <f t="shared" ref="AK3:AK363" si="1">1/V4</f>
        <v>0.4016875364</v>
      </c>
    </row>
    <row r="4" ht="12.75" customHeight="1">
      <c r="A4" s="35"/>
      <c r="B4" s="37">
        <v>0.0</v>
      </c>
      <c r="C4" s="38">
        <f t="shared" ref="C4:C364" si="2">$AI$8*COS(RADIANS(B4))</f>
        <v>50</v>
      </c>
      <c r="D4" s="38">
        <f t="shared" ref="D4:D364" si="3">-$AI$8*SIN(RADIANS(B4))</f>
        <v>0</v>
      </c>
      <c r="E4" s="38">
        <f>'演算'!U4</f>
        <v>-131.8103149</v>
      </c>
      <c r="F4" s="38">
        <f t="shared" ref="F4:F364" si="4">IF(E4&gt;0,(180-$AI$10)-E4,(180-$AI$10)-E4)</f>
        <v>131.8103149</v>
      </c>
      <c r="G4" s="38">
        <f t="shared" ref="G4:G364" si="5">-$AI$9*COS(RADIANS(F4))+C4</f>
        <v>416.6666667</v>
      </c>
      <c r="H4" s="38">
        <f t="shared" ref="H4:H364" si="6">-$AI$9*SIN(RADIANS(F4))+D4</f>
        <v>-409.9457959</v>
      </c>
      <c r="I4" s="39">
        <f t="shared" ref="I4:I364" si="7">(((G4)^2)+((H4)^2))^(1/2)</f>
        <v>584.5225972</v>
      </c>
      <c r="J4" s="38">
        <f t="shared" ref="J4:J364" si="8">-DEGREES(ATAN((H4/(G4))))</f>
        <v>44.53416013</v>
      </c>
      <c r="K4" s="38" t="str">
        <f t="shared" ref="K4:K364" si="9">IF(AND(J3&gt;0,J4&lt;0),1,"")</f>
        <v/>
      </c>
      <c r="L4" s="38">
        <f t="shared" ref="L4:L364" si="10">COUNTIF($K$4:K4,1)</f>
        <v>0</v>
      </c>
      <c r="M4" s="38">
        <f t="shared" ref="M4:M364" si="11">IF(L4=0,J4,IF(L4=1,180+J4,360+J4))</f>
        <v>44.53416013</v>
      </c>
      <c r="N4" s="39">
        <f t="shared" ref="N4:N364" si="12">$AI$7+M4</f>
        <v>-5.465839875</v>
      </c>
      <c r="O4" s="39">
        <f t="shared" ref="O4:O364" si="13">I4*COS(RADIANS(N4))</f>
        <v>581.8648696</v>
      </c>
      <c r="P4" s="39">
        <f t="shared" ref="P4:P364" si="14">-I4*SIN(RADIANS(N4))</f>
        <v>55.6771064</v>
      </c>
      <c r="Q4" s="38">
        <f t="shared" ref="Q4:Q364" si="15">COS(RADIANS(B4))*$AI$12</f>
        <v>600</v>
      </c>
      <c r="R4" s="38">
        <f t="shared" ref="R4:R364" si="16">SIN(RADIANS(B4))*$AI$12</f>
        <v>0</v>
      </c>
      <c r="S4" s="40">
        <v>0.0</v>
      </c>
      <c r="T4" s="37">
        <f t="shared" ref="T4:T183" si="17">AA4+AB4</f>
        <v>48.1896851</v>
      </c>
      <c r="U4" s="37">
        <f t="shared" ref="U4:U364" si="18">T4-(180-S4)</f>
        <v>-131.8103149</v>
      </c>
      <c r="V4" s="37">
        <f>ABS(360+U4-U363)</f>
        <v>2.489497207</v>
      </c>
      <c r="W4" s="37">
        <f>'入力・結果'!$I$7/V4</f>
        <v>129544.2305</v>
      </c>
      <c r="X4" s="39">
        <f>(W4/I4*10)*'入力・結果'!$I$8</f>
        <v>1329.743942</v>
      </c>
      <c r="Y4" s="38">
        <f>DEGREES(ACOS(('入力・結果'!$G$3-('入力・結果'!$G$4*COS(RADIANS(S4))))/((('入力・結果'!$G$3^2)+('入力・結果'!$G$4^2)-(2*'入力・結果'!$G$3*'入力・結果'!$G$4*COS(RADIANS(S4))))^(1/2))))</f>
        <v>180</v>
      </c>
      <c r="Z4" s="38">
        <f>DEGREES(ACOS((('入力・結果'!$G$3^2)+('入力・結果'!$G$4^2)-('入力・結果'!$G$5^2)+('入力・結果'!$G$6^2)-(2*'入力・結果'!$G$3*'入力・結果'!$G$4*COS(RADIANS(S4))))/(2*'入力・結果'!$G$6*(('入力・結果'!$G$3^2)+('入力・結果'!$G$4^2)-(2*'入力・結果'!$G$3*'入力・結果'!$G$4*(COS(RADIANS(S4)))))^(1/2))))</f>
        <v>106.6015496</v>
      </c>
      <c r="AA4" s="38">
        <f>DEGREES(ACOS(('入力・結果'!$G$4-('入力・結果'!$G$3*COS(RADIANS(S4))))/((('入力・結果'!$G$3^2)+('入力・結果'!$G$4^2)-(2*'入力・結果'!$G$3*'入力・結果'!$G$4*COS(RADIANS(S4))))^(1/2))))</f>
        <v>0</v>
      </c>
      <c r="AB4" s="38">
        <f>DEGREES(ACOS((('入力・結果'!$G$3^2)+('入力・結果'!$G$4^2)+('入力・結果'!$G$5^2)-('入力・結果'!$G$6^2)-(2*'入力・結果'!$G$3*'入力・結果'!$G$4*COS(RADIANS(S4))))/(2*'入力・結果'!$G$5*(('入力・結果'!$G$3^2)+('入力・結果'!$G$4^2)-(2*'入力・結果'!$G$3*'入力・結果'!$G$4*(COS(RADIANS(S4)))))^(1/2))))</f>
        <v>48.1896851</v>
      </c>
      <c r="AC4" s="37">
        <f t="shared" ref="AC4:AC365" si="19">X4-3300</f>
        <v>-1970.256058</v>
      </c>
      <c r="AD4" s="37">
        <f t="shared" ref="AD4:AD365" si="20">IF(AC4&lt;0,0,AC4)</f>
        <v>0</v>
      </c>
      <c r="AE4" s="37" t="str">
        <f t="shared" ref="AE4:AE365" si="21">IF(AND(AD3=0,AD4&gt;0),"a","")</f>
        <v/>
      </c>
      <c r="AF4" s="37" t="str">
        <f t="shared" ref="AF4:AF364" si="22">IF(AND(AD5=0,AD4&gt;0),"a","")</f>
        <v/>
      </c>
      <c r="AG4" s="35"/>
      <c r="AH4" s="35"/>
      <c r="AI4" s="35"/>
      <c r="AJ4" s="35">
        <v>1.0</v>
      </c>
      <c r="AK4" s="35">
        <f t="shared" si="1"/>
        <v>0.3985682199</v>
      </c>
    </row>
    <row r="5" ht="12.75" customHeight="1">
      <c r="A5" s="35"/>
      <c r="B5" s="37">
        <v>1.0</v>
      </c>
      <c r="C5" s="38">
        <f t="shared" si="2"/>
        <v>49.99238476</v>
      </c>
      <c r="D5" s="38">
        <f t="shared" si="3"/>
        <v>-0.8726203219</v>
      </c>
      <c r="E5" s="38">
        <f>'演算'!U5</f>
        <v>-129.3013341</v>
      </c>
      <c r="F5" s="38">
        <f t="shared" si="4"/>
        <v>129.3013341</v>
      </c>
      <c r="G5" s="38">
        <f t="shared" si="5"/>
        <v>398.3617749</v>
      </c>
      <c r="H5" s="38">
        <f t="shared" si="6"/>
        <v>-426.4766241</v>
      </c>
      <c r="I5" s="39">
        <f t="shared" si="7"/>
        <v>583.5875381</v>
      </c>
      <c r="J5" s="38">
        <f t="shared" si="8"/>
        <v>46.95218699</v>
      </c>
      <c r="K5" s="38" t="str">
        <f t="shared" si="9"/>
        <v/>
      </c>
      <c r="L5" s="38">
        <f t="shared" si="10"/>
        <v>0</v>
      </c>
      <c r="M5" s="38">
        <f t="shared" si="11"/>
        <v>46.95218699</v>
      </c>
      <c r="N5" s="39">
        <f t="shared" si="12"/>
        <v>-3.047813006</v>
      </c>
      <c r="O5" s="39">
        <f t="shared" si="13"/>
        <v>582.7620611</v>
      </c>
      <c r="P5" s="39">
        <f t="shared" si="14"/>
        <v>31.02893427</v>
      </c>
      <c r="Q5" s="38">
        <f t="shared" si="15"/>
        <v>599.9086171</v>
      </c>
      <c r="R5" s="38">
        <f t="shared" si="16"/>
        <v>10.47144386</v>
      </c>
      <c r="S5" s="40">
        <v>1.0</v>
      </c>
      <c r="T5" s="37">
        <f t="shared" si="17"/>
        <v>49.69866588</v>
      </c>
      <c r="U5" s="37">
        <f t="shared" si="18"/>
        <v>-129.3013341</v>
      </c>
      <c r="V5" s="37">
        <f t="shared" ref="V5:V364" si="23">ABS(U5-U4)</f>
        <v>2.508980772</v>
      </c>
      <c r="W5" s="37">
        <f>'入力・結果'!$I$7/V5</f>
        <v>128538.2509</v>
      </c>
      <c r="X5" s="39">
        <f>(W5/I5*10)*'入力・結果'!$I$8</f>
        <v>1321.531827</v>
      </c>
      <c r="Y5" s="38">
        <f>DEGREES(ACOS(('入力・結果'!$G$3-('入力・結果'!$G$4*COS(RADIANS(S5))))/((('入力・結果'!$G$3^2)+('入力・結果'!$G$4^2)-(2*'入力・結果'!$G$3*'入力・結果'!$G$4*COS(RADIANS(S5))))^(1/2))))</f>
        <v>177.500761</v>
      </c>
      <c r="Z5" s="38">
        <f>DEGREES(ACOS((('入力・結果'!$G$3^2)+('入力・結果'!$G$4^2)-('入力・結果'!$G$5^2)+('入力・結果'!$G$6^2)-(2*'入力・結果'!$G$3*'入力・結果'!$G$4*COS(RADIANS(S5))))/(2*'入力・結果'!$G$6*(('入力・結果'!$G$3^2)+('入力・結果'!$G$4^2)-(2*'入力・結果'!$G$3*'入力・結果'!$G$4*(COS(RADIANS(S5)))))^(1/2))))</f>
        <v>106.572302</v>
      </c>
      <c r="AA5" s="38">
        <f>DEGREES(ACOS(('入力・結果'!$G$4-('入力・結果'!$G$3*COS(RADIANS(S5))))/((('入力・結果'!$G$3^2)+('入力・結果'!$G$4^2)-(2*'入力・結果'!$G$3*'入力・結果'!$G$4*COS(RADIANS(S5))))^(1/2))))</f>
        <v>1.49923899</v>
      </c>
      <c r="AB5" s="38">
        <f>DEGREES(ACOS((('入力・結果'!$G$3^2)+('入力・結果'!$G$4^2)+('入力・結果'!$G$5^2)-('入力・結果'!$G$6^2)-(2*'入力・結果'!$G$3*'入力・結果'!$G$4*COS(RADIANS(S5))))/(2*'入力・結果'!$G$5*(('入力・結果'!$G$3^2)+('入力・結果'!$G$4^2)-(2*'入力・結果'!$G$3*'入力・結果'!$G$4*(COS(RADIANS(S5)))))^(1/2))))</f>
        <v>48.19942689</v>
      </c>
      <c r="AC5" s="37">
        <f t="shared" si="19"/>
        <v>-1978.468173</v>
      </c>
      <c r="AD5" s="37">
        <f t="shared" si="20"/>
        <v>0</v>
      </c>
      <c r="AE5" s="37" t="str">
        <f t="shared" si="21"/>
        <v/>
      </c>
      <c r="AF5" s="37" t="str">
        <f t="shared" si="22"/>
        <v/>
      </c>
      <c r="AG5" s="35"/>
      <c r="AH5" s="35"/>
      <c r="AI5" s="35"/>
      <c r="AJ5" s="35">
        <v>2.0</v>
      </c>
      <c r="AK5" s="35">
        <f t="shared" si="1"/>
        <v>0.3962384301</v>
      </c>
    </row>
    <row r="6" ht="12.75" customHeight="1">
      <c r="A6" s="35"/>
      <c r="B6" s="37">
        <v>2.0</v>
      </c>
      <c r="C6" s="38">
        <f t="shared" si="2"/>
        <v>49.96954135</v>
      </c>
      <c r="D6" s="38">
        <f t="shared" si="3"/>
        <v>-1.744974835</v>
      </c>
      <c r="E6" s="38">
        <f>'演算'!U6</f>
        <v>-126.7776011</v>
      </c>
      <c r="F6" s="38">
        <f t="shared" si="4"/>
        <v>126.7776011</v>
      </c>
      <c r="G6" s="38">
        <f t="shared" si="5"/>
        <v>379.2603271</v>
      </c>
      <c r="H6" s="38">
        <f t="shared" si="6"/>
        <v>-442.2759935</v>
      </c>
      <c r="I6" s="39">
        <f t="shared" si="7"/>
        <v>582.6203311</v>
      </c>
      <c r="J6" s="38">
        <f t="shared" si="8"/>
        <v>49.38626455</v>
      </c>
      <c r="K6" s="38" t="str">
        <f t="shared" si="9"/>
        <v/>
      </c>
      <c r="L6" s="38">
        <f t="shared" si="10"/>
        <v>0</v>
      </c>
      <c r="M6" s="38">
        <f t="shared" si="11"/>
        <v>49.38626455</v>
      </c>
      <c r="N6" s="39">
        <f t="shared" si="12"/>
        <v>-0.6137354524</v>
      </c>
      <c r="O6" s="39">
        <f t="shared" si="13"/>
        <v>582.5869063</v>
      </c>
      <c r="P6" s="39">
        <f t="shared" si="14"/>
        <v>6.240737406</v>
      </c>
      <c r="Q6" s="38">
        <f t="shared" si="15"/>
        <v>599.6344962</v>
      </c>
      <c r="R6" s="38">
        <f t="shared" si="16"/>
        <v>20.93969802</v>
      </c>
      <c r="S6" s="40">
        <v>2.0</v>
      </c>
      <c r="T6" s="37">
        <f t="shared" si="17"/>
        <v>51.22239887</v>
      </c>
      <c r="U6" s="37">
        <f t="shared" si="18"/>
        <v>-126.7776011</v>
      </c>
      <c r="V6" s="37">
        <f t="shared" si="23"/>
        <v>2.523732995</v>
      </c>
      <c r="W6" s="37">
        <f>'入力・結果'!$I$7/V6</f>
        <v>127786.8937</v>
      </c>
      <c r="X6" s="39">
        <f>(W6/I6*10)*'入力・結果'!$I$8</f>
        <v>1315.987997</v>
      </c>
      <c r="Y6" s="38">
        <f>DEGREES(ACOS(('入力・結果'!$G$3-('入力・結果'!$G$4*COS(RADIANS(S6))))/((('入力・結果'!$G$3^2)+('入力・結果'!$G$4^2)-(2*'入力・結果'!$G$3*'入力・結果'!$G$4*COS(RADIANS(S6))))^(1/2))))</f>
        <v>175.0060753</v>
      </c>
      <c r="Z6" s="38">
        <f>DEGREES(ACOS((('入力・結果'!$G$3^2)+('入力・結果'!$G$4^2)-('入力・結果'!$G$5^2)+('入力・結果'!$G$6^2)-(2*'入力・結果'!$G$3*'入力・結果'!$G$4*COS(RADIANS(S6))))/(2*'入力・結果'!$G$6*(('入力・結果'!$G$3^2)+('入力・結果'!$G$4^2)-(2*'入力・結果'!$G$3*'入力・結果'!$G$4*(COS(RADIANS(S6)))))^(1/2))))</f>
        <v>106.4848275</v>
      </c>
      <c r="AA6" s="38">
        <f>DEGREES(ACOS(('入力・結果'!$G$4-('入力・結果'!$G$3*COS(RADIANS(S6))))/((('入力・結果'!$G$3^2)+('入力・結果'!$G$4^2)-(2*'入力・結果'!$G$3*'入力・結果'!$G$4*COS(RADIANS(S6))))^(1/2))))</f>
        <v>2.993924669</v>
      </c>
      <c r="AB6" s="38">
        <f>DEGREES(ACOS((('入力・結果'!$G$3^2)+('入力・結果'!$G$4^2)+('入力・結果'!$G$5^2)-('入力・結果'!$G$6^2)-(2*'入力・結果'!$G$3*'入力・結果'!$G$4*COS(RADIANS(S6))))/(2*'入力・結果'!$G$5*(('入力・結果'!$G$3^2)+('入力・結果'!$G$4^2)-(2*'入力・結果'!$G$3*'入力・結果'!$G$4*(COS(RADIANS(S6)))))^(1/2))))</f>
        <v>48.2284742</v>
      </c>
      <c r="AC6" s="37">
        <f t="shared" si="19"/>
        <v>-1984.012003</v>
      </c>
      <c r="AD6" s="37">
        <f t="shared" si="20"/>
        <v>0</v>
      </c>
      <c r="AE6" s="37" t="str">
        <f t="shared" si="21"/>
        <v/>
      </c>
      <c r="AF6" s="37" t="str">
        <f t="shared" si="22"/>
        <v/>
      </c>
      <c r="AG6" s="35"/>
      <c r="AH6" s="35"/>
      <c r="AI6" s="35"/>
      <c r="AJ6" s="35">
        <v>3.0</v>
      </c>
      <c r="AK6" s="35">
        <f t="shared" si="1"/>
        <v>0.394715977</v>
      </c>
    </row>
    <row r="7" ht="12.75" customHeight="1">
      <c r="A7" s="35"/>
      <c r="B7" s="37">
        <v>3.0</v>
      </c>
      <c r="C7" s="38">
        <f t="shared" si="2"/>
        <v>49.93147674</v>
      </c>
      <c r="D7" s="38">
        <f t="shared" si="3"/>
        <v>-2.616797812</v>
      </c>
      <c r="E7" s="38">
        <f>'演算'!U7</f>
        <v>-124.2441339</v>
      </c>
      <c r="F7" s="38">
        <f t="shared" si="4"/>
        <v>124.2441339</v>
      </c>
      <c r="G7" s="38">
        <f t="shared" si="5"/>
        <v>359.4276395</v>
      </c>
      <c r="H7" s="38">
        <f t="shared" si="6"/>
        <v>-457.2728494</v>
      </c>
      <c r="I7" s="39">
        <f t="shared" si="7"/>
        <v>581.6241801</v>
      </c>
      <c r="J7" s="38">
        <f t="shared" si="8"/>
        <v>51.83178729</v>
      </c>
      <c r="K7" s="38" t="str">
        <f t="shared" si="9"/>
        <v/>
      </c>
      <c r="L7" s="38">
        <f t="shared" si="10"/>
        <v>0</v>
      </c>
      <c r="M7" s="38">
        <f t="shared" si="11"/>
        <v>51.83178729</v>
      </c>
      <c r="N7" s="39">
        <f t="shared" si="12"/>
        <v>1.83178729</v>
      </c>
      <c r="O7" s="39">
        <f t="shared" si="13"/>
        <v>581.3269585</v>
      </c>
      <c r="P7" s="39">
        <f t="shared" si="14"/>
        <v>-18.59177589</v>
      </c>
      <c r="Q7" s="38">
        <f t="shared" si="15"/>
        <v>599.1777209</v>
      </c>
      <c r="R7" s="38">
        <f t="shared" si="16"/>
        <v>31.40157375</v>
      </c>
      <c r="S7" s="40">
        <v>3.0</v>
      </c>
      <c r="T7" s="37">
        <f t="shared" si="17"/>
        <v>52.75586612</v>
      </c>
      <c r="U7" s="37">
        <f t="shared" si="18"/>
        <v>-124.2441339</v>
      </c>
      <c r="V7" s="37">
        <f t="shared" si="23"/>
        <v>2.533467248</v>
      </c>
      <c r="W7" s="37">
        <f>'入力・結果'!$I$7/V7</f>
        <v>127295.9026</v>
      </c>
      <c r="X7" s="39">
        <f>(W7/I7*10)*'入力・結果'!$I$8</f>
        <v>1313.176862</v>
      </c>
      <c r="Y7" s="38">
        <f>DEGREES(ACOS(('入力・結果'!$G$3-('入力・結果'!$G$4*COS(RADIANS(S7))))/((('入力・結果'!$G$3^2)+('入力・結果'!$G$4^2)-(2*'入力・結果'!$G$3*'入力・結果'!$G$4*COS(RADIANS(S7))))^(1/2))))</f>
        <v>172.520433</v>
      </c>
      <c r="Z7" s="38">
        <f>DEGREES(ACOS((('入力・結果'!$G$3^2)+('入力・結果'!$G$4^2)-('入力・結果'!$G$5^2)+('入力・結果'!$G$6^2)-(2*'入力・結果'!$G$3*'入力・結果'!$G$4*COS(RADIANS(S7))))/(2*'入力・結果'!$G$6*(('入力・結果'!$G$3^2)+('入力・結果'!$G$4^2)-(2*'入力・結果'!$G$3*'入力・結果'!$G$4*(COS(RADIANS(S7)))))^(1/2))))</f>
        <v>106.3399229</v>
      </c>
      <c r="AA7" s="38">
        <f>DEGREES(ACOS(('入力・結果'!$G$4-('入力・結果'!$G$3*COS(RADIANS(S7))))/((('入力・結果'!$G$3^2)+('入力・結果'!$G$4^2)-(2*'入力・結果'!$G$3*'入力・結果'!$G$4*COS(RADIANS(S7))))^(1/2))))</f>
        <v>4.479567012</v>
      </c>
      <c r="AB7" s="38">
        <f>DEGREES(ACOS((('入力・結果'!$G$3^2)+('入力・結果'!$G$4^2)+('入力・結果'!$G$5^2)-('入力・結果'!$G$6^2)-(2*'入力・結果'!$G$3*'入力・結果'!$G$4*COS(RADIANS(S7))))/(2*'入力・結果'!$G$5*(('入力・結果'!$G$3^2)+('入力・結果'!$G$4^2)-(2*'入力・結果'!$G$3*'入力・結果'!$G$4*(COS(RADIANS(S7)))))^(1/2))))</f>
        <v>48.27629911</v>
      </c>
      <c r="AC7" s="37">
        <f t="shared" si="19"/>
        <v>-1986.823138</v>
      </c>
      <c r="AD7" s="37">
        <f t="shared" si="20"/>
        <v>0</v>
      </c>
      <c r="AE7" s="37" t="str">
        <f t="shared" si="21"/>
        <v/>
      </c>
      <c r="AF7" s="37" t="str">
        <f t="shared" si="22"/>
        <v/>
      </c>
      <c r="AG7" s="41">
        <f>'入力・結果'!K3</f>
        <v>53</v>
      </c>
      <c r="AH7" s="37">
        <v>0.0</v>
      </c>
      <c r="AI7" s="37">
        <f>'入力・結果'!G7</f>
        <v>-50</v>
      </c>
      <c r="AJ7" s="35">
        <v>4.0</v>
      </c>
      <c r="AK7" s="35">
        <f t="shared" si="1"/>
        <v>0.3940147519</v>
      </c>
    </row>
    <row r="8" ht="12.75" customHeight="1">
      <c r="A8" s="35"/>
      <c r="B8" s="37">
        <v>4.0</v>
      </c>
      <c r="C8" s="38">
        <f t="shared" si="2"/>
        <v>49.87820251</v>
      </c>
      <c r="D8" s="38">
        <f t="shared" si="3"/>
        <v>-3.487823687</v>
      </c>
      <c r="E8" s="38">
        <f>'演算'!U8</f>
        <v>-121.7061578</v>
      </c>
      <c r="F8" s="38">
        <f t="shared" si="4"/>
        <v>121.7061578</v>
      </c>
      <c r="G8" s="38">
        <f t="shared" si="5"/>
        <v>338.9379012</v>
      </c>
      <c r="H8" s="38">
        <f t="shared" si="6"/>
        <v>-471.40287</v>
      </c>
      <c r="I8" s="39">
        <f t="shared" si="7"/>
        <v>580.6027616</v>
      </c>
      <c r="J8" s="38">
        <f t="shared" si="8"/>
        <v>54.28392603</v>
      </c>
      <c r="K8" s="38" t="str">
        <f t="shared" si="9"/>
        <v/>
      </c>
      <c r="L8" s="38">
        <f t="shared" si="10"/>
        <v>0</v>
      </c>
      <c r="M8" s="38">
        <f t="shared" si="11"/>
        <v>54.28392603</v>
      </c>
      <c r="N8" s="39">
        <f t="shared" si="12"/>
        <v>4.28392603</v>
      </c>
      <c r="O8" s="39">
        <f t="shared" si="13"/>
        <v>578.9806324</v>
      </c>
      <c r="P8" s="39">
        <f t="shared" si="14"/>
        <v>-43.3704282</v>
      </c>
      <c r="Q8" s="38">
        <f t="shared" si="15"/>
        <v>598.5384302</v>
      </c>
      <c r="R8" s="38">
        <f t="shared" si="16"/>
        <v>41.85388425</v>
      </c>
      <c r="S8" s="40">
        <v>4.0</v>
      </c>
      <c r="T8" s="37">
        <f t="shared" si="17"/>
        <v>54.29384216</v>
      </c>
      <c r="U8" s="37">
        <f t="shared" si="18"/>
        <v>-121.7061578</v>
      </c>
      <c r="V8" s="37">
        <f t="shared" si="23"/>
        <v>2.537976041</v>
      </c>
      <c r="W8" s="37">
        <f>'入力・結果'!$I$7/V8</f>
        <v>127069.7575</v>
      </c>
      <c r="X8" s="39">
        <f>(W8/I8*10)*'入力・結果'!$I$8</f>
        <v>1313.150049</v>
      </c>
      <c r="Y8" s="38">
        <f>DEGREES(ACOS(('入力・結果'!$G$3-('入力・結果'!$G$4*COS(RADIANS(S8))))/((('入力・結果'!$G$3^2)+('入力・結果'!$G$4^2)-(2*'入力・結果'!$G$3*'入力・結果'!$G$4*COS(RADIANS(S8))))^(1/2))))</f>
        <v>170.0481996</v>
      </c>
      <c r="Z8" s="38">
        <f>DEGREES(ACOS((('入力・結果'!$G$3^2)+('入力・結果'!$G$4^2)-('入力・結果'!$G$5^2)+('入力・結果'!$G$6^2)-(2*'入力・結果'!$G$3*'入力・結果'!$G$4*COS(RADIANS(S8))))/(2*'入力・結果'!$G$6*(('入力・結果'!$G$3^2)+('入力・結果'!$G$4^2)-(2*'入力・結果'!$G$3*'入力・結果'!$G$4*(COS(RADIANS(S8)))))^(1/2))))</f>
        <v>106.1388892</v>
      </c>
      <c r="AA8" s="38">
        <f>DEGREES(ACOS(('入力・結果'!$G$4-('入力・結果'!$G$3*COS(RADIANS(S8))))/((('入力・結果'!$G$3^2)+('入力・結果'!$G$4^2)-(2*'入力・結果'!$G$3*'入力・結果'!$G$4*COS(RADIANS(S8))))^(1/2))))</f>
        <v>5.951800386</v>
      </c>
      <c r="AB8" s="38">
        <f>DEGREES(ACOS((('入力・結果'!$G$3^2)+('入力・結果'!$G$4^2)+('入力・結果'!$G$5^2)-('入力・結果'!$G$6^2)-(2*'入力・結果'!$G$3*'入力・結果'!$G$4*COS(RADIANS(S8))))/(2*'入力・結果'!$G$5*(('入力・結果'!$G$3^2)+('入力・結果'!$G$4^2)-(2*'入力・結果'!$G$3*'入力・結果'!$G$4*(COS(RADIANS(S8)))))^(1/2))))</f>
        <v>48.34204177</v>
      </c>
      <c r="AC8" s="37">
        <f t="shared" si="19"/>
        <v>-1986.849951</v>
      </c>
      <c r="AD8" s="37">
        <f t="shared" si="20"/>
        <v>0</v>
      </c>
      <c r="AE8" s="37" t="str">
        <f t="shared" si="21"/>
        <v/>
      </c>
      <c r="AF8" s="37" t="str">
        <f t="shared" si="22"/>
        <v/>
      </c>
      <c r="AG8" s="41">
        <f>AG7</f>
        <v>53</v>
      </c>
      <c r="AH8" s="37">
        <v>6000.0</v>
      </c>
      <c r="AI8" s="37">
        <f>'入力・結果'!G4</f>
        <v>50</v>
      </c>
      <c r="AJ8" s="35">
        <v>5.0</v>
      </c>
      <c r="AK8" s="35">
        <f t="shared" si="1"/>
        <v>0.3941449705</v>
      </c>
    </row>
    <row r="9" ht="12.75" customHeight="1">
      <c r="A9" s="35"/>
      <c r="B9" s="37">
        <v>5.0</v>
      </c>
      <c r="C9" s="38">
        <f t="shared" si="2"/>
        <v>49.8097349</v>
      </c>
      <c r="D9" s="38">
        <f t="shared" si="3"/>
        <v>-4.357787137</v>
      </c>
      <c r="E9" s="38">
        <f>'演算'!U9</f>
        <v>-119.1690203</v>
      </c>
      <c r="F9" s="38">
        <f t="shared" si="4"/>
        <v>119.1690203</v>
      </c>
      <c r="G9" s="38">
        <f t="shared" si="5"/>
        <v>317.8729154</v>
      </c>
      <c r="H9" s="38">
        <f t="shared" si="6"/>
        <v>-484.609941</v>
      </c>
      <c r="I9" s="39">
        <f t="shared" si="7"/>
        <v>579.5601653</v>
      </c>
      <c r="J9" s="38">
        <f t="shared" si="8"/>
        <v>56.7377048</v>
      </c>
      <c r="K9" s="38" t="str">
        <f t="shared" si="9"/>
        <v/>
      </c>
      <c r="L9" s="38">
        <f t="shared" si="10"/>
        <v>0</v>
      </c>
      <c r="M9" s="38">
        <f t="shared" si="11"/>
        <v>56.7377048</v>
      </c>
      <c r="N9" s="39">
        <f t="shared" si="12"/>
        <v>6.737704796</v>
      </c>
      <c r="O9" s="39">
        <f t="shared" si="13"/>
        <v>575.5575238</v>
      </c>
      <c r="P9" s="39">
        <f t="shared" si="14"/>
        <v>-67.99648515</v>
      </c>
      <c r="Q9" s="38">
        <f t="shared" si="15"/>
        <v>597.7168189</v>
      </c>
      <c r="R9" s="38">
        <f t="shared" si="16"/>
        <v>52.29344565</v>
      </c>
      <c r="S9" s="40">
        <v>5.0</v>
      </c>
      <c r="T9" s="37">
        <f t="shared" si="17"/>
        <v>55.8309797</v>
      </c>
      <c r="U9" s="37">
        <f t="shared" si="18"/>
        <v>-119.1690203</v>
      </c>
      <c r="V9" s="37">
        <f t="shared" si="23"/>
        <v>2.537137538</v>
      </c>
      <c r="W9" s="37">
        <f>'入力・結果'!$I$7/V9</f>
        <v>127111.753</v>
      </c>
      <c r="X9" s="39">
        <f>(W9/I9*10)*'入力・結果'!$I$8</f>
        <v>1315.947099</v>
      </c>
      <c r="Y9" s="38">
        <f>DEGREES(ACOS(('入力・結果'!$G$3-('入力・結果'!$G$4*COS(RADIANS(S9))))/((('入力・結果'!$G$3^2)+('入力・結果'!$G$4^2)-(2*'入力・結果'!$G$3*'入力・結果'!$G$4*COS(RADIANS(S9))))^(1/2))))</f>
        <v>167.5935596</v>
      </c>
      <c r="Z9" s="38">
        <f>DEGREES(ACOS((('入力・結果'!$G$3^2)+('入力・結果'!$G$4^2)-('入力・結果'!$G$5^2)+('入力・結果'!$G$6^2)-(2*'入力・結果'!$G$3*'入力・結果'!$G$4*COS(RADIANS(S9))))/(2*'入力・結果'!$G$6*(('入力・結果'!$G$3^2)+('入力・結果'!$G$4^2)-(2*'入力・結果'!$G$3*'入力・結果'!$G$4*(COS(RADIANS(S9)))))^(1/2))))</f>
        <v>105.8834931</v>
      </c>
      <c r="AA9" s="38">
        <f>DEGREES(ACOS(('入力・結果'!$G$4-('入力・結果'!$G$3*COS(RADIANS(S9))))/((('入力・結果'!$G$3^2)+('入力・結果'!$G$4^2)-(2*'入力・結果'!$G$3*'入力・結果'!$G$4*COS(RADIANS(S9))))^(1/2))))</f>
        <v>7.406440422</v>
      </c>
      <c r="AB9" s="38">
        <f>DEGREES(ACOS((('入力・結果'!$G$3^2)+('入力・結果'!$G$4^2)+('入力・結果'!$G$5^2)-('入力・結果'!$G$6^2)-(2*'入力・結果'!$G$3*'入力・結果'!$G$4*COS(RADIANS(S9))))/(2*'入力・結果'!$G$5*(('入力・結果'!$G$3^2)+('入力・結果'!$G$4^2)-(2*'入力・結果'!$G$3*'入力・結果'!$G$4*(COS(RADIANS(S9)))))^(1/2))))</f>
        <v>48.42453928</v>
      </c>
      <c r="AC9" s="37">
        <f t="shared" si="19"/>
        <v>-1984.052901</v>
      </c>
      <c r="AD9" s="37">
        <f t="shared" si="20"/>
        <v>0</v>
      </c>
      <c r="AE9" s="37" t="str">
        <f t="shared" si="21"/>
        <v/>
      </c>
      <c r="AF9" s="37" t="str">
        <f t="shared" si="22"/>
        <v/>
      </c>
      <c r="AG9" s="41">
        <f>'入力・結果'!K7</f>
        <v>348</v>
      </c>
      <c r="AH9" s="37">
        <v>0.0</v>
      </c>
      <c r="AI9" s="37">
        <f>'入力・結果'!G8</f>
        <v>550</v>
      </c>
      <c r="AJ9" s="35">
        <v>6.0</v>
      </c>
      <c r="AK9" s="35">
        <f t="shared" si="1"/>
        <v>0.3951134728</v>
      </c>
    </row>
    <row r="10" ht="12.75" customHeight="1">
      <c r="A10" s="35"/>
      <c r="B10" s="37">
        <v>6.0</v>
      </c>
      <c r="C10" s="38">
        <f t="shared" si="2"/>
        <v>49.72609477</v>
      </c>
      <c r="D10" s="38">
        <f t="shared" si="3"/>
        <v>-5.226423163</v>
      </c>
      <c r="E10" s="38">
        <f>'演算'!U10</f>
        <v>-116.6381018</v>
      </c>
      <c r="F10" s="38">
        <f t="shared" si="4"/>
        <v>116.6381018</v>
      </c>
      <c r="G10" s="38">
        <f t="shared" si="5"/>
        <v>296.3205764</v>
      </c>
      <c r="H10" s="38">
        <f t="shared" si="6"/>
        <v>-496.8473764</v>
      </c>
      <c r="I10" s="39">
        <f t="shared" si="7"/>
        <v>578.5008206</v>
      </c>
      <c r="J10" s="38">
        <f t="shared" si="8"/>
        <v>59.18808153</v>
      </c>
      <c r="K10" s="38" t="str">
        <f t="shared" si="9"/>
        <v/>
      </c>
      <c r="L10" s="38">
        <f t="shared" si="10"/>
        <v>0</v>
      </c>
      <c r="M10" s="38">
        <f t="shared" si="11"/>
        <v>59.18808153</v>
      </c>
      <c r="N10" s="39">
        <f t="shared" si="12"/>
        <v>9.188081527</v>
      </c>
      <c r="O10" s="39">
        <f t="shared" si="13"/>
        <v>571.0783668</v>
      </c>
      <c r="P10" s="39">
        <f t="shared" si="14"/>
        <v>-92.37260649</v>
      </c>
      <c r="Q10" s="38">
        <f t="shared" si="15"/>
        <v>596.7131372</v>
      </c>
      <c r="R10" s="38">
        <f t="shared" si="16"/>
        <v>62.71707796</v>
      </c>
      <c r="S10" s="40">
        <v>6.0</v>
      </c>
      <c r="T10" s="37">
        <f t="shared" si="17"/>
        <v>57.3618982</v>
      </c>
      <c r="U10" s="37">
        <f t="shared" si="18"/>
        <v>-116.6381018</v>
      </c>
      <c r="V10" s="37">
        <f t="shared" si="23"/>
        <v>2.530918505</v>
      </c>
      <c r="W10" s="37">
        <f>'入力・結果'!$I$7/V10</f>
        <v>127424.095</v>
      </c>
      <c r="X10" s="39">
        <f>(W10/I10*10)*'入力・結果'!$I$8</f>
        <v>1321.596345</v>
      </c>
      <c r="Y10" s="38">
        <f>DEGREES(ACOS(('入力・結果'!$G$3-('入力・結果'!$G$4*COS(RADIANS(S10))))/((('入力・結果'!$G$3^2)+('入力・結果'!$G$4^2)-(2*'入力・結果'!$G$3*'入力・結果'!$G$4*COS(RADIANS(S10))))^(1/2))))</f>
        <v>165.1604651</v>
      </c>
      <c r="Z10" s="38">
        <f>DEGREES(ACOS((('入力・結果'!$G$3^2)+('入力・結果'!$G$4^2)-('入力・結果'!$G$5^2)+('入力・結果'!$G$6^2)-(2*'入力・結果'!$G$3*'入力・結果'!$G$4*COS(RADIANS(S10))))/(2*'入力・結果'!$G$6*(('入力・結果'!$G$3^2)+('入力・結果'!$G$4^2)-(2*'入力・結果'!$G$3*'入力・結果'!$G$4*(COS(RADIANS(S10)))))^(1/2))))</f>
        <v>105.5759162</v>
      </c>
      <c r="AA10" s="38">
        <f>DEGREES(ACOS(('入力・結果'!$G$4-('入力・結果'!$G$3*COS(RADIANS(S10))))/((('入力・結果'!$G$3^2)+('入力・結果'!$G$4^2)-(2*'入力・結果'!$G$3*'入力・結果'!$G$4*COS(RADIANS(S10))))^(1/2))))</f>
        <v>8.839534893</v>
      </c>
      <c r="AB10" s="38">
        <f>DEGREES(ACOS((('入力・結果'!$G$3^2)+('入力・結果'!$G$4^2)+('入力・結果'!$G$5^2)-('入力・結果'!$G$6^2)-(2*'入力・結果'!$G$3*'入力・結果'!$G$4*COS(RADIANS(S10))))/(2*'入力・結果'!$G$5*(('入力・結果'!$G$3^2)+('入力・結果'!$G$4^2)-(2*'入力・結果'!$G$3*'入力・結果'!$G$4*(COS(RADIANS(S10)))))^(1/2))))</f>
        <v>48.52236331</v>
      </c>
      <c r="AC10" s="37">
        <f t="shared" si="19"/>
        <v>-1978.403655</v>
      </c>
      <c r="AD10" s="37">
        <f t="shared" si="20"/>
        <v>0</v>
      </c>
      <c r="AE10" s="37" t="str">
        <f t="shared" si="21"/>
        <v/>
      </c>
      <c r="AF10" s="37" t="str">
        <f t="shared" si="22"/>
        <v/>
      </c>
      <c r="AG10" s="41">
        <f>AG9</f>
        <v>348</v>
      </c>
      <c r="AH10" s="37">
        <v>6000.0</v>
      </c>
      <c r="AI10" s="37">
        <f>'入力・結果'!G9</f>
        <v>180</v>
      </c>
      <c r="AJ10" s="35">
        <v>7.0</v>
      </c>
      <c r="AK10" s="35">
        <f t="shared" si="1"/>
        <v>0.3969240613</v>
      </c>
    </row>
    <row r="11" ht="12.75" customHeight="1">
      <c r="A11" s="35"/>
      <c r="B11" s="37">
        <v>7.0</v>
      </c>
      <c r="C11" s="38">
        <f t="shared" si="2"/>
        <v>49.62730758</v>
      </c>
      <c r="D11" s="38">
        <f t="shared" si="3"/>
        <v>-6.09346717</v>
      </c>
      <c r="E11" s="38">
        <f>'演算'!U11</f>
        <v>-114.1187282</v>
      </c>
      <c r="F11" s="38">
        <f t="shared" si="4"/>
        <v>114.1187282</v>
      </c>
      <c r="G11" s="38">
        <f t="shared" si="5"/>
        <v>274.3731561</v>
      </c>
      <c r="H11" s="38">
        <f t="shared" si="6"/>
        <v>-508.0788291</v>
      </c>
      <c r="I11" s="39">
        <f t="shared" si="7"/>
        <v>577.4294116</v>
      </c>
      <c r="J11" s="38">
        <f t="shared" si="8"/>
        <v>61.63002924</v>
      </c>
      <c r="K11" s="38" t="str">
        <f t="shared" si="9"/>
        <v/>
      </c>
      <c r="L11" s="38">
        <f t="shared" si="10"/>
        <v>0</v>
      </c>
      <c r="M11" s="38">
        <f t="shared" si="11"/>
        <v>61.63002924</v>
      </c>
      <c r="N11" s="39">
        <f t="shared" si="12"/>
        <v>11.63002924</v>
      </c>
      <c r="O11" s="39">
        <f t="shared" si="13"/>
        <v>565.5746289</v>
      </c>
      <c r="P11" s="39">
        <f t="shared" si="14"/>
        <v>-116.4047445</v>
      </c>
      <c r="Q11" s="38">
        <f t="shared" si="15"/>
        <v>595.527691</v>
      </c>
      <c r="R11" s="38">
        <f t="shared" si="16"/>
        <v>73.12160604</v>
      </c>
      <c r="S11" s="40">
        <v>7.0</v>
      </c>
      <c r="T11" s="37">
        <f t="shared" si="17"/>
        <v>58.8812718</v>
      </c>
      <c r="U11" s="37">
        <f t="shared" si="18"/>
        <v>-114.1187282</v>
      </c>
      <c r="V11" s="37">
        <f t="shared" si="23"/>
        <v>2.519373597</v>
      </c>
      <c r="W11" s="37">
        <f>'入力・結果'!$I$7/V11</f>
        <v>128008.0098</v>
      </c>
      <c r="X11" s="39">
        <f>(W11/I11*10)*'入力・結果'!$I$8</f>
        <v>1330.11593</v>
      </c>
      <c r="Y11" s="38">
        <f>DEGREES(ACOS(('入力・結果'!$G$3-('入力・結果'!$G$4*COS(RADIANS(S11))))/((('入力・結果'!$G$3^2)+('入力・結果'!$G$4^2)-(2*'入力・結果'!$G$3*'入力・結果'!$G$4*COS(RADIANS(S11))))^(1/2))))</f>
        <v>162.7525928</v>
      </c>
      <c r="Z11" s="38">
        <f>DEGREES(ACOS((('入力・結果'!$G$3^2)+('入力・結果'!$G$4^2)-('入力・結果'!$G$5^2)+('入力・結果'!$G$6^2)-(2*'入力・結果'!$G$3*'入力・結果'!$G$4*COS(RADIANS(S11))))/(2*'入力・結果'!$G$6*(('入力・結果'!$G$3^2)+('入力・結果'!$G$4^2)-(2*'入力・結果'!$G$3*'入力・結果'!$G$4*(COS(RADIANS(S11)))))^(1/2))))</f>
        <v>105.2186949</v>
      </c>
      <c r="AA11" s="38">
        <f>DEGREES(ACOS(('入力・結果'!$G$4-('入力・結果'!$G$3*COS(RADIANS(S11))))/((('入力・結果'!$G$3^2)+('入力・結果'!$G$4^2)-(2*'入力・結果'!$G$3*'入力・結果'!$G$4*COS(RADIANS(S11))))^(1/2))))</f>
        <v>10.24740717</v>
      </c>
      <c r="AB11" s="38">
        <f>DEGREES(ACOS((('入力・結果'!$G$3^2)+('入力・結果'!$G$4^2)+('入力・結果'!$G$5^2)-('入力・結果'!$G$6^2)-(2*'入力・結果'!$G$3*'入力・結果'!$G$4*COS(RADIANS(S11))))/(2*'入力・結果'!$G$5*(('入力・結果'!$G$3^2)+('入力・結果'!$G$4^2)-(2*'入力・結果'!$G$3*'入力・結果'!$G$4*(COS(RADIANS(S11)))))^(1/2))))</f>
        <v>48.63386463</v>
      </c>
      <c r="AC11" s="37">
        <f t="shared" si="19"/>
        <v>-1969.88407</v>
      </c>
      <c r="AD11" s="37">
        <f t="shared" si="20"/>
        <v>0</v>
      </c>
      <c r="AE11" s="37" t="str">
        <f t="shared" si="21"/>
        <v/>
      </c>
      <c r="AF11" s="37" t="str">
        <f t="shared" si="22"/>
        <v/>
      </c>
      <c r="AG11" s="41">
        <v>0.0</v>
      </c>
      <c r="AH11" s="37">
        <v>3300.0</v>
      </c>
      <c r="AI11" s="37">
        <f>'入力・結果'!G10</f>
        <v>110</v>
      </c>
      <c r="AJ11" s="35">
        <v>8.0</v>
      </c>
      <c r="AK11" s="35">
        <f t="shared" si="1"/>
        <v>0.3995778597</v>
      </c>
    </row>
    <row r="12" ht="12.75" customHeight="1">
      <c r="A12" s="35"/>
      <c r="B12" s="37">
        <v>8.0</v>
      </c>
      <c r="C12" s="38">
        <f t="shared" si="2"/>
        <v>49.51340344</v>
      </c>
      <c r="D12" s="38">
        <f t="shared" si="3"/>
        <v>-6.958655048</v>
      </c>
      <c r="E12" s="38">
        <f>'演算'!U12</f>
        <v>-111.616087</v>
      </c>
      <c r="F12" s="38">
        <f t="shared" si="4"/>
        <v>111.616087</v>
      </c>
      <c r="G12" s="38">
        <f t="shared" si="5"/>
        <v>252.1254797</v>
      </c>
      <c r="H12" s="38">
        <f t="shared" si="6"/>
        <v>-518.2788547</v>
      </c>
      <c r="I12" s="39">
        <f t="shared" si="7"/>
        <v>576.3507862</v>
      </c>
      <c r="J12" s="38">
        <f t="shared" si="8"/>
        <v>64.05861449</v>
      </c>
      <c r="K12" s="38" t="str">
        <f t="shared" si="9"/>
        <v/>
      </c>
      <c r="L12" s="38">
        <f t="shared" si="10"/>
        <v>0</v>
      </c>
      <c r="M12" s="38">
        <f t="shared" si="11"/>
        <v>64.05861449</v>
      </c>
      <c r="N12" s="39">
        <f t="shared" si="12"/>
        <v>14.05861449</v>
      </c>
      <c r="O12" s="39">
        <f t="shared" si="13"/>
        <v>559.087771</v>
      </c>
      <c r="P12" s="39">
        <f t="shared" si="14"/>
        <v>-140.0039035</v>
      </c>
      <c r="Q12" s="38">
        <f t="shared" si="15"/>
        <v>594.1608412</v>
      </c>
      <c r="R12" s="38">
        <f t="shared" si="16"/>
        <v>83.50386058</v>
      </c>
      <c r="S12" s="40">
        <v>8.0</v>
      </c>
      <c r="T12" s="37">
        <f t="shared" si="17"/>
        <v>60.38391296</v>
      </c>
      <c r="U12" s="37">
        <f t="shared" si="18"/>
        <v>-111.616087</v>
      </c>
      <c r="V12" s="37">
        <f t="shared" si="23"/>
        <v>2.502641164</v>
      </c>
      <c r="W12" s="37">
        <f>'入力・結果'!$I$7/V12</f>
        <v>128863.8597</v>
      </c>
      <c r="X12" s="39">
        <f>(W12/I12*10)*'入力・結果'!$I$8</f>
        <v>1341.514885</v>
      </c>
      <c r="Y12" s="38">
        <f>DEGREES(ACOS(('入力・結果'!$G$3-('入力・結果'!$G$4*COS(RADIANS(S12))))/((('入力・結果'!$G$3^2)+('入力・結果'!$G$4^2)-(2*'入力・結果'!$G$3*'入力・結果'!$G$4*COS(RADIANS(S12))))^(1/2))))</f>
        <v>160.3733088</v>
      </c>
      <c r="Z12" s="38">
        <f>DEGREES(ACOS((('入力・結果'!$G$3^2)+('入力・結果'!$G$4^2)-('入力・結果'!$G$5^2)+('入力・結果'!$G$6^2)-(2*'入力・結果'!$G$3*'入力・結果'!$G$4*COS(RADIANS(S12))))/(2*'入力・結果'!$G$6*(('入力・結果'!$G$3^2)+('入力・結果'!$G$4^2)-(2*'入力・結果'!$G$3*'入力・結果'!$G$4*(COS(RADIANS(S12)))))^(1/2))))</f>
        <v>104.8146541</v>
      </c>
      <c r="AA12" s="38">
        <f>DEGREES(ACOS(('入力・結果'!$G$4-('入力・結果'!$G$3*COS(RADIANS(S12))))/((('入力・結果'!$G$3^2)+('入力・結果'!$G$4^2)-(2*'入力・結果'!$G$3*'入力・結果'!$G$4*COS(RADIANS(S12))))^(1/2))))</f>
        <v>11.62669124</v>
      </c>
      <c r="AB12" s="38">
        <f>DEGREES(ACOS((('入力・結果'!$G$3^2)+('入力・結果'!$G$4^2)+('入力・結果'!$G$5^2)-('入力・結果'!$G$6^2)-(2*'入力・結果'!$G$3*'入力・結果'!$G$4*COS(RADIANS(S12))))/(2*'入力・結果'!$G$5*(('入力・結果'!$G$3^2)+('入力・結果'!$G$4^2)-(2*'入力・結果'!$G$3*'入力・結果'!$G$4*(COS(RADIANS(S12)))))^(1/2))))</f>
        <v>48.75722172</v>
      </c>
      <c r="AC12" s="37">
        <f t="shared" si="19"/>
        <v>-1958.485115</v>
      </c>
      <c r="AD12" s="37">
        <f t="shared" si="20"/>
        <v>0</v>
      </c>
      <c r="AE12" s="37" t="str">
        <f t="shared" si="21"/>
        <v/>
      </c>
      <c r="AF12" s="37" t="str">
        <f t="shared" si="22"/>
        <v/>
      </c>
      <c r="AG12" s="41">
        <v>360.0</v>
      </c>
      <c r="AH12" s="37">
        <v>3300.0</v>
      </c>
      <c r="AI12" s="37">
        <f>'入力・結果'!G11</f>
        <v>600</v>
      </c>
      <c r="AJ12" s="35">
        <v>9.0</v>
      </c>
      <c r="AK12" s="35">
        <f t="shared" si="1"/>
        <v>0.4030736764</v>
      </c>
    </row>
    <row r="13" ht="12.75" customHeight="1">
      <c r="A13" s="35"/>
      <c r="B13" s="37">
        <v>9.0</v>
      </c>
      <c r="C13" s="38">
        <f t="shared" si="2"/>
        <v>49.38441703</v>
      </c>
      <c r="D13" s="38">
        <f t="shared" si="3"/>
        <v>-7.821723252</v>
      </c>
      <c r="E13" s="38">
        <f>'演算'!U13</f>
        <v>-109.135151</v>
      </c>
      <c r="F13" s="38">
        <f t="shared" si="4"/>
        <v>109.135151</v>
      </c>
      <c r="G13" s="38">
        <f t="shared" si="5"/>
        <v>229.6730775</v>
      </c>
      <c r="H13" s="38">
        <f t="shared" si="6"/>
        <v>-527.4331154</v>
      </c>
      <c r="I13" s="39">
        <f t="shared" si="7"/>
        <v>575.2698617</v>
      </c>
      <c r="J13" s="38">
        <f t="shared" si="8"/>
        <v>66.46907022</v>
      </c>
      <c r="K13" s="38" t="str">
        <f t="shared" si="9"/>
        <v/>
      </c>
      <c r="L13" s="38">
        <f t="shared" si="10"/>
        <v>0</v>
      </c>
      <c r="M13" s="38">
        <f t="shared" si="11"/>
        <v>66.46907022</v>
      </c>
      <c r="N13" s="39">
        <f t="shared" si="12"/>
        <v>16.46907022</v>
      </c>
      <c r="O13" s="39">
        <f t="shared" si="13"/>
        <v>551.6682157</v>
      </c>
      <c r="P13" s="39">
        <f t="shared" si="14"/>
        <v>-163.0876868</v>
      </c>
      <c r="Q13" s="38">
        <f t="shared" si="15"/>
        <v>592.6130044</v>
      </c>
      <c r="R13" s="38">
        <f t="shared" si="16"/>
        <v>93.86067902</v>
      </c>
      <c r="S13" s="40">
        <v>9.0</v>
      </c>
      <c r="T13" s="37">
        <f t="shared" si="17"/>
        <v>61.86484898</v>
      </c>
      <c r="U13" s="37">
        <f t="shared" si="18"/>
        <v>-109.135151</v>
      </c>
      <c r="V13" s="37">
        <f t="shared" si="23"/>
        <v>2.480936014</v>
      </c>
      <c r="W13" s="37">
        <f>'入力・結果'!$I$7/V13</f>
        <v>129991.2606</v>
      </c>
      <c r="X13" s="39">
        <f>(W13/I13*10)*'入力・結果'!$I$8</f>
        <v>1355.794238</v>
      </c>
      <c r="Y13" s="38">
        <f>DEGREES(ACOS(('入力・結果'!$G$3-('入力・結果'!$G$4*COS(RADIANS(S13))))/((('入力・結果'!$G$3^2)+('入力・結果'!$G$4^2)-(2*'入力・結果'!$G$3*'入力・結果'!$G$4*COS(RADIANS(S13))))^(1/2))))</f>
        <v>158.0256421</v>
      </c>
      <c r="Z13" s="38">
        <f>DEGREES(ACOS((('入力・結果'!$G$3^2)+('入力・結果'!$G$4^2)-('入力・結果'!$G$5^2)+('入力・結果'!$G$6^2)-(2*'入力・結果'!$G$3*'入力・結果'!$G$4*COS(RADIANS(S13))))/(2*'入力・結果'!$G$6*(('入力・結果'!$G$3^2)+('入力・結果'!$G$4^2)-(2*'入力・結果'!$G$3*'入力・結果'!$G$4*(COS(RADIANS(S13)))))^(1/2))))</f>
        <v>104.3668384</v>
      </c>
      <c r="AA13" s="38">
        <f>DEGREES(ACOS(('入力・結果'!$G$4-('入力・結果'!$G$3*COS(RADIANS(S13))))/((('入力・結果'!$G$3^2)+('入力・結果'!$G$4^2)-(2*'入力・結果'!$G$3*'入力・結果'!$G$4*COS(RADIANS(S13))))^(1/2))))</f>
        <v>12.97435787</v>
      </c>
      <c r="AB13" s="38">
        <f>DEGREES(ACOS((('入力・結果'!$G$3^2)+('入力・結果'!$G$4^2)+('入力・結果'!$G$5^2)-('入力・結果'!$G$6^2)-(2*'入力・結果'!$G$3*'入力・結果'!$G$4*COS(RADIANS(S13))))/(2*'入力・結果'!$G$5*(('入力・結果'!$G$3^2)+('入力・結果'!$G$4^2)-(2*'入力・結果'!$G$3*'入力・結果'!$G$4*(COS(RADIANS(S13)))))^(1/2))))</f>
        <v>48.89049111</v>
      </c>
      <c r="AC13" s="37">
        <f t="shared" si="19"/>
        <v>-1944.205762</v>
      </c>
      <c r="AD13" s="37">
        <f t="shared" si="20"/>
        <v>0</v>
      </c>
      <c r="AE13" s="37" t="str">
        <f t="shared" si="21"/>
        <v/>
      </c>
      <c r="AF13" s="37" t="str">
        <f t="shared" si="22"/>
        <v/>
      </c>
      <c r="AG13" s="41">
        <v>-1000.0</v>
      </c>
      <c r="AH13" s="37">
        <f>AI11*-1</f>
        <v>-110</v>
      </c>
      <c r="AI13" s="37"/>
      <c r="AJ13" s="35">
        <v>10.0</v>
      </c>
      <c r="AK13" s="35">
        <f t="shared" si="1"/>
        <v>0.407408359</v>
      </c>
    </row>
    <row r="14" ht="12.75" customHeight="1">
      <c r="A14" s="35"/>
      <c r="B14" s="37">
        <v>10.0</v>
      </c>
      <c r="C14" s="38">
        <f t="shared" si="2"/>
        <v>49.24038765</v>
      </c>
      <c r="D14" s="38">
        <f t="shared" si="3"/>
        <v>-8.682408883</v>
      </c>
      <c r="E14" s="38">
        <f>'演算'!U14</f>
        <v>-106.6806113</v>
      </c>
      <c r="F14" s="38">
        <f t="shared" si="4"/>
        <v>106.6806113</v>
      </c>
      <c r="G14" s="38">
        <f t="shared" si="5"/>
        <v>207.1103964</v>
      </c>
      <c r="H14" s="38">
        <f t="shared" si="6"/>
        <v>-535.5382339</v>
      </c>
      <c r="I14" s="39">
        <f t="shared" si="7"/>
        <v>574.1915327</v>
      </c>
      <c r="J14" s="38">
        <f t="shared" si="8"/>
        <v>68.85686073</v>
      </c>
      <c r="K14" s="38" t="str">
        <f t="shared" si="9"/>
        <v/>
      </c>
      <c r="L14" s="38">
        <f t="shared" si="10"/>
        <v>0</v>
      </c>
      <c r="M14" s="38">
        <f t="shared" si="11"/>
        <v>68.85686073</v>
      </c>
      <c r="N14" s="39">
        <f t="shared" si="12"/>
        <v>18.85686073</v>
      </c>
      <c r="O14" s="39">
        <f t="shared" si="13"/>
        <v>543.3740848</v>
      </c>
      <c r="P14" s="39">
        <f t="shared" si="14"/>
        <v>-185.581573</v>
      </c>
      <c r="Q14" s="38">
        <f t="shared" si="15"/>
        <v>590.8846518</v>
      </c>
      <c r="R14" s="38">
        <f t="shared" si="16"/>
        <v>104.1889066</v>
      </c>
      <c r="S14" s="40">
        <v>10.0</v>
      </c>
      <c r="T14" s="37">
        <f t="shared" si="17"/>
        <v>63.3193887</v>
      </c>
      <c r="U14" s="37">
        <f t="shared" si="18"/>
        <v>-106.6806113</v>
      </c>
      <c r="V14" s="37">
        <f t="shared" si="23"/>
        <v>2.454539722</v>
      </c>
      <c r="W14" s="37">
        <f>'入力・結果'!$I$7/V14</f>
        <v>131389.1958</v>
      </c>
      <c r="X14" s="39">
        <f>(W14/I14*10)*'入力・結果'!$I$8</f>
        <v>1372.948101</v>
      </c>
      <c r="Y14" s="38">
        <f>DEGREES(ACOS(('入力・結果'!$G$3-('入力・結果'!$G$4*COS(RADIANS(S14))))/((('入力・結果'!$G$3^2)+('入力・結果'!$G$4^2)-(2*'入力・結果'!$G$3*'入力・結果'!$G$4*COS(RADIANS(S14))))^(1/2))))</f>
        <v>155.7122684</v>
      </c>
      <c r="Z14" s="38">
        <f>DEGREES(ACOS((('入力・結果'!$G$3^2)+('入力・結果'!$G$4^2)-('入力・結果'!$G$5^2)+('入力・結果'!$G$6^2)-(2*'入力・結果'!$G$3*'入力・結果'!$G$4*COS(RADIANS(S14))))/(2*'入力・結果'!$G$6*(('入力・結果'!$G$3^2)+('入力・結果'!$G$4^2)-(2*'入力・結果'!$G$3*'入力・結果'!$G$4*(COS(RADIANS(S14)))))^(1/2))))</f>
        <v>103.8784435</v>
      </c>
      <c r="AA14" s="38">
        <f>DEGREES(ACOS(('入力・結果'!$G$4-('入力・結果'!$G$3*COS(RADIANS(S14))))/((('入力・結果'!$G$3^2)+('入力・結果'!$G$4^2)-(2*'入力・結果'!$G$3*'入力・結果'!$G$4*COS(RADIANS(S14))))^(1/2))))</f>
        <v>14.2877316</v>
      </c>
      <c r="AB14" s="38">
        <f>DEGREES(ACOS((('入力・結果'!$G$3^2)+('入力・結果'!$G$4^2)+('入力・結果'!$G$5^2)-('入力・結果'!$G$6^2)-(2*'入力・結果'!$G$3*'入力・結果'!$G$4*COS(RADIANS(S14))))/(2*'入力・結果'!$G$5*(('入力・結果'!$G$3^2)+('入力・結果'!$G$4^2)-(2*'入力・結果'!$G$3*'入力・結果'!$G$4*(COS(RADIANS(S14)))))^(1/2))))</f>
        <v>49.0316571</v>
      </c>
      <c r="AC14" s="37">
        <f t="shared" si="19"/>
        <v>-1927.051899</v>
      </c>
      <c r="AD14" s="37">
        <f t="shared" si="20"/>
        <v>0</v>
      </c>
      <c r="AE14" s="37" t="str">
        <f t="shared" si="21"/>
        <v/>
      </c>
      <c r="AF14" s="37" t="str">
        <f t="shared" si="22"/>
        <v/>
      </c>
      <c r="AG14" s="41">
        <v>1000.0</v>
      </c>
      <c r="AH14" s="37">
        <f>AH13</f>
        <v>-110</v>
      </c>
      <c r="AI14" s="37"/>
      <c r="AJ14" s="35">
        <v>11.0</v>
      </c>
      <c r="AK14" s="35">
        <f t="shared" si="1"/>
        <v>0.412577129</v>
      </c>
    </row>
    <row r="15" ht="12.75" customHeight="1">
      <c r="A15" s="35"/>
      <c r="B15" s="37">
        <v>11.0</v>
      </c>
      <c r="C15" s="38">
        <f t="shared" si="2"/>
        <v>49.08135917</v>
      </c>
      <c r="D15" s="38">
        <f t="shared" si="3"/>
        <v>-9.540449769</v>
      </c>
      <c r="E15" s="38">
        <f>'演算'!U15</f>
        <v>-104.2568221</v>
      </c>
      <c r="F15" s="38">
        <f t="shared" si="4"/>
        <v>104.2568221</v>
      </c>
      <c r="G15" s="38">
        <f t="shared" si="5"/>
        <v>184.5291416</v>
      </c>
      <c r="H15" s="38">
        <f t="shared" si="6"/>
        <v>-542.6013264</v>
      </c>
      <c r="I15" s="39">
        <f t="shared" si="7"/>
        <v>573.1205838</v>
      </c>
      <c r="J15" s="38">
        <f t="shared" si="8"/>
        <v>71.21773679</v>
      </c>
      <c r="K15" s="38" t="str">
        <f t="shared" si="9"/>
        <v/>
      </c>
      <c r="L15" s="38">
        <f t="shared" si="10"/>
        <v>0</v>
      </c>
      <c r="M15" s="38">
        <f t="shared" si="11"/>
        <v>71.21773679</v>
      </c>
      <c r="N15" s="39">
        <f t="shared" si="12"/>
        <v>21.21773679</v>
      </c>
      <c r="O15" s="39">
        <f t="shared" si="13"/>
        <v>534.2697768</v>
      </c>
      <c r="P15" s="39">
        <f t="shared" si="14"/>
        <v>-207.4198861</v>
      </c>
      <c r="Q15" s="38">
        <f t="shared" si="15"/>
        <v>588.9763101</v>
      </c>
      <c r="R15" s="38">
        <f t="shared" si="16"/>
        <v>114.4853972</v>
      </c>
      <c r="S15" s="40">
        <v>11.0</v>
      </c>
      <c r="T15" s="37">
        <f t="shared" si="17"/>
        <v>64.74317792</v>
      </c>
      <c r="U15" s="37">
        <f t="shared" si="18"/>
        <v>-104.2568221</v>
      </c>
      <c r="V15" s="37">
        <f t="shared" si="23"/>
        <v>2.423789225</v>
      </c>
      <c r="W15" s="37">
        <f>'入力・結果'!$I$7/V15</f>
        <v>133056.1241</v>
      </c>
      <c r="X15" s="39">
        <f>(W15/I15*10)*'入力・結果'!$I$8</f>
        <v>1392.964705</v>
      </c>
      <c r="Y15" s="38">
        <f>DEGREES(ACOS(('入力・結果'!$G$3-('入力・結果'!$G$4*COS(RADIANS(S15))))/((('入力・結果'!$G$3^2)+('入力・結果'!$G$4^2)-(2*'入力・結果'!$G$3*'入力・結果'!$G$4*COS(RADIANS(S15))))^(1/2))))</f>
        <v>153.4355009</v>
      </c>
      <c r="Z15" s="38">
        <f>DEGREES(ACOS((('入力・結果'!$G$3^2)+('入力・結果'!$G$4^2)-('入力・結果'!$G$5^2)+('入力・結果'!$G$6^2)-(2*'入力・結果'!$G$3*'入力・結果'!$G$4*COS(RADIANS(S15))))/(2*'入力・結果'!$G$6*(('入力・結果'!$G$3^2)+('入力・結果'!$G$4^2)-(2*'入力・結果'!$G$3*'入力・結果'!$G$4*(COS(RADIANS(S15)))))^(1/2))))</f>
        <v>103.3527498</v>
      </c>
      <c r="AA15" s="38">
        <f>DEGREES(ACOS(('入力・結果'!$G$4-('入力・結果'!$G$3*COS(RADIANS(S15))))/((('入力・結果'!$G$3^2)+('入力・結果'!$G$4^2)-(2*'入力・結果'!$G$3*'入力・結果'!$G$4*COS(RADIANS(S15))))^(1/2))))</f>
        <v>15.56449911</v>
      </c>
      <c r="AB15" s="38">
        <f>DEGREES(ACOS((('入力・結果'!$G$3^2)+('入力・結果'!$G$4^2)+('入力・結果'!$G$5^2)-('入力・結果'!$G$6^2)-(2*'入力・結果'!$G$3*'入力・結果'!$G$4*COS(RADIANS(S15))))/(2*'入力・結果'!$G$5*(('入力・結果'!$G$3^2)+('入力・結果'!$G$4^2)-(2*'入力・結果'!$G$3*'入力・結果'!$G$4*(COS(RADIANS(S15)))))^(1/2))))</f>
        <v>49.17867881</v>
      </c>
      <c r="AC15" s="37">
        <f t="shared" si="19"/>
        <v>-1907.035295</v>
      </c>
      <c r="AD15" s="37">
        <f t="shared" si="20"/>
        <v>0</v>
      </c>
      <c r="AE15" s="37" t="str">
        <f t="shared" si="21"/>
        <v/>
      </c>
      <c r="AF15" s="37" t="str">
        <f t="shared" si="22"/>
        <v/>
      </c>
      <c r="AG15" s="35"/>
      <c r="AH15" s="35"/>
      <c r="AI15" s="35"/>
      <c r="AJ15" s="35">
        <v>12.0</v>
      </c>
      <c r="AK15" s="35">
        <f t="shared" si="1"/>
        <v>0.4185738897</v>
      </c>
    </row>
    <row r="16" ht="12.75" customHeight="1">
      <c r="A16" s="35"/>
      <c r="B16" s="37">
        <v>12.0</v>
      </c>
      <c r="C16" s="38">
        <f t="shared" si="2"/>
        <v>48.90738004</v>
      </c>
      <c r="D16" s="38">
        <f t="shared" si="3"/>
        <v>-10.39558454</v>
      </c>
      <c r="E16" s="38">
        <f>'演算'!U16</f>
        <v>-101.8677576</v>
      </c>
      <c r="F16" s="38">
        <f t="shared" si="4"/>
        <v>101.8677576</v>
      </c>
      <c r="G16" s="38">
        <f t="shared" si="5"/>
        <v>162.016811</v>
      </c>
      <c r="H16" s="38">
        <f t="shared" si="6"/>
        <v>-548.6392623</v>
      </c>
      <c r="I16" s="39">
        <f t="shared" si="7"/>
        <v>572.0616113</v>
      </c>
      <c r="J16" s="38">
        <f t="shared" si="8"/>
        <v>73.54778008</v>
      </c>
      <c r="K16" s="38" t="str">
        <f t="shared" si="9"/>
        <v/>
      </c>
      <c r="L16" s="38">
        <f t="shared" si="10"/>
        <v>0</v>
      </c>
      <c r="M16" s="38">
        <f t="shared" si="11"/>
        <v>73.54778008</v>
      </c>
      <c r="N16" s="39">
        <f t="shared" si="12"/>
        <v>23.54778008</v>
      </c>
      <c r="O16" s="39">
        <f t="shared" si="13"/>
        <v>524.4244568</v>
      </c>
      <c r="P16" s="39">
        <f t="shared" si="14"/>
        <v>-228.5464422</v>
      </c>
      <c r="Q16" s="38">
        <f t="shared" si="15"/>
        <v>586.8885604</v>
      </c>
      <c r="R16" s="38">
        <f t="shared" si="16"/>
        <v>124.7470145</v>
      </c>
      <c r="S16" s="40">
        <v>12.0</v>
      </c>
      <c r="T16" s="37">
        <f t="shared" si="17"/>
        <v>66.13224238</v>
      </c>
      <c r="U16" s="37">
        <f t="shared" si="18"/>
        <v>-101.8677576</v>
      </c>
      <c r="V16" s="37">
        <f t="shared" si="23"/>
        <v>2.389064451</v>
      </c>
      <c r="W16" s="37">
        <f>'入力・結果'!$I$7/V16</f>
        <v>134990.0794</v>
      </c>
      <c r="X16" s="39">
        <f>(W16/I16*10)*'入力・結果'!$I$8</f>
        <v>1415.827352</v>
      </c>
      <c r="Y16" s="38">
        <f>DEGREES(ACOS(('入力・結果'!$G$3-('入力・結果'!$G$4*COS(RADIANS(S16))))/((('入力・結果'!$G$3^2)+('入力・結果'!$G$4^2)-(2*'入力・結果'!$G$3*'入力・結果'!$G$4*COS(RADIANS(S16))))^(1/2))))</f>
        <v>151.1972905</v>
      </c>
      <c r="Z16" s="38">
        <f>DEGREES(ACOS((('入力・結果'!$G$3^2)+('入力・結果'!$G$4^2)-('入力・結果'!$G$5^2)+('入力・結果'!$G$6^2)-(2*'入力・結果'!$G$3*'入力・結果'!$G$4*COS(RADIANS(S16))))/(2*'入力・結果'!$G$6*(('入力・結果'!$G$3^2)+('入力・結果'!$G$4^2)-(2*'入力・結果'!$G$3*'入力・結果'!$G$4*(COS(RADIANS(S16)))))^(1/2))))</f>
        <v>102.7930625</v>
      </c>
      <c r="AA16" s="38">
        <f>DEGREES(ACOS(('入力・結果'!$G$4-('入力・結果'!$G$3*COS(RADIANS(S16))))/((('入力・結果'!$G$3^2)+('入力・結果'!$G$4^2)-(2*'入力・結果'!$G$3*'入力・結果'!$G$4*COS(RADIANS(S16))))^(1/2))))</f>
        <v>16.80270954</v>
      </c>
      <c r="AB16" s="38">
        <f>DEGREES(ACOS((('入力・結果'!$G$3^2)+('入力・結果'!$G$4^2)+('入力・結果'!$G$5^2)-('入力・結果'!$G$6^2)-(2*'入力・結果'!$G$3*'入力・結果'!$G$4*COS(RADIANS(S16))))/(2*'入力・結果'!$G$5*(('入力・結果'!$G$3^2)+('入力・結果'!$G$4^2)-(2*'入力・結果'!$G$3*'入力・結果'!$G$4*(COS(RADIANS(S16)))))^(1/2))))</f>
        <v>49.32953283</v>
      </c>
      <c r="AC16" s="37">
        <f t="shared" si="19"/>
        <v>-1884.172648</v>
      </c>
      <c r="AD16" s="37">
        <f t="shared" si="20"/>
        <v>0</v>
      </c>
      <c r="AE16" s="37" t="str">
        <f t="shared" si="21"/>
        <v/>
      </c>
      <c r="AF16" s="37" t="str">
        <f t="shared" si="22"/>
        <v/>
      </c>
      <c r="AG16" s="37">
        <f>MAX(I4:I364)</f>
        <v>600</v>
      </c>
      <c r="AH16" s="35"/>
      <c r="AI16" s="35"/>
      <c r="AJ16" s="35">
        <v>13.0</v>
      </c>
      <c r="AK16" s="35">
        <f t="shared" si="1"/>
        <v>0.4253915011</v>
      </c>
    </row>
    <row r="17" ht="12.75" customHeight="1">
      <c r="A17" s="35"/>
      <c r="B17" s="37">
        <v>13.0</v>
      </c>
      <c r="C17" s="38">
        <f t="shared" si="2"/>
        <v>48.71850324</v>
      </c>
      <c r="D17" s="38">
        <f t="shared" si="3"/>
        <v>-11.24755272</v>
      </c>
      <c r="E17" s="38">
        <f>'演算'!U17</f>
        <v>-99.51698193</v>
      </c>
      <c r="F17" s="38">
        <f t="shared" si="4"/>
        <v>99.51698193</v>
      </c>
      <c r="G17" s="38">
        <f t="shared" si="5"/>
        <v>139.6554617</v>
      </c>
      <c r="H17" s="38">
        <f t="shared" si="6"/>
        <v>-553.6777045</v>
      </c>
      <c r="I17" s="39">
        <f t="shared" si="7"/>
        <v>571.0189563</v>
      </c>
      <c r="J17" s="38">
        <f t="shared" si="8"/>
        <v>75.84343623</v>
      </c>
      <c r="K17" s="38" t="str">
        <f t="shared" si="9"/>
        <v/>
      </c>
      <c r="L17" s="38">
        <f t="shared" si="10"/>
        <v>0</v>
      </c>
      <c r="M17" s="38">
        <f t="shared" si="11"/>
        <v>75.84343623</v>
      </c>
      <c r="N17" s="39">
        <f t="shared" si="12"/>
        <v>25.84343623</v>
      </c>
      <c r="O17" s="39">
        <f t="shared" si="13"/>
        <v>513.9105292</v>
      </c>
      <c r="P17" s="39">
        <f t="shared" si="14"/>
        <v>-248.9148779</v>
      </c>
      <c r="Q17" s="38">
        <f t="shared" si="15"/>
        <v>584.6220389</v>
      </c>
      <c r="R17" s="38">
        <f t="shared" si="16"/>
        <v>134.9706326</v>
      </c>
      <c r="S17" s="40">
        <v>13.0</v>
      </c>
      <c r="T17" s="37">
        <f t="shared" si="17"/>
        <v>67.48301807</v>
      </c>
      <c r="U17" s="37">
        <f t="shared" si="18"/>
        <v>-99.51698193</v>
      </c>
      <c r="V17" s="37">
        <f t="shared" si="23"/>
        <v>2.350775691</v>
      </c>
      <c r="W17" s="37">
        <f>'入力・結果'!$I$7/V17</f>
        <v>137188.7591</v>
      </c>
      <c r="X17" s="39">
        <f>(W17/I17*10)*'入力・結果'!$I$8</f>
        <v>1441.515287</v>
      </c>
      <c r="Y17" s="38">
        <f>DEGREES(ACOS(('入力・結果'!$G$3-('入力・結果'!$G$4*COS(RADIANS(S17))))/((('入力・結果'!$G$3^2)+('入力・結果'!$G$4^2)-(2*'入力・結果'!$G$3*'入力・結果'!$G$4*COS(RADIANS(S17))))^(1/2))))</f>
        <v>148.9992325</v>
      </c>
      <c r="Z17" s="38">
        <f>DEGREES(ACOS((('入力・結果'!$G$3^2)+('入力・結果'!$G$4^2)-('入力・結果'!$G$5^2)+('入力・結果'!$G$6^2)-(2*'入力・結果'!$G$3*'入力・結果'!$G$4*COS(RADIANS(S17))))/(2*'入力・結果'!$G$6*(('入力・結果'!$G$3^2)+('入力・結果'!$G$4^2)-(2*'入力・結果'!$G$3*'入力・結果'!$G$4*(COS(RADIANS(S17)))))^(1/2))))</f>
        <v>102.2026571</v>
      </c>
      <c r="AA17" s="38">
        <f>DEGREES(ACOS(('入力・結果'!$G$4-('入力・結果'!$G$3*COS(RADIANS(S17))))/((('入力・結果'!$G$3^2)+('入力・結果'!$G$4^2)-(2*'入力・結果'!$G$3*'入力・結果'!$G$4*COS(RADIANS(S17))))^(1/2))))</f>
        <v>18.00076751</v>
      </c>
      <c r="AB17" s="38">
        <f>DEGREES(ACOS((('入力・結果'!$G$3^2)+('入力・結果'!$G$4^2)+('入力・結果'!$G$5^2)-('入力・結果'!$G$6^2)-(2*'入力・結果'!$G$3*'入力・結果'!$G$4*COS(RADIANS(S17))))/(2*'入力・結果'!$G$5*(('入力・結果'!$G$3^2)+('入力・結果'!$G$4^2)-(2*'入力・結果'!$G$3*'入力・結果'!$G$4*(COS(RADIANS(S17)))))^(1/2))))</f>
        <v>49.48225056</v>
      </c>
      <c r="AC17" s="37">
        <f t="shared" si="19"/>
        <v>-1858.484713</v>
      </c>
      <c r="AD17" s="37">
        <f t="shared" si="20"/>
        <v>0</v>
      </c>
      <c r="AE17" s="37" t="str">
        <f t="shared" si="21"/>
        <v/>
      </c>
      <c r="AF17" s="37" t="str">
        <f t="shared" si="22"/>
        <v/>
      </c>
      <c r="AG17" s="37">
        <f>MIN(I4:I364)</f>
        <v>555.5789322</v>
      </c>
      <c r="AH17" s="35"/>
      <c r="AI17" s="35"/>
      <c r="AJ17" s="35">
        <v>14.0</v>
      </c>
      <c r="AK17" s="35">
        <f t="shared" si="1"/>
        <v>0.4330220206</v>
      </c>
    </row>
    <row r="18" ht="12.75" customHeight="1">
      <c r="A18" s="35"/>
      <c r="B18" s="37">
        <v>14.0</v>
      </c>
      <c r="C18" s="38">
        <f t="shared" si="2"/>
        <v>48.51478631</v>
      </c>
      <c r="D18" s="38">
        <f t="shared" si="3"/>
        <v>-12.09609478</v>
      </c>
      <c r="E18" s="38">
        <f>'演算'!U18</f>
        <v>-97.20763056</v>
      </c>
      <c r="F18" s="38">
        <f t="shared" si="4"/>
        <v>97.20763056</v>
      </c>
      <c r="G18" s="38">
        <f t="shared" si="5"/>
        <v>117.5207347</v>
      </c>
      <c r="H18" s="38">
        <f t="shared" si="6"/>
        <v>-557.7499952</v>
      </c>
      <c r="I18" s="39">
        <f t="shared" si="7"/>
        <v>569.9966493</v>
      </c>
      <c r="J18" s="38">
        <f t="shared" si="8"/>
        <v>78.10153681</v>
      </c>
      <c r="K18" s="38" t="str">
        <f t="shared" si="9"/>
        <v/>
      </c>
      <c r="L18" s="38">
        <f t="shared" si="10"/>
        <v>0</v>
      </c>
      <c r="M18" s="38">
        <f t="shared" si="11"/>
        <v>78.10153681</v>
      </c>
      <c r="N18" s="39">
        <f t="shared" si="12"/>
        <v>28.10153681</v>
      </c>
      <c r="O18" s="39">
        <f t="shared" si="13"/>
        <v>502.8021566</v>
      </c>
      <c r="P18" s="39">
        <f t="shared" si="14"/>
        <v>-268.4886805</v>
      </c>
      <c r="Q18" s="38">
        <f t="shared" si="15"/>
        <v>582.1774358</v>
      </c>
      <c r="R18" s="38">
        <f t="shared" si="16"/>
        <v>145.1531374</v>
      </c>
      <c r="S18" s="40">
        <v>14.0</v>
      </c>
      <c r="T18" s="37">
        <f t="shared" si="17"/>
        <v>68.79236944</v>
      </c>
      <c r="U18" s="37">
        <f t="shared" si="18"/>
        <v>-97.20763056</v>
      </c>
      <c r="V18" s="37">
        <f t="shared" si="23"/>
        <v>2.309351378</v>
      </c>
      <c r="W18" s="37">
        <f>'入力・結果'!$I$7/V18</f>
        <v>139649.6017</v>
      </c>
      <c r="X18" s="39">
        <f>(W18/I18*10)*'入力・結果'!$I$8</f>
        <v>1470.004448</v>
      </c>
      <c r="Y18" s="38">
        <f>DEGREES(ACOS(('入力・結果'!$G$3-('入力・結果'!$G$4*COS(RADIANS(S18))))/((('入力・結果'!$G$3^2)+('入力・結果'!$G$4^2)-(2*'入力・結果'!$G$3*'入力・結果'!$G$4*COS(RADIANS(S18))))^(1/2))))</f>
        <v>146.8425799</v>
      </c>
      <c r="Z18" s="38">
        <f>DEGREES(ACOS((('入力・結果'!$G$3^2)+('入力・結果'!$G$4^2)-('入力・結果'!$G$5^2)+('入力・結果'!$G$6^2)-(2*'入力・結果'!$G$3*'入力・結果'!$G$4*COS(RADIANS(S18))))/(2*'入力・結果'!$G$6*(('入力・結果'!$G$3^2)+('入力・結果'!$G$4^2)-(2*'入力・結果'!$G$3*'入力・結果'!$G$4*(COS(RADIANS(S18)))))^(1/2))))</f>
        <v>101.5847329</v>
      </c>
      <c r="AA18" s="38">
        <f>DEGREES(ACOS(('入力・結果'!$G$4-('入力・結果'!$G$3*COS(RADIANS(S18))))/((('入力・結果'!$G$3^2)+('入力・結果'!$G$4^2)-(2*'入力・結果'!$G$3*'入力・結果'!$G$4*COS(RADIANS(S18))))^(1/2))))</f>
        <v>19.15742011</v>
      </c>
      <c r="AB18" s="38">
        <f>DEGREES(ACOS((('入力・結果'!$G$3^2)+('入力・結果'!$G$4^2)+('入力・結果'!$G$5^2)-('入力・結果'!$G$6^2)-(2*'入力・結果'!$G$3*'入力・結果'!$G$4*COS(RADIANS(S18))))/(2*'入力・結果'!$G$5*(('入力・結果'!$G$3^2)+('入力・結果'!$G$4^2)-(2*'入力・結果'!$G$3*'入力・結果'!$G$4*(COS(RADIANS(S18)))))^(1/2))))</f>
        <v>49.63494934</v>
      </c>
      <c r="AC18" s="37">
        <f t="shared" si="19"/>
        <v>-1829.995552</v>
      </c>
      <c r="AD18" s="37">
        <f t="shared" si="20"/>
        <v>0</v>
      </c>
      <c r="AE18" s="37" t="str">
        <f t="shared" si="21"/>
        <v/>
      </c>
      <c r="AF18" s="37" t="str">
        <f t="shared" si="22"/>
        <v/>
      </c>
      <c r="AG18" s="37">
        <f>AG17/AG16</f>
        <v>0.9259648871</v>
      </c>
      <c r="AH18" s="35"/>
      <c r="AI18" s="35"/>
      <c r="AJ18" s="35">
        <v>15.0</v>
      </c>
      <c r="AK18" s="35">
        <f t="shared" si="1"/>
        <v>0.4414569089</v>
      </c>
    </row>
    <row r="19" ht="12.75" customHeight="1">
      <c r="A19" s="35"/>
      <c r="B19" s="37">
        <v>15.0</v>
      </c>
      <c r="C19" s="38">
        <f t="shared" si="2"/>
        <v>48.29629131</v>
      </c>
      <c r="D19" s="38">
        <f t="shared" si="3"/>
        <v>-12.94095226</v>
      </c>
      <c r="E19" s="38">
        <f>'演算'!U19</f>
        <v>-94.9424038</v>
      </c>
      <c r="F19" s="38">
        <f t="shared" si="4"/>
        <v>94.9424038</v>
      </c>
      <c r="G19" s="38">
        <f t="shared" si="5"/>
        <v>95.68114579</v>
      </c>
      <c r="H19" s="38">
        <f t="shared" si="6"/>
        <v>-560.8959464</v>
      </c>
      <c r="I19" s="39">
        <f t="shared" si="7"/>
        <v>568.9983693</v>
      </c>
      <c r="J19" s="38">
        <f t="shared" si="8"/>
        <v>80.31931071</v>
      </c>
      <c r="K19" s="38" t="str">
        <f t="shared" si="9"/>
        <v/>
      </c>
      <c r="L19" s="38">
        <f t="shared" si="10"/>
        <v>0</v>
      </c>
      <c r="M19" s="38">
        <f t="shared" si="11"/>
        <v>80.31931071</v>
      </c>
      <c r="N19" s="39">
        <f t="shared" si="12"/>
        <v>30.31931071</v>
      </c>
      <c r="O19" s="39">
        <f t="shared" si="13"/>
        <v>491.1738779</v>
      </c>
      <c r="P19" s="39">
        <f t="shared" si="14"/>
        <v>-287.2409546</v>
      </c>
      <c r="Q19" s="38">
        <f t="shared" si="15"/>
        <v>579.5554958</v>
      </c>
      <c r="R19" s="38">
        <f t="shared" si="16"/>
        <v>155.2914271</v>
      </c>
      <c r="S19" s="40">
        <v>15.0</v>
      </c>
      <c r="T19" s="37">
        <f t="shared" si="17"/>
        <v>70.0575962</v>
      </c>
      <c r="U19" s="37">
        <f t="shared" si="18"/>
        <v>-94.9424038</v>
      </c>
      <c r="V19" s="37">
        <f t="shared" si="23"/>
        <v>2.265226752</v>
      </c>
      <c r="W19" s="37">
        <f>'入力・結果'!$I$7/V19</f>
        <v>142369.8531</v>
      </c>
      <c r="X19" s="39">
        <f>(W19/I19*10)*'入力・結果'!$I$8</f>
        <v>1501.268132</v>
      </c>
      <c r="Y19" s="38">
        <f>DEGREES(ACOS(('入力・結果'!$G$3-('入力・結果'!$G$4*COS(RADIANS(S19))))/((('入力・結果'!$G$3^2)+('入力・結果'!$G$4^2)-(2*'入力・結果'!$G$3*'入力・結果'!$G$4*COS(RADIANS(S19))))^(1/2))))</f>
        <v>144.728261</v>
      </c>
      <c r="Z19" s="38">
        <f>DEGREES(ACOS((('入力・結果'!$G$3^2)+('入力・結果'!$G$4^2)-('入力・結果'!$G$5^2)+('入力・結果'!$G$6^2)-(2*'入力・結果'!$G$3*'入力・結果'!$G$4*COS(RADIANS(S19))))/(2*'入力・結果'!$G$6*(('入力・結果'!$G$3^2)+('入力・結果'!$G$4^2)-(2*'入力・結果'!$G$3*'入力・結果'!$G$4*(COS(RADIANS(S19)))))^(1/2))))</f>
        <v>100.9423754</v>
      </c>
      <c r="AA19" s="38">
        <f>DEGREES(ACOS(('入力・結果'!$G$4-('入力・結果'!$G$3*COS(RADIANS(S19))))/((('入力・結果'!$G$3^2)+('入力・結果'!$G$4^2)-(2*'入力・結果'!$G$3*'入力・結果'!$G$4*COS(RADIANS(S19))))^(1/2))))</f>
        <v>20.27173897</v>
      </c>
      <c r="AB19" s="38">
        <f>DEGREES(ACOS((('入力・結果'!$G$3^2)+('入力・結果'!$G$4^2)+('入力・結果'!$G$5^2)-('入力・結果'!$G$6^2)-(2*'入力・結果'!$G$3*'入力・結果'!$G$4*COS(RADIANS(S19))))/(2*'入力・結果'!$G$5*(('入力・結果'!$G$3^2)+('入力・結果'!$G$4^2)-(2*'入力・結果'!$G$3*'入力・結果'!$G$4*(COS(RADIANS(S19)))))^(1/2))))</f>
        <v>49.78585723</v>
      </c>
      <c r="AC19" s="37">
        <f t="shared" si="19"/>
        <v>-1798.731868</v>
      </c>
      <c r="AD19" s="37">
        <f t="shared" si="20"/>
        <v>0</v>
      </c>
      <c r="AE19" s="37" t="str">
        <f t="shared" si="21"/>
        <v/>
      </c>
      <c r="AF19" s="37" t="str">
        <f t="shared" si="22"/>
        <v/>
      </c>
      <c r="AG19" s="35"/>
      <c r="AH19" s="35"/>
      <c r="AI19" s="35"/>
      <c r="AJ19" s="35">
        <v>16.0</v>
      </c>
      <c r="AK19" s="35">
        <f t="shared" si="1"/>
        <v>0.4506872016</v>
      </c>
    </row>
    <row r="20" ht="12.75" customHeight="1">
      <c r="A20" s="35"/>
      <c r="B20" s="37">
        <v>16.0</v>
      </c>
      <c r="C20" s="38">
        <f t="shared" si="2"/>
        <v>48.0630848</v>
      </c>
      <c r="D20" s="38">
        <f t="shared" si="3"/>
        <v>-13.78186779</v>
      </c>
      <c r="E20" s="38">
        <f>'演算'!U20</f>
        <v>-92.72356999</v>
      </c>
      <c r="F20" s="38">
        <f t="shared" si="4"/>
        <v>92.72356999</v>
      </c>
      <c r="G20" s="38">
        <f t="shared" si="5"/>
        <v>74.19763502</v>
      </c>
      <c r="H20" s="38">
        <f t="shared" si="6"/>
        <v>-563.1605944</v>
      </c>
      <c r="I20" s="39">
        <f t="shared" si="7"/>
        <v>568.027415</v>
      </c>
      <c r="J20" s="38">
        <f t="shared" si="8"/>
        <v>82.49438609</v>
      </c>
      <c r="K20" s="38" t="str">
        <f t="shared" si="9"/>
        <v/>
      </c>
      <c r="L20" s="38">
        <f t="shared" si="10"/>
        <v>0</v>
      </c>
      <c r="M20" s="38">
        <f t="shared" si="11"/>
        <v>82.49438609</v>
      </c>
      <c r="N20" s="39">
        <f t="shared" si="12"/>
        <v>32.49438609</v>
      </c>
      <c r="O20" s="39">
        <f t="shared" si="13"/>
        <v>479.0993644</v>
      </c>
      <c r="P20" s="39">
        <f t="shared" si="14"/>
        <v>-305.1539664</v>
      </c>
      <c r="Q20" s="38">
        <f t="shared" si="15"/>
        <v>576.7570176</v>
      </c>
      <c r="R20" s="38">
        <f t="shared" si="16"/>
        <v>165.3824135</v>
      </c>
      <c r="S20" s="40">
        <v>16.0</v>
      </c>
      <c r="T20" s="37">
        <f t="shared" si="17"/>
        <v>71.27643001</v>
      </c>
      <c r="U20" s="37">
        <f t="shared" si="18"/>
        <v>-92.72356999</v>
      </c>
      <c r="V20" s="37">
        <f t="shared" si="23"/>
        <v>2.218833809</v>
      </c>
      <c r="W20" s="37">
        <f>'入力・結果'!$I$7/V20</f>
        <v>145346.6225</v>
      </c>
      <c r="X20" s="39">
        <f>(W20/I20*10)*'入力・結果'!$I$8</f>
        <v>1535.277545</v>
      </c>
      <c r="Y20" s="38">
        <f>DEGREES(ACOS(('入力・結果'!$G$3-('入力・結果'!$G$4*COS(RADIANS(S20))))/((('入力・結果'!$G$3^2)+('入力・結果'!$G$4^2)-(2*'入力・結果'!$G$3*'入力・結果'!$G$4*COS(RADIANS(S20))))^(1/2))))</f>
        <v>142.6569015</v>
      </c>
      <c r="Z20" s="38">
        <f>DEGREES(ACOS((('入力・結果'!$G$3^2)+('入力・結果'!$G$4^2)-('入力・結果'!$G$5^2)+('入力・結果'!$G$6^2)-(2*'入力・結果'!$G$3*'入力・結果'!$G$4*COS(RADIANS(S20))))/(2*'入力・結果'!$G$6*(('入力・結果'!$G$3^2)+('入力・結果'!$G$4^2)-(2*'入力・結果'!$G$3*'入力・結果'!$G$4*(COS(RADIANS(S20)))))^(1/2))))</f>
        <v>100.2785256</v>
      </c>
      <c r="AA20" s="38">
        <f>DEGREES(ACOS(('入力・結果'!$G$4-('入力・結果'!$G$3*COS(RADIANS(S20))))/((('入力・結果'!$G$3^2)+('入力・結果'!$G$4^2)-(2*'入力・結果'!$G$3*'入力・結果'!$G$4*COS(RADIANS(S20))))^(1/2))))</f>
        <v>21.34309846</v>
      </c>
      <c r="AB20" s="38">
        <f>DEGREES(ACOS((('入力・結果'!$G$3^2)+('入力・結果'!$G$4^2)+('入力・結果'!$G$5^2)-('入力・結果'!$G$6^2)-(2*'入力・結果'!$G$3*'入力・結果'!$G$4*COS(RADIANS(S20))))/(2*'入力・結果'!$G$5*(('入力・結果'!$G$3^2)+('入力・結果'!$G$4^2)-(2*'入力・結果'!$G$3*'入力・結果'!$G$4*(COS(RADIANS(S20)))))^(1/2))))</f>
        <v>49.93333154</v>
      </c>
      <c r="AC20" s="37">
        <f t="shared" si="19"/>
        <v>-1764.722455</v>
      </c>
      <c r="AD20" s="37">
        <f t="shared" si="20"/>
        <v>0</v>
      </c>
      <c r="AE20" s="37" t="str">
        <f t="shared" si="21"/>
        <v/>
      </c>
      <c r="AF20" s="37" t="str">
        <f t="shared" si="22"/>
        <v/>
      </c>
      <c r="AG20" s="35"/>
      <c r="AH20" s="35"/>
      <c r="AI20" s="35"/>
      <c r="AJ20" s="35">
        <v>17.0</v>
      </c>
      <c r="AK20" s="35">
        <f t="shared" si="1"/>
        <v>0.4607036493</v>
      </c>
    </row>
    <row r="21" ht="12.75" customHeight="1">
      <c r="A21" s="35"/>
      <c r="B21" s="37">
        <v>17.0</v>
      </c>
      <c r="C21" s="38">
        <f t="shared" si="2"/>
        <v>47.8152378</v>
      </c>
      <c r="D21" s="38">
        <f t="shared" si="3"/>
        <v>-14.61858524</v>
      </c>
      <c r="E21" s="38">
        <f>'演算'!U21</f>
        <v>-90.55297725</v>
      </c>
      <c r="F21" s="38">
        <f t="shared" si="4"/>
        <v>90.55297725</v>
      </c>
      <c r="G21" s="38">
        <f t="shared" si="5"/>
        <v>53.1233559</v>
      </c>
      <c r="H21" s="38">
        <f t="shared" si="6"/>
        <v>-564.59297</v>
      </c>
      <c r="I21" s="39">
        <f t="shared" si="7"/>
        <v>567.0866889</v>
      </c>
      <c r="J21" s="38">
        <f t="shared" si="8"/>
        <v>84.62478392</v>
      </c>
      <c r="K21" s="38" t="str">
        <f t="shared" si="9"/>
        <v/>
      </c>
      <c r="L21" s="38">
        <f t="shared" si="10"/>
        <v>0</v>
      </c>
      <c r="M21" s="38">
        <f t="shared" si="11"/>
        <v>84.62478392</v>
      </c>
      <c r="N21" s="39">
        <f t="shared" si="12"/>
        <v>34.62478392</v>
      </c>
      <c r="O21" s="39">
        <f t="shared" si="13"/>
        <v>466.6503422</v>
      </c>
      <c r="P21" s="39">
        <f t="shared" si="14"/>
        <v>-322.218514</v>
      </c>
      <c r="Q21" s="38">
        <f t="shared" si="15"/>
        <v>573.7828536</v>
      </c>
      <c r="R21" s="38">
        <f t="shared" si="16"/>
        <v>175.4230228</v>
      </c>
      <c r="S21" s="40">
        <v>17.0</v>
      </c>
      <c r="T21" s="37">
        <f t="shared" si="17"/>
        <v>72.44702275</v>
      </c>
      <c r="U21" s="37">
        <f t="shared" si="18"/>
        <v>-90.55297725</v>
      </c>
      <c r="V21" s="37">
        <f t="shared" si="23"/>
        <v>2.170592748</v>
      </c>
      <c r="W21" s="37">
        <f>'入力・結果'!$I$7/V21</f>
        <v>148576.9269</v>
      </c>
      <c r="X21" s="39">
        <f>(W21/I21*10)*'入力・結果'!$I$8</f>
        <v>1572.002269</v>
      </c>
      <c r="Y21" s="38">
        <f>DEGREES(ACOS(('入力・結果'!$G$3-('入力・結果'!$G$4*COS(RADIANS(S21))))/((('入力・結果'!$G$3^2)+('入力・結果'!$G$4^2)-(2*'入力・結果'!$G$3*'入力・結果'!$G$4*COS(RADIANS(S21))))^(1/2))))</f>
        <v>140.6288487</v>
      </c>
      <c r="Z21" s="38">
        <f>DEGREES(ACOS((('入力・結果'!$G$3^2)+('入力・結果'!$G$4^2)-('入力・結果'!$G$5^2)+('入力・結果'!$G$6^2)-(2*'入力・結果'!$G$3*'入力・結果'!$G$4*COS(RADIANS(S21))))/(2*'入力・結果'!$G$6*(('入力・結果'!$G$3^2)+('入力・結果'!$G$4^2)-(2*'入力・結果'!$G$3*'入力・結果'!$G$4*(COS(RADIANS(S21)))))^(1/2))))</f>
        <v>99.59595809</v>
      </c>
      <c r="AA21" s="38">
        <f>DEGREES(ACOS(('入力・結果'!$G$4-('入力・結果'!$G$3*COS(RADIANS(S21))))/((('入力・結果'!$G$3^2)+('入力・結果'!$G$4^2)-(2*'入力・結果'!$G$3*'入力・結果'!$G$4*COS(RADIANS(S21))))^(1/2))))</f>
        <v>22.37115129</v>
      </c>
      <c r="AB21" s="38">
        <f>DEGREES(ACOS((('入力・結果'!$G$3^2)+('入力・結果'!$G$4^2)+('入力・結果'!$G$5^2)-('入力・結果'!$G$6^2)-(2*'入力・結果'!$G$3*'入力・結果'!$G$4*COS(RADIANS(S21))))/(2*'入力・結果'!$G$5*(('入力・結果'!$G$3^2)+('入力・結果'!$G$4^2)-(2*'入力・結果'!$G$3*'入力・結果'!$G$4*(COS(RADIANS(S21)))))^(1/2))))</f>
        <v>50.07587146</v>
      </c>
      <c r="AC21" s="37">
        <f t="shared" si="19"/>
        <v>-1727.997731</v>
      </c>
      <c r="AD21" s="37">
        <f t="shared" si="20"/>
        <v>0</v>
      </c>
      <c r="AE21" s="37" t="str">
        <f t="shared" si="21"/>
        <v/>
      </c>
      <c r="AF21" s="37" t="str">
        <f t="shared" si="22"/>
        <v/>
      </c>
      <c r="AG21" s="35"/>
      <c r="AH21" s="35"/>
      <c r="AI21" s="35"/>
      <c r="AJ21" s="35">
        <v>18.0</v>
      </c>
      <c r="AK21" s="35">
        <f t="shared" si="1"/>
        <v>0.4714968301</v>
      </c>
    </row>
    <row r="22" ht="12.75" customHeight="1">
      <c r="A22" s="35"/>
      <c r="B22" s="37">
        <v>18.0</v>
      </c>
      <c r="C22" s="38">
        <f t="shared" si="2"/>
        <v>47.55282581</v>
      </c>
      <c r="D22" s="38">
        <f t="shared" si="3"/>
        <v>-15.45084972</v>
      </c>
      <c r="E22" s="38">
        <f>'演算'!U22</f>
        <v>-88.43207221</v>
      </c>
      <c r="F22" s="38">
        <f t="shared" si="4"/>
        <v>88.43207221</v>
      </c>
      <c r="G22" s="38">
        <f t="shared" si="5"/>
        <v>32.50367802</v>
      </c>
      <c r="H22" s="38">
        <f t="shared" si="6"/>
        <v>-565.2449231</v>
      </c>
      <c r="I22" s="39">
        <f t="shared" si="7"/>
        <v>566.1786928</v>
      </c>
      <c r="J22" s="38">
        <f t="shared" si="8"/>
        <v>86.70890466</v>
      </c>
      <c r="K22" s="38" t="str">
        <f t="shared" si="9"/>
        <v/>
      </c>
      <c r="L22" s="38">
        <f t="shared" si="10"/>
        <v>0</v>
      </c>
      <c r="M22" s="38">
        <f t="shared" si="11"/>
        <v>86.70890466</v>
      </c>
      <c r="N22" s="39">
        <f t="shared" si="12"/>
        <v>36.70890466</v>
      </c>
      <c r="O22" s="39">
        <f t="shared" si="13"/>
        <v>453.8956939</v>
      </c>
      <c r="P22" s="39">
        <f t="shared" si="14"/>
        <v>-338.4331711</v>
      </c>
      <c r="Q22" s="38">
        <f t="shared" si="15"/>
        <v>570.6339098</v>
      </c>
      <c r="R22" s="38">
        <f t="shared" si="16"/>
        <v>185.4101966</v>
      </c>
      <c r="S22" s="40">
        <v>18.0</v>
      </c>
      <c r="T22" s="37">
        <f t="shared" si="17"/>
        <v>73.56792779</v>
      </c>
      <c r="U22" s="37">
        <f t="shared" si="18"/>
        <v>-88.43207221</v>
      </c>
      <c r="V22" s="37">
        <f t="shared" si="23"/>
        <v>2.120905033</v>
      </c>
      <c r="W22" s="37">
        <f>'入力・結果'!$I$7/V22</f>
        <v>152057.7277</v>
      </c>
      <c r="X22" s="39">
        <f>(W22/I22*10)*'入力・結果'!$I$8</f>
        <v>1611.410634</v>
      </c>
      <c r="Y22" s="38">
        <f>DEGREES(ACOS(('入力・結果'!$G$3-('入力・結果'!$G$4*COS(RADIANS(S22))))/((('入力・結果'!$G$3^2)+('入力・結果'!$G$4^2)-(2*'入力・結果'!$G$3*'入力・結果'!$G$4*COS(RADIANS(S22))))^(1/2))))</f>
        <v>138.6441976</v>
      </c>
      <c r="Z22" s="38">
        <f>DEGREES(ACOS((('入力・結果'!$G$3^2)+('入力・結果'!$G$4^2)-('入力・結果'!$G$5^2)+('入力・結果'!$G$6^2)-(2*'入力・結果'!$G$3*'入力・結果'!$G$4*COS(RADIANS(S22))))/(2*'入力・結果'!$G$6*(('入力・結果'!$G$3^2)+('入力・結果'!$G$4^2)-(2*'入力・結果'!$G$3*'入力・結果'!$G$4*(COS(RADIANS(S22)))))^(1/2))))</f>
        <v>98.89726536</v>
      </c>
      <c r="AA22" s="38">
        <f>DEGREES(ACOS(('入力・結果'!$G$4-('入力・結果'!$G$3*COS(RADIANS(S22))))/((('入力・結果'!$G$3^2)+('入力・結果'!$G$4^2)-(2*'入力・結果'!$G$3*'入力・結果'!$G$4*COS(RADIANS(S22))))^(1/2))))</f>
        <v>23.35580242</v>
      </c>
      <c r="AB22" s="38">
        <f>DEGREES(ACOS((('入力・結果'!$G$3^2)+('入力・結果'!$G$4^2)+('入力・結果'!$G$5^2)-('入力・結果'!$G$6^2)-(2*'入力・結果'!$G$3*'入力・結果'!$G$4*COS(RADIANS(S22))))/(2*'入力・結果'!$G$5*(('入力・結果'!$G$3^2)+('入力・結果'!$G$4^2)-(2*'入力・結果'!$G$3*'入力・結果'!$G$4*(COS(RADIANS(S22)))))^(1/2))))</f>
        <v>50.21212537</v>
      </c>
      <c r="AC22" s="37">
        <f t="shared" si="19"/>
        <v>-1688.589366</v>
      </c>
      <c r="AD22" s="37">
        <f t="shared" si="20"/>
        <v>0</v>
      </c>
      <c r="AE22" s="37" t="str">
        <f t="shared" si="21"/>
        <v/>
      </c>
      <c r="AF22" s="37" t="str">
        <f t="shared" si="22"/>
        <v/>
      </c>
      <c r="AG22" s="35"/>
      <c r="AH22" s="35"/>
      <c r="AI22" s="35"/>
      <c r="AJ22" s="35">
        <v>19.0</v>
      </c>
      <c r="AK22" s="35">
        <f t="shared" si="1"/>
        <v>0.4830572359</v>
      </c>
    </row>
    <row r="23" ht="12.75" customHeight="1">
      <c r="A23" s="35"/>
      <c r="B23" s="37">
        <v>19.0</v>
      </c>
      <c r="C23" s="38">
        <f t="shared" si="2"/>
        <v>47.27592878</v>
      </c>
      <c r="D23" s="38">
        <f t="shared" si="3"/>
        <v>-16.27840772</v>
      </c>
      <c r="E23" s="38">
        <f>'演算'!U23</f>
        <v>-86.36192415</v>
      </c>
      <c r="F23" s="38">
        <f t="shared" si="4"/>
        <v>86.36192415</v>
      </c>
      <c r="G23" s="38">
        <f t="shared" si="5"/>
        <v>12.37637004</v>
      </c>
      <c r="H23" s="38">
        <f t="shared" si="6"/>
        <v>-565.1700371</v>
      </c>
      <c r="I23" s="39">
        <f t="shared" si="7"/>
        <v>565.3055328</v>
      </c>
      <c r="J23" s="38">
        <f t="shared" si="8"/>
        <v>88.74550948</v>
      </c>
      <c r="K23" s="38" t="str">
        <f t="shared" si="9"/>
        <v/>
      </c>
      <c r="L23" s="38">
        <f t="shared" si="10"/>
        <v>0</v>
      </c>
      <c r="M23" s="38">
        <f t="shared" si="11"/>
        <v>88.74550948</v>
      </c>
      <c r="N23" s="39">
        <f t="shared" si="12"/>
        <v>38.74550948</v>
      </c>
      <c r="O23" s="39">
        <f t="shared" si="13"/>
        <v>440.9007436</v>
      </c>
      <c r="P23" s="39">
        <f t="shared" si="14"/>
        <v>-353.8034477</v>
      </c>
      <c r="Q23" s="38">
        <f t="shared" si="15"/>
        <v>567.3111454</v>
      </c>
      <c r="R23" s="38">
        <f t="shared" si="16"/>
        <v>195.3408927</v>
      </c>
      <c r="S23" s="40">
        <v>19.0</v>
      </c>
      <c r="T23" s="37">
        <f t="shared" si="17"/>
        <v>74.63807585</v>
      </c>
      <c r="U23" s="37">
        <f t="shared" si="18"/>
        <v>-86.36192415</v>
      </c>
      <c r="V23" s="37">
        <f t="shared" si="23"/>
        <v>2.07014806</v>
      </c>
      <c r="W23" s="37">
        <f>'入力・結果'!$I$7/V23</f>
        <v>155785.9586</v>
      </c>
      <c r="X23" s="39">
        <f>(W23/I23*10)*'入力・結果'!$I$8</f>
        <v>1653.470022</v>
      </c>
      <c r="Y23" s="38">
        <f>DEGREES(ACOS(('入力・結果'!$G$3-('入力・結果'!$G$4*COS(RADIANS(S23))))/((('入力・結果'!$G$3^2)+('入力・結果'!$G$4^2)-(2*'入力・結果'!$G$3*'入力・結果'!$G$4*COS(RADIANS(S23))))^(1/2))))</f>
        <v>136.7028177</v>
      </c>
      <c r="Z23" s="38">
        <f>DEGREES(ACOS((('入力・結果'!$G$3^2)+('入力・結果'!$G$4^2)-('入力・結果'!$G$5^2)+('入力・結果'!$G$6^2)-(2*'入力・結果'!$G$3*'入力・結果'!$G$4*COS(RADIANS(S23))))/(2*'入力・結果'!$G$6*(('入力・結果'!$G$3^2)+('入力・結果'!$G$4^2)-(2*'入力・結果'!$G$3*'入力・結果'!$G$4*(COS(RADIANS(S23)))))^(1/2))))</f>
        <v>98.18484912</v>
      </c>
      <c r="AA23" s="38">
        <f>DEGREES(ACOS(('入力・結果'!$G$4-('入力・結果'!$G$3*COS(RADIANS(S23))))/((('入力・結果'!$G$3^2)+('入力・結果'!$G$4^2)-(2*'入力・結果'!$G$3*'入力・結果'!$G$4*COS(RADIANS(S23))))^(1/2))))</f>
        <v>24.2971823</v>
      </c>
      <c r="AB23" s="38">
        <f>DEGREES(ACOS((('入力・結果'!$G$3^2)+('入力・結果'!$G$4^2)+('入力・結果'!$G$5^2)-('入力・結果'!$G$6^2)-(2*'入力・結果'!$G$3*'入力・結果'!$G$4*COS(RADIANS(S23))))/(2*'入力・結果'!$G$5*(('入力・結果'!$G$3^2)+('入力・結果'!$G$4^2)-(2*'入力・結果'!$G$3*'入力・結果'!$G$4*(COS(RADIANS(S23)))))^(1/2))))</f>
        <v>50.34089355</v>
      </c>
      <c r="AC23" s="37">
        <f t="shared" si="19"/>
        <v>-1646.529978</v>
      </c>
      <c r="AD23" s="37">
        <f t="shared" si="20"/>
        <v>0</v>
      </c>
      <c r="AE23" s="37" t="str">
        <f t="shared" si="21"/>
        <v/>
      </c>
      <c r="AF23" s="37" t="str">
        <f t="shared" si="22"/>
        <v/>
      </c>
      <c r="AG23" s="35"/>
      <c r="AH23" s="35"/>
      <c r="AI23" s="35"/>
      <c r="AJ23" s="35">
        <v>20.0</v>
      </c>
      <c r="AK23" s="35">
        <f t="shared" si="1"/>
        <v>0.495375338</v>
      </c>
    </row>
    <row r="24" ht="12.75" customHeight="1">
      <c r="A24" s="35"/>
      <c r="B24" s="37">
        <v>20.0</v>
      </c>
      <c r="C24" s="38">
        <f t="shared" si="2"/>
        <v>46.98463104</v>
      </c>
      <c r="D24" s="38">
        <f t="shared" si="3"/>
        <v>-17.10100717</v>
      </c>
      <c r="E24" s="38">
        <f>'演算'!U24</f>
        <v>-84.34325281</v>
      </c>
      <c r="F24" s="38">
        <f t="shared" si="4"/>
        <v>84.34325281</v>
      </c>
      <c r="G24" s="38">
        <f t="shared" si="5"/>
        <v>-7.228071556</v>
      </c>
      <c r="H24" s="38">
        <f t="shared" si="6"/>
        <v>-564.422652</v>
      </c>
      <c r="I24" s="39">
        <f t="shared" si="7"/>
        <v>564.4689319</v>
      </c>
      <c r="J24" s="38">
        <f t="shared" si="8"/>
        <v>-89.26630273</v>
      </c>
      <c r="K24" s="38">
        <f t="shared" si="9"/>
        <v>1</v>
      </c>
      <c r="L24" s="38">
        <f t="shared" si="10"/>
        <v>1</v>
      </c>
      <c r="M24" s="38">
        <f t="shared" si="11"/>
        <v>90.73369727</v>
      </c>
      <c r="N24" s="39">
        <f t="shared" si="12"/>
        <v>40.73369727</v>
      </c>
      <c r="O24" s="39">
        <f t="shared" si="13"/>
        <v>427.7267213</v>
      </c>
      <c r="P24" s="39">
        <f t="shared" si="14"/>
        <v>-368.3409114</v>
      </c>
      <c r="Q24" s="38">
        <f t="shared" si="15"/>
        <v>563.8155725</v>
      </c>
      <c r="R24" s="38">
        <f t="shared" si="16"/>
        <v>205.212086</v>
      </c>
      <c r="S24" s="40">
        <v>20.0</v>
      </c>
      <c r="T24" s="37">
        <f t="shared" si="17"/>
        <v>75.65674719</v>
      </c>
      <c r="U24" s="37">
        <f t="shared" si="18"/>
        <v>-84.34325281</v>
      </c>
      <c r="V24" s="37">
        <f t="shared" si="23"/>
        <v>2.018671345</v>
      </c>
      <c r="W24" s="37">
        <f>'入力・結果'!$I$7/V24</f>
        <v>159758.5465</v>
      </c>
      <c r="X24" s="39">
        <f>(W24/I24*10)*'入力・結果'!$I$8</f>
        <v>1698.147099</v>
      </c>
      <c r="Y24" s="38">
        <f>DEGREES(ACOS(('入力・結果'!$G$3-('入力・結果'!$G$4*COS(RADIANS(S24))))/((('入力・結果'!$G$3^2)+('入力・結果'!$G$4^2)-(2*'入力・結果'!$G$3*'入力・結果'!$G$4*COS(RADIANS(S24))))^(1/2))))</f>
        <v>134.8043799</v>
      </c>
      <c r="Z24" s="38">
        <f>DEGREES(ACOS((('入力・結果'!$G$3^2)+('入力・結果'!$G$4^2)-('入力・結果'!$G$5^2)+('入力・結果'!$G$6^2)-(2*'入力・結果'!$G$3*'入力・結果'!$G$4*COS(RADIANS(S24))))/(2*'入力・結果'!$G$6*(('入力・結果'!$G$3^2)+('入力・結果'!$G$4^2)-(2*'入力・結果'!$G$3*'入力・結果'!$G$4*(COS(RADIANS(S24)))))^(1/2))))</f>
        <v>97.46091649</v>
      </c>
      <c r="AA24" s="38">
        <f>DEGREES(ACOS(('入力・結果'!$G$4-('入力・結果'!$G$3*COS(RADIANS(S24))))/((('入力・結果'!$G$3^2)+('入力・結果'!$G$4^2)-(2*'入力・結果'!$G$3*'入力・結果'!$G$4*COS(RADIANS(S24))))^(1/2))))</f>
        <v>25.19562007</v>
      </c>
      <c r="AB24" s="38">
        <f>DEGREES(ACOS((('入力・結果'!$G$3^2)+('入力・結果'!$G$4^2)+('入力・結果'!$G$5^2)-('入力・結果'!$G$6^2)-(2*'入力・結果'!$G$3*'入力・結果'!$G$4*COS(RADIANS(S24))))/(2*'入力・結果'!$G$5*(('入力・結果'!$G$3^2)+('入力・結果'!$G$4^2)-(2*'入力・結果'!$G$3*'入力・結果'!$G$4*(COS(RADIANS(S24)))))^(1/2))))</f>
        <v>50.46112712</v>
      </c>
      <c r="AC24" s="37">
        <f t="shared" si="19"/>
        <v>-1601.852901</v>
      </c>
      <c r="AD24" s="37">
        <f t="shared" si="20"/>
        <v>0</v>
      </c>
      <c r="AE24" s="37" t="str">
        <f t="shared" si="21"/>
        <v/>
      </c>
      <c r="AF24" s="37" t="str">
        <f t="shared" si="22"/>
        <v/>
      </c>
      <c r="AG24" s="35"/>
      <c r="AH24" s="35"/>
      <c r="AI24" s="35"/>
      <c r="AJ24" s="35">
        <v>21.0</v>
      </c>
      <c r="AK24" s="35">
        <f t="shared" si="1"/>
        <v>0.5084416343</v>
      </c>
    </row>
    <row r="25" ht="12.75" customHeight="1">
      <c r="A25" s="35"/>
      <c r="B25" s="37">
        <v>21.0</v>
      </c>
      <c r="C25" s="38">
        <f t="shared" si="2"/>
        <v>46.67902132</v>
      </c>
      <c r="D25" s="38">
        <f t="shared" si="3"/>
        <v>-17.91839748</v>
      </c>
      <c r="E25" s="38">
        <f>'演算'!U25</f>
        <v>-82.37645872</v>
      </c>
      <c r="F25" s="38">
        <f t="shared" si="4"/>
        <v>82.37645872</v>
      </c>
      <c r="G25" s="38">
        <f t="shared" si="5"/>
        <v>-26.28598211</v>
      </c>
      <c r="H25" s="38">
        <f t="shared" si="6"/>
        <v>-563.0570113</v>
      </c>
      <c r="I25" s="39">
        <f t="shared" si="7"/>
        <v>563.6702501</v>
      </c>
      <c r="J25" s="38">
        <f t="shared" si="8"/>
        <v>-87.32712123</v>
      </c>
      <c r="K25" s="38" t="str">
        <f t="shared" si="9"/>
        <v/>
      </c>
      <c r="L25" s="38">
        <f t="shared" si="10"/>
        <v>1</v>
      </c>
      <c r="M25" s="38">
        <f t="shared" si="11"/>
        <v>92.67287877</v>
      </c>
      <c r="N25" s="39">
        <f t="shared" si="12"/>
        <v>42.67287877</v>
      </c>
      <c r="O25" s="39">
        <f t="shared" si="13"/>
        <v>414.430391</v>
      </c>
      <c r="P25" s="39">
        <f t="shared" si="14"/>
        <v>-382.0623009</v>
      </c>
      <c r="Q25" s="38">
        <f t="shared" si="15"/>
        <v>560.1482559</v>
      </c>
      <c r="R25" s="38">
        <f t="shared" si="16"/>
        <v>215.0207697</v>
      </c>
      <c r="S25" s="40">
        <v>21.0</v>
      </c>
      <c r="T25" s="37">
        <f t="shared" si="17"/>
        <v>76.62354128</v>
      </c>
      <c r="U25" s="37">
        <f t="shared" si="18"/>
        <v>-82.37645872</v>
      </c>
      <c r="V25" s="37">
        <f t="shared" si="23"/>
        <v>1.966794087</v>
      </c>
      <c r="W25" s="37">
        <f>'入力・結果'!$I$7/V25</f>
        <v>163972.4271</v>
      </c>
      <c r="X25" s="39">
        <f>(W25/I25*10)*'入力・結果'!$I$8</f>
        <v>1745.407997</v>
      </c>
      <c r="Y25" s="38">
        <f>DEGREES(ACOS(('入力・結果'!$G$3-('入力・結果'!$G$4*COS(RADIANS(S25))))/((('入力・結果'!$G$3^2)+('入力・結果'!$G$4^2)-(2*'入力・結果'!$G$3*'入力・結果'!$G$4*COS(RADIANS(S25))))^(1/2))))</f>
        <v>132.9483825</v>
      </c>
      <c r="Z25" s="38">
        <f>DEGREES(ACOS((('入力・結果'!$G$3^2)+('入力・結果'!$G$4^2)-('入力・結果'!$G$5^2)+('入力・結果'!$G$6^2)-(2*'入力・結果'!$G$3*'入力・結果'!$G$4*COS(RADIANS(S25))))/(2*'入力・結果'!$G$6*(('入力・結果'!$G$3^2)+('入力・結果'!$G$4^2)-(2*'入力・結果'!$G$3*'入力・結果'!$G$4*(COS(RADIANS(S25)))))^(1/2))))</f>
        <v>96.72748086</v>
      </c>
      <c r="AA25" s="38">
        <f>DEGREES(ACOS(('入力・結果'!$G$4-('入力・結果'!$G$3*COS(RADIANS(S25))))/((('入力・結果'!$G$3^2)+('入力・結果'!$G$4^2)-(2*'入力・結果'!$G$3*'入力・結果'!$G$4*COS(RADIANS(S25))))^(1/2))))</f>
        <v>26.05161752</v>
      </c>
      <c r="AB25" s="38">
        <f>DEGREES(ACOS((('入力・結果'!$G$3^2)+('入力・結果'!$G$4^2)+('入力・結果'!$G$5^2)-('入力・結果'!$G$6^2)-(2*'入力・結果'!$G$3*'入力・結果'!$G$4*COS(RADIANS(S25))))/(2*'入力・結果'!$G$5*(('入力・結果'!$G$3^2)+('入力・結果'!$G$4^2)-(2*'入力・結果'!$G$3*'入力・結果'!$G$4*(COS(RADIANS(S25)))))^(1/2))))</f>
        <v>50.57192376</v>
      </c>
      <c r="AC25" s="37">
        <f t="shared" si="19"/>
        <v>-1554.592003</v>
      </c>
      <c r="AD25" s="37">
        <f t="shared" si="20"/>
        <v>0</v>
      </c>
      <c r="AE25" s="37" t="str">
        <f t="shared" si="21"/>
        <v/>
      </c>
      <c r="AF25" s="37" t="str">
        <f t="shared" si="22"/>
        <v/>
      </c>
      <c r="AG25" s="35"/>
      <c r="AH25" s="35"/>
      <c r="AI25" s="35"/>
      <c r="AJ25" s="35">
        <v>22.0</v>
      </c>
      <c r="AK25" s="35">
        <f t="shared" si="1"/>
        <v>0.5222466814</v>
      </c>
    </row>
    <row r="26" ht="12.75" customHeight="1">
      <c r="A26" s="35"/>
      <c r="B26" s="37">
        <v>22.0</v>
      </c>
      <c r="C26" s="38">
        <f t="shared" si="2"/>
        <v>46.35919273</v>
      </c>
      <c r="D26" s="38">
        <f t="shared" si="3"/>
        <v>-18.73032967</v>
      </c>
      <c r="E26" s="38">
        <f>'演算'!U26</f>
        <v>-80.46165479</v>
      </c>
      <c r="F26" s="38">
        <f t="shared" si="4"/>
        <v>80.46165479</v>
      </c>
      <c r="G26" s="38">
        <f t="shared" si="5"/>
        <v>-44.78000966</v>
      </c>
      <c r="H26" s="38">
        <f t="shared" si="6"/>
        <v>-561.1265371</v>
      </c>
      <c r="I26" s="39">
        <f t="shared" si="7"/>
        <v>562.9105079</v>
      </c>
      <c r="J26" s="38">
        <f t="shared" si="8"/>
        <v>-85.43725092</v>
      </c>
      <c r="K26" s="38" t="str">
        <f t="shared" si="9"/>
        <v/>
      </c>
      <c r="L26" s="38">
        <f t="shared" si="10"/>
        <v>1</v>
      </c>
      <c r="M26" s="38">
        <f t="shared" si="11"/>
        <v>94.56274908</v>
      </c>
      <c r="N26" s="39">
        <f t="shared" si="12"/>
        <v>44.56274908</v>
      </c>
      <c r="O26" s="39">
        <f t="shared" si="13"/>
        <v>401.0638302</v>
      </c>
      <c r="P26" s="39">
        <f t="shared" si="14"/>
        <v>-394.988663</v>
      </c>
      <c r="Q26" s="38">
        <f t="shared" si="15"/>
        <v>556.3103127</v>
      </c>
      <c r="R26" s="38">
        <f t="shared" si="16"/>
        <v>224.763956</v>
      </c>
      <c r="S26" s="40">
        <v>22.0</v>
      </c>
      <c r="T26" s="37">
        <f t="shared" si="17"/>
        <v>77.53834521</v>
      </c>
      <c r="U26" s="37">
        <f t="shared" si="18"/>
        <v>-80.46165479</v>
      </c>
      <c r="V26" s="37">
        <f t="shared" si="23"/>
        <v>1.914803934</v>
      </c>
      <c r="W26" s="37">
        <f>'入力・結果'!$I$7/V26</f>
        <v>168424.5548</v>
      </c>
      <c r="X26" s="39">
        <f>(W26/I26*10)*'入力・結果'!$I$8</f>
        <v>1795.218449</v>
      </c>
      <c r="Y26" s="38">
        <f>DEGREES(ACOS(('入力・結果'!$G$3-('入力・結果'!$G$4*COS(RADIANS(S26))))/((('入力・結果'!$G$3^2)+('入力・結果'!$G$4^2)-(2*'入力・結果'!$G$3*'入力・結果'!$G$4*COS(RADIANS(S26))))^(1/2))))</f>
        <v>131.1341759</v>
      </c>
      <c r="Z26" s="38">
        <f>DEGREES(ACOS((('入力・結果'!$G$3^2)+('入力・結果'!$G$4^2)-('入力・結果'!$G$5^2)+('入力・結果'!$G$6^2)-(2*'入力・結果'!$G$3*'入力・結果'!$G$4*COS(RADIANS(S26))))/(2*'入力・結果'!$G$6*(('入力・結果'!$G$3^2)+('入力・結果'!$G$4^2)-(2*'入力・結果'!$G$3*'入力・結果'!$G$4*(COS(RADIANS(S26)))))^(1/2))))</f>
        <v>95.98636626</v>
      </c>
      <c r="AA26" s="38">
        <f>DEGREES(ACOS(('入力・結果'!$G$4-('入力・結果'!$G$3*COS(RADIANS(S26))))/((('入力・結果'!$G$3^2)+('入力・結果'!$G$4^2)-(2*'入力・結果'!$G$3*'入力・結果'!$G$4*COS(RADIANS(S26))))^(1/2))))</f>
        <v>26.86582407</v>
      </c>
      <c r="AB26" s="38">
        <f>DEGREES(ACOS((('入力・結果'!$G$3^2)+('入力・結果'!$G$4^2)+('入力・結果'!$G$5^2)-('入力・結果'!$G$6^2)-(2*'入力・結果'!$G$3*'入力・結果'!$G$4*COS(RADIANS(S26))))/(2*'入力・結果'!$G$5*(('入力・結果'!$G$3^2)+('入力・結果'!$G$4^2)-(2*'入力・結果'!$G$3*'入力・結果'!$G$4*(COS(RADIANS(S26)))))^(1/2))))</f>
        <v>50.67252114</v>
      </c>
      <c r="AC26" s="37">
        <f t="shared" si="19"/>
        <v>-1504.781551</v>
      </c>
      <c r="AD26" s="37">
        <f t="shared" si="20"/>
        <v>0</v>
      </c>
      <c r="AE26" s="37" t="str">
        <f t="shared" si="21"/>
        <v/>
      </c>
      <c r="AF26" s="37" t="str">
        <f t="shared" si="22"/>
        <v/>
      </c>
      <c r="AG26" s="35"/>
      <c r="AH26" s="35"/>
      <c r="AI26" s="35"/>
      <c r="AJ26" s="35">
        <v>23.0</v>
      </c>
      <c r="AK26" s="35">
        <f t="shared" si="1"/>
        <v>0.536781115</v>
      </c>
    </row>
    <row r="27" ht="12.75" customHeight="1">
      <c r="A27" s="35"/>
      <c r="B27" s="37">
        <v>23.0</v>
      </c>
      <c r="C27" s="38">
        <f t="shared" si="2"/>
        <v>46.02524267</v>
      </c>
      <c r="D27" s="38">
        <f t="shared" si="3"/>
        <v>-19.53655642</v>
      </c>
      <c r="E27" s="38">
        <f>'演算'!U27</f>
        <v>-78.59869804</v>
      </c>
      <c r="F27" s="38">
        <f t="shared" si="4"/>
        <v>78.59869804</v>
      </c>
      <c r="G27" s="38">
        <f t="shared" si="5"/>
        <v>-62.69854586</v>
      </c>
      <c r="H27" s="38">
        <f t="shared" si="6"/>
        <v>-558.683232</v>
      </c>
      <c r="I27" s="39">
        <f t="shared" si="7"/>
        <v>562.1904138</v>
      </c>
      <c r="J27" s="38">
        <f t="shared" si="8"/>
        <v>-83.59674074</v>
      </c>
      <c r="K27" s="38" t="str">
        <f t="shared" si="9"/>
        <v/>
      </c>
      <c r="L27" s="38">
        <f t="shared" si="10"/>
        <v>1</v>
      </c>
      <c r="M27" s="38">
        <f t="shared" si="11"/>
        <v>96.40325926</v>
      </c>
      <c r="N27" s="39">
        <f t="shared" si="12"/>
        <v>46.40325926</v>
      </c>
      <c r="O27" s="39">
        <f t="shared" si="13"/>
        <v>387.6743369</v>
      </c>
      <c r="P27" s="39">
        <f t="shared" si="14"/>
        <v>-407.1445319</v>
      </c>
      <c r="Q27" s="38">
        <f t="shared" si="15"/>
        <v>552.3029121</v>
      </c>
      <c r="R27" s="38">
        <f t="shared" si="16"/>
        <v>234.4386771</v>
      </c>
      <c r="S27" s="40">
        <v>23.0</v>
      </c>
      <c r="T27" s="37">
        <f t="shared" si="17"/>
        <v>78.40130196</v>
      </c>
      <c r="U27" s="37">
        <f t="shared" si="18"/>
        <v>-78.59869804</v>
      </c>
      <c r="V27" s="37">
        <f t="shared" si="23"/>
        <v>1.862956747</v>
      </c>
      <c r="W27" s="37">
        <f>'入力・結果'!$I$7/V27</f>
        <v>173111.9096</v>
      </c>
      <c r="X27" s="39">
        <f>(W27/I27*10)*'入力・結果'!$I$8</f>
        <v>1847.543878</v>
      </c>
      <c r="Y27" s="38">
        <f>DEGREES(ACOS(('入力・結果'!$G$3-('入力・結果'!$G$4*COS(RADIANS(S27))))/((('入力・結果'!$G$3^2)+('入力・結果'!$G$4^2)-(2*'入力・結果'!$G$3*'入力・結果'!$G$4*COS(RADIANS(S27))))^(1/2))))</f>
        <v>129.3609867</v>
      </c>
      <c r="Z27" s="38">
        <f>DEGREES(ACOS((('入力・結果'!$G$3^2)+('入力・結果'!$G$4^2)-('入力・結果'!$G$5^2)+('入力・結果'!$G$6^2)-(2*'入力・結果'!$G$3*'入力・結果'!$G$4*COS(RADIANS(S27))))/(2*'入力・結果'!$G$6*(('入力・結果'!$G$3^2)+('入力・結果'!$G$4^2)-(2*'入力・結果'!$G$3*'入力・結果'!$G$4*(COS(RADIANS(S27)))))^(1/2))))</f>
        <v>95.2392144</v>
      </c>
      <c r="AA27" s="38">
        <f>DEGREES(ACOS(('入力・結果'!$G$4-('入力・結果'!$G$3*COS(RADIANS(S27))))/((('入力・結果'!$G$3^2)+('入力・結果'!$G$4^2)-(2*'入力・結果'!$G$3*'入力・結果'!$G$4*COS(RADIANS(S27))))^(1/2))))</f>
        <v>27.63901334</v>
      </c>
      <c r="AB27" s="38">
        <f>DEGREES(ACOS((('入力・結果'!$G$3^2)+('入力・結果'!$G$4^2)+('入力・結果'!$G$5^2)-('入力・結果'!$G$6^2)-(2*'入力・結果'!$G$3*'入力・結果'!$G$4*COS(RADIANS(S27))))/(2*'入力・結果'!$G$5*(('入力・結果'!$G$3^2)+('入力・結果'!$G$4^2)-(2*'入力・結果'!$G$3*'入力・結果'!$G$4*(COS(RADIANS(S27)))))^(1/2))))</f>
        <v>50.76228862</v>
      </c>
      <c r="AC27" s="37">
        <f t="shared" si="19"/>
        <v>-1452.456122</v>
      </c>
      <c r="AD27" s="37">
        <f t="shared" si="20"/>
        <v>0</v>
      </c>
      <c r="AE27" s="37" t="str">
        <f t="shared" si="21"/>
        <v/>
      </c>
      <c r="AF27" s="37" t="str">
        <f t="shared" si="22"/>
        <v/>
      </c>
      <c r="AG27" s="35"/>
      <c r="AH27" s="35"/>
      <c r="AI27" s="35"/>
      <c r="AJ27" s="35">
        <v>24.0</v>
      </c>
      <c r="AK27" s="35">
        <f t="shared" si="1"/>
        <v>0.5520356601</v>
      </c>
    </row>
    <row r="28" ht="12.75" customHeight="1">
      <c r="A28" s="35"/>
      <c r="B28" s="37">
        <v>24.0</v>
      </c>
      <c r="C28" s="38">
        <f t="shared" si="2"/>
        <v>45.67727288</v>
      </c>
      <c r="D28" s="38">
        <f t="shared" si="3"/>
        <v>-20.33683215</v>
      </c>
      <c r="E28" s="38">
        <f>'演算'!U28</f>
        <v>-76.78722086</v>
      </c>
      <c r="F28" s="38">
        <f t="shared" si="4"/>
        <v>76.78722086</v>
      </c>
      <c r="G28" s="38">
        <f t="shared" si="5"/>
        <v>-80.03513238</v>
      </c>
      <c r="H28" s="38">
        <f t="shared" si="6"/>
        <v>-555.7772034</v>
      </c>
      <c r="I28" s="39">
        <f t="shared" si="7"/>
        <v>561.5103937</v>
      </c>
      <c r="J28" s="38">
        <f t="shared" si="8"/>
        <v>-81.80541195</v>
      </c>
      <c r="K28" s="38" t="str">
        <f t="shared" si="9"/>
        <v/>
      </c>
      <c r="L28" s="38">
        <f t="shared" si="10"/>
        <v>1</v>
      </c>
      <c r="M28" s="38">
        <f t="shared" si="11"/>
        <v>98.19458805</v>
      </c>
      <c r="N28" s="39">
        <f t="shared" si="12"/>
        <v>48.19458805</v>
      </c>
      <c r="O28" s="39">
        <f t="shared" si="13"/>
        <v>374.3044468</v>
      </c>
      <c r="P28" s="39">
        <f t="shared" si="14"/>
        <v>-418.5571685</v>
      </c>
      <c r="Q28" s="38">
        <f t="shared" si="15"/>
        <v>548.1272746</v>
      </c>
      <c r="R28" s="38">
        <f t="shared" si="16"/>
        <v>244.0419858</v>
      </c>
      <c r="S28" s="40">
        <v>24.0</v>
      </c>
      <c r="T28" s="37">
        <f t="shared" si="17"/>
        <v>79.21277914</v>
      </c>
      <c r="U28" s="37">
        <f t="shared" si="18"/>
        <v>-76.78722086</v>
      </c>
      <c r="V28" s="37">
        <f t="shared" si="23"/>
        <v>1.811477178</v>
      </c>
      <c r="W28" s="37">
        <f>'入力・結果'!$I$7/V28</f>
        <v>178031.5004</v>
      </c>
      <c r="X28" s="39">
        <f>(W28/I28*10)*'入力・結果'!$I$8</f>
        <v>1902.349474</v>
      </c>
      <c r="Y28" s="38">
        <f>DEGREES(ACOS(('入力・結果'!$G$3-('入力・結果'!$G$4*COS(RADIANS(S28))))/((('入力・結果'!$G$3^2)+('入力・結果'!$G$4^2)-(2*'入力・結果'!$G$3*'入力・結果'!$G$4*COS(RADIANS(S28))))^(1/2))))</f>
        <v>127.6279386</v>
      </c>
      <c r="Z28" s="38">
        <f>DEGREES(ACOS((('入力・結果'!$G$3^2)+('入力・結果'!$G$4^2)-('入力・結果'!$G$5^2)+('入力・結果'!$G$6^2)-(2*'入力・結果'!$G$3*'入力・結果'!$G$4*COS(RADIANS(S28))))/(2*'入力・結果'!$G$6*(('入力・結果'!$G$3^2)+('入力・結果'!$G$4^2)-(2*'入力・結果'!$G$3*'入力・結果'!$G$4*(COS(RADIANS(S28)))))^(1/2))))</f>
        <v>94.48749379</v>
      </c>
      <c r="AA28" s="38">
        <f>DEGREES(ACOS(('入力・結果'!$G$4-('入力・結果'!$G$3*COS(RADIANS(S28))))/((('入力・結果'!$G$3^2)+('入力・結果'!$G$4^2)-(2*'入力・結果'!$G$3*'入力・結果'!$G$4*COS(RADIANS(S28))))^(1/2))))</f>
        <v>28.37206141</v>
      </c>
      <c r="AB28" s="38">
        <f>DEGREES(ACOS((('入力・結果'!$G$3^2)+('入力・結果'!$G$4^2)+('入力・結果'!$G$5^2)-('入力・結果'!$G$6^2)-(2*'入力・結果'!$G$3*'入力・結果'!$G$4*COS(RADIANS(S28))))/(2*'入力・結果'!$G$5*(('入力・結果'!$G$3^2)+('入力・結果'!$G$4^2)-(2*'入力・結果'!$G$3*'入力・結果'!$G$4*(COS(RADIANS(S28)))))^(1/2))))</f>
        <v>50.84071773</v>
      </c>
      <c r="AC28" s="37">
        <f t="shared" si="19"/>
        <v>-1397.650526</v>
      </c>
      <c r="AD28" s="37">
        <f t="shared" si="20"/>
        <v>0</v>
      </c>
      <c r="AE28" s="37" t="str">
        <f t="shared" si="21"/>
        <v/>
      </c>
      <c r="AF28" s="37" t="str">
        <f t="shared" si="22"/>
        <v/>
      </c>
      <c r="AG28" s="35"/>
      <c r="AH28" s="35"/>
      <c r="AI28" s="35"/>
      <c r="AJ28" s="35">
        <v>25.0</v>
      </c>
      <c r="AK28" s="35">
        <f t="shared" si="1"/>
        <v>0.5680011344</v>
      </c>
    </row>
    <row r="29" ht="12.75" customHeight="1">
      <c r="A29" s="35"/>
      <c r="B29" s="37">
        <v>25.0</v>
      </c>
      <c r="C29" s="38">
        <f t="shared" si="2"/>
        <v>45.31538935</v>
      </c>
      <c r="D29" s="38">
        <f t="shared" si="3"/>
        <v>-21.13091309</v>
      </c>
      <c r="E29" s="38">
        <f>'演算'!U29</f>
        <v>-75.026661</v>
      </c>
      <c r="F29" s="38">
        <f t="shared" si="4"/>
        <v>75.026661</v>
      </c>
      <c r="G29" s="38">
        <f t="shared" si="5"/>
        <v>-96.78786336</v>
      </c>
      <c r="H29" s="38">
        <f t="shared" si="6"/>
        <v>-552.4562989</v>
      </c>
      <c r="I29" s="39">
        <f t="shared" si="7"/>
        <v>560.8706202</v>
      </c>
      <c r="J29" s="38">
        <f t="shared" si="8"/>
        <v>-80.06288579</v>
      </c>
      <c r="K29" s="38" t="str">
        <f t="shared" si="9"/>
        <v/>
      </c>
      <c r="L29" s="38">
        <f t="shared" si="10"/>
        <v>1</v>
      </c>
      <c r="M29" s="38">
        <f t="shared" si="11"/>
        <v>99.93711421</v>
      </c>
      <c r="N29" s="39">
        <f t="shared" si="12"/>
        <v>49.93711421</v>
      </c>
      <c r="O29" s="39">
        <f t="shared" si="13"/>
        <v>360.9920385</v>
      </c>
      <c r="P29" s="39">
        <f t="shared" si="14"/>
        <v>-429.2558687</v>
      </c>
      <c r="Q29" s="38">
        <f t="shared" si="15"/>
        <v>543.7846722</v>
      </c>
      <c r="R29" s="38">
        <f t="shared" si="16"/>
        <v>253.570957</v>
      </c>
      <c r="S29" s="40">
        <v>25.0</v>
      </c>
      <c r="T29" s="37">
        <f t="shared" si="17"/>
        <v>79.973339</v>
      </c>
      <c r="U29" s="37">
        <f t="shared" si="18"/>
        <v>-75.026661</v>
      </c>
      <c r="V29" s="37">
        <f t="shared" si="23"/>
        <v>1.760559864</v>
      </c>
      <c r="W29" s="37">
        <f>'入力・結果'!$I$7/V29</f>
        <v>183180.3658</v>
      </c>
      <c r="X29" s="39">
        <f>(W29/I29*10)*'入力・結果'!$I$8</f>
        <v>1959.600228</v>
      </c>
      <c r="Y29" s="38">
        <f>DEGREES(ACOS(('入力・結果'!$G$3-('入力・結果'!$G$4*COS(RADIANS(S29))))/((('入力・結果'!$G$3^2)+('入力・結果'!$G$4^2)-(2*'入力・結果'!$G$3*'入力・結果'!$G$4*COS(RADIANS(S29))))^(1/2))))</f>
        <v>125.934073</v>
      </c>
      <c r="Z29" s="38">
        <f>DEGREES(ACOS((('入力・結果'!$G$3^2)+('入力・結果'!$G$4^2)-('入力・結果'!$G$5^2)+('入力・結果'!$G$6^2)-(2*'入力・結果'!$G$3*'入力・結果'!$G$4*COS(RADIANS(S29))))/(2*'入力・結果'!$G$6*(('入力・結果'!$G$3^2)+('入力・結果'!$G$4^2)-(2*'入力・結果'!$G$3*'入力・結果'!$G$4*(COS(RADIANS(S29)))))^(1/2))))</f>
        <v>93.73251014</v>
      </c>
      <c r="AA29" s="38">
        <f>DEGREES(ACOS(('入力・結果'!$G$4-('入力・結果'!$G$3*COS(RADIANS(S29))))/((('入力・結果'!$G$3^2)+('入力・結果'!$G$4^2)-(2*'入力・結果'!$G$3*'入力・結果'!$G$4*COS(RADIANS(S29))))^(1/2))))</f>
        <v>29.06592695</v>
      </c>
      <c r="AB29" s="38">
        <f>DEGREES(ACOS((('入力・結果'!$G$3^2)+('入力・結果'!$G$4^2)+('入力・結果'!$G$5^2)-('入力・結果'!$G$6^2)-(2*'入力・結果'!$G$3*'入力・結果'!$G$4*COS(RADIANS(S29))))/(2*'入力・結果'!$G$5*(('入力・結果'!$G$3^2)+('入力・結果'!$G$4^2)-(2*'入力・結果'!$G$3*'入力・結果'!$G$4*(COS(RADIANS(S29)))))^(1/2))))</f>
        <v>50.90741205</v>
      </c>
      <c r="AC29" s="37">
        <f t="shared" si="19"/>
        <v>-1340.399772</v>
      </c>
      <c r="AD29" s="37">
        <f t="shared" si="20"/>
        <v>0</v>
      </c>
      <c r="AE29" s="37" t="str">
        <f t="shared" si="21"/>
        <v/>
      </c>
      <c r="AF29" s="37" t="str">
        <f t="shared" si="22"/>
        <v/>
      </c>
      <c r="AG29" s="35"/>
      <c r="AH29" s="35"/>
      <c r="AI29" s="35"/>
      <c r="AJ29" s="35">
        <v>26.0</v>
      </c>
      <c r="AK29" s="35">
        <f t="shared" si="1"/>
        <v>0.5846684454</v>
      </c>
    </row>
    <row r="30" ht="12.75" customHeight="1">
      <c r="A30" s="35"/>
      <c r="B30" s="37">
        <v>26.0</v>
      </c>
      <c r="C30" s="38">
        <f t="shared" si="2"/>
        <v>44.93970231</v>
      </c>
      <c r="D30" s="38">
        <f t="shared" si="3"/>
        <v>-21.91855734</v>
      </c>
      <c r="E30" s="38">
        <f>'演算'!U30</f>
        <v>-73.31628992</v>
      </c>
      <c r="F30" s="38">
        <f t="shared" si="4"/>
        <v>73.31628992</v>
      </c>
      <c r="G30" s="38">
        <f t="shared" si="5"/>
        <v>-112.9588006</v>
      </c>
      <c r="H30" s="38">
        <f t="shared" si="6"/>
        <v>-548.7658433</v>
      </c>
      <c r="I30" s="39">
        <f t="shared" si="7"/>
        <v>560.2710429</v>
      </c>
      <c r="J30" s="38">
        <f t="shared" si="8"/>
        <v>-78.36860991</v>
      </c>
      <c r="K30" s="38" t="str">
        <f t="shared" si="9"/>
        <v/>
      </c>
      <c r="L30" s="38">
        <f t="shared" si="10"/>
        <v>1</v>
      </c>
      <c r="M30" s="38">
        <f t="shared" si="11"/>
        <v>101.6313901</v>
      </c>
      <c r="N30" s="39">
        <f t="shared" si="12"/>
        <v>51.63139009</v>
      </c>
      <c r="O30" s="39">
        <f t="shared" si="13"/>
        <v>347.7705074</v>
      </c>
      <c r="P30" s="39">
        <f t="shared" si="14"/>
        <v>-439.2713462</v>
      </c>
      <c r="Q30" s="38">
        <f t="shared" si="15"/>
        <v>539.2764278</v>
      </c>
      <c r="R30" s="38">
        <f t="shared" si="16"/>
        <v>263.0226881</v>
      </c>
      <c r="S30" s="40">
        <v>26.0</v>
      </c>
      <c r="T30" s="37">
        <f t="shared" si="17"/>
        <v>80.68371008</v>
      </c>
      <c r="U30" s="37">
        <f t="shared" si="18"/>
        <v>-73.31628992</v>
      </c>
      <c r="V30" s="37">
        <f t="shared" si="23"/>
        <v>1.710371079</v>
      </c>
      <c r="W30" s="37">
        <f>'入力・結果'!$I$7/V30</f>
        <v>188555.5737</v>
      </c>
      <c r="X30" s="39">
        <f>(W30/I30*10)*'入力・結果'!$I$8</f>
        <v>2019.260957</v>
      </c>
      <c r="Y30" s="38">
        <f>DEGREES(ACOS(('入力・結果'!$G$3-('入力・結果'!$G$4*COS(RADIANS(S30))))/((('入力・結果'!$G$3^2)+('入力・結果'!$G$4^2)-(2*'入力・結果'!$G$3*'入力・結果'!$G$4*COS(RADIANS(S30))))^(1/2))))</f>
        <v>124.2783667</v>
      </c>
      <c r="Z30" s="38">
        <f>DEGREES(ACOS((('入力・結果'!$G$3^2)+('入力・結果'!$G$4^2)-('入力・結果'!$G$5^2)+('入力・結果'!$G$6^2)-(2*'入力・結果'!$G$3*'入力・結果'!$G$4*COS(RADIANS(S30))))/(2*'入力・結果'!$G$6*(('入力・結果'!$G$3^2)+('入力・結果'!$G$4^2)-(2*'入力・結果'!$G$3*'入力・結果'!$G$4*(COS(RADIANS(S30)))))^(1/2))))</f>
        <v>92.97541771</v>
      </c>
      <c r="AA30" s="38">
        <f>DEGREES(ACOS(('入力・結果'!$G$4-('入力・結果'!$G$3*COS(RADIANS(S30))))/((('入力・結果'!$G$3^2)+('入力・結果'!$G$4^2)-(2*'入力・結果'!$G$3*'入力・結果'!$G$4*COS(RADIANS(S30))))^(1/2))))</f>
        <v>29.72163332</v>
      </c>
      <c r="AB30" s="38">
        <f>DEGREES(ACOS((('入力・結果'!$G$3^2)+('入力・結果'!$G$4^2)+('入力・結果'!$G$5^2)-('入力・結果'!$G$6^2)-(2*'入力・結果'!$G$3*'入力・結果'!$G$4*COS(RADIANS(S30))))/(2*'入力・結果'!$G$5*(('入力・結果'!$G$3^2)+('入力・結果'!$G$4^2)-(2*'入力・結果'!$G$3*'入力・結果'!$G$4*(COS(RADIANS(S30)))))^(1/2))))</f>
        <v>50.96207677</v>
      </c>
      <c r="AC30" s="37">
        <f t="shared" si="19"/>
        <v>-1280.739043</v>
      </c>
      <c r="AD30" s="37">
        <f t="shared" si="20"/>
        <v>0</v>
      </c>
      <c r="AE30" s="37" t="str">
        <f t="shared" si="21"/>
        <v/>
      </c>
      <c r="AF30" s="37" t="str">
        <f t="shared" si="22"/>
        <v/>
      </c>
      <c r="AG30" s="35"/>
      <c r="AH30" s="35"/>
      <c r="AI30" s="35"/>
      <c r="AJ30" s="35">
        <v>27.0</v>
      </c>
      <c r="AK30" s="35">
        <f t="shared" si="1"/>
        <v>0.6020285843</v>
      </c>
    </row>
    <row r="31" ht="12.75" customHeight="1">
      <c r="A31" s="35"/>
      <c r="B31" s="37">
        <v>27.0</v>
      </c>
      <c r="C31" s="38">
        <f t="shared" si="2"/>
        <v>44.55032621</v>
      </c>
      <c r="D31" s="38">
        <f t="shared" si="3"/>
        <v>-22.69952499</v>
      </c>
      <c r="E31" s="38">
        <f>'演算'!U31</f>
        <v>-71.65523922</v>
      </c>
      <c r="F31" s="38">
        <f t="shared" si="4"/>
        <v>71.65523922</v>
      </c>
      <c r="G31" s="38">
        <f t="shared" si="5"/>
        <v>-128.553414</v>
      </c>
      <c r="H31" s="38">
        <f t="shared" si="6"/>
        <v>-544.7484644</v>
      </c>
      <c r="I31" s="39">
        <f t="shared" si="7"/>
        <v>559.7114164</v>
      </c>
      <c r="J31" s="38">
        <f t="shared" si="8"/>
        <v>-76.72188338</v>
      </c>
      <c r="K31" s="38" t="str">
        <f t="shared" si="9"/>
        <v/>
      </c>
      <c r="L31" s="38">
        <f t="shared" si="10"/>
        <v>1</v>
      </c>
      <c r="M31" s="38">
        <f t="shared" si="11"/>
        <v>103.2781166</v>
      </c>
      <c r="N31" s="39">
        <f t="shared" si="12"/>
        <v>53.27811662</v>
      </c>
      <c r="O31" s="39">
        <f t="shared" si="13"/>
        <v>334.6689924</v>
      </c>
      <c r="P31" s="39">
        <f t="shared" si="14"/>
        <v>-448.6351917</v>
      </c>
      <c r="Q31" s="38">
        <f t="shared" si="15"/>
        <v>534.6039145</v>
      </c>
      <c r="R31" s="38">
        <f t="shared" si="16"/>
        <v>272.3942998</v>
      </c>
      <c r="S31" s="40">
        <v>27.0</v>
      </c>
      <c r="T31" s="37">
        <f t="shared" si="17"/>
        <v>81.34476078</v>
      </c>
      <c r="U31" s="37">
        <f t="shared" si="18"/>
        <v>-71.65523922</v>
      </c>
      <c r="V31" s="37">
        <f t="shared" si="23"/>
        <v>1.661050698</v>
      </c>
      <c r="W31" s="37">
        <f>'入力・結果'!$I$7/V31</f>
        <v>194154.2184</v>
      </c>
      <c r="X31" s="39">
        <f>(W31/I31*10)*'入力・結果'!$I$8</f>
        <v>2081.296319</v>
      </c>
      <c r="Y31" s="38">
        <f>DEGREES(ACOS(('入力・結果'!$G$3-('入力・結果'!$G$4*COS(RADIANS(S31))))/((('入力・結果'!$G$3^2)+('入力・結果'!$G$4^2)-(2*'入力・結果'!$G$3*'入力・結果'!$G$4*COS(RADIANS(S31))))^(1/2))))</f>
        <v>122.6597475</v>
      </c>
      <c r="Z31" s="38">
        <f>DEGREES(ACOS((('入力・結果'!$G$3^2)+('入力・結果'!$G$4^2)-('入力・結果'!$G$5^2)+('入力・結果'!$G$6^2)-(2*'入力・結果'!$G$3*'入力・結果'!$G$4*COS(RADIANS(S31))))/(2*'入力・結果'!$G$6*(('入力・結果'!$G$3^2)+('入力・結果'!$G$4^2)-(2*'入力・結果'!$G$3*'入力・結果'!$G$4*(COS(RADIANS(S31)))))^(1/2))))</f>
        <v>92.21723089</v>
      </c>
      <c r="AA31" s="38">
        <f>DEGREES(ACOS(('入力・結果'!$G$4-('入力・結果'!$G$3*COS(RADIANS(S31))))/((('入力・結果'!$G$3^2)+('入力・結果'!$G$4^2)-(2*'入力・結果'!$G$3*'入力・結果'!$G$4*COS(RADIANS(S31))))^(1/2))))</f>
        <v>30.34025254</v>
      </c>
      <c r="AB31" s="38">
        <f>DEGREES(ACOS((('入力・結果'!$G$3^2)+('入力・結果'!$G$4^2)+('入力・結果'!$G$5^2)-('入力・結果'!$G$6^2)-(2*'入力・結果'!$G$3*'入力・結果'!$G$4*COS(RADIANS(S31))))/(2*'入力・結果'!$G$5*(('入力・結果'!$G$3^2)+('入力・結果'!$G$4^2)-(2*'入力・結果'!$G$3*'入力・結果'!$G$4*(COS(RADIANS(S31)))))^(1/2))))</f>
        <v>51.00450824</v>
      </c>
      <c r="AC31" s="37">
        <f t="shared" si="19"/>
        <v>-1218.703681</v>
      </c>
      <c r="AD31" s="37">
        <f t="shared" si="20"/>
        <v>0</v>
      </c>
      <c r="AE31" s="37" t="str">
        <f t="shared" si="21"/>
        <v/>
      </c>
      <c r="AF31" s="37" t="str">
        <f t="shared" si="22"/>
        <v/>
      </c>
      <c r="AG31" s="35"/>
      <c r="AH31" s="35"/>
      <c r="AI31" s="35"/>
      <c r="AJ31" s="35">
        <v>28.0</v>
      </c>
      <c r="AK31" s="35">
        <f t="shared" si="1"/>
        <v>0.620072616</v>
      </c>
    </row>
    <row r="32" ht="12.75" customHeight="1">
      <c r="A32" s="35"/>
      <c r="B32" s="37">
        <v>28.0</v>
      </c>
      <c r="C32" s="38">
        <f t="shared" si="2"/>
        <v>44.14737964</v>
      </c>
      <c r="D32" s="38">
        <f t="shared" si="3"/>
        <v>-23.47357814</v>
      </c>
      <c r="E32" s="38">
        <f>'演算'!U32</f>
        <v>-70.04252488</v>
      </c>
      <c r="F32" s="38">
        <f t="shared" si="4"/>
        <v>70.04252488</v>
      </c>
      <c r="G32" s="38">
        <f t="shared" si="5"/>
        <v>-143.5800559</v>
      </c>
      <c r="H32" s="38">
        <f t="shared" si="6"/>
        <v>-540.4439931</v>
      </c>
      <c r="I32" s="39">
        <f t="shared" si="7"/>
        <v>559.1913287</v>
      </c>
      <c r="J32" s="38">
        <f t="shared" si="8"/>
        <v>-75.12187991</v>
      </c>
      <c r="K32" s="38" t="str">
        <f t="shared" si="9"/>
        <v/>
      </c>
      <c r="L32" s="38">
        <f t="shared" si="10"/>
        <v>1</v>
      </c>
      <c r="M32" s="38">
        <f t="shared" si="11"/>
        <v>104.8781201</v>
      </c>
      <c r="N32" s="39">
        <f t="shared" si="12"/>
        <v>54.87812009</v>
      </c>
      <c r="O32" s="39">
        <f t="shared" si="13"/>
        <v>321.7126368</v>
      </c>
      <c r="P32" s="39">
        <f t="shared" si="14"/>
        <v>-457.3794065</v>
      </c>
      <c r="Q32" s="38">
        <f t="shared" si="15"/>
        <v>529.7685557</v>
      </c>
      <c r="R32" s="38">
        <f t="shared" si="16"/>
        <v>281.6829377</v>
      </c>
      <c r="S32" s="40">
        <v>28.0</v>
      </c>
      <c r="T32" s="37">
        <f t="shared" si="17"/>
        <v>81.95747512</v>
      </c>
      <c r="U32" s="37">
        <f t="shared" si="18"/>
        <v>-70.04252488</v>
      </c>
      <c r="V32" s="37">
        <f t="shared" si="23"/>
        <v>1.612714341</v>
      </c>
      <c r="W32" s="37">
        <f>'入力・結果'!$I$7/V32</f>
        <v>199973.4187</v>
      </c>
      <c r="X32" s="39">
        <f>(W32/I32*10)*'入力・結果'!$I$8</f>
        <v>2145.670811</v>
      </c>
      <c r="Y32" s="38">
        <f>DEGREES(ACOS(('入力・結果'!$G$3-('入力・結果'!$G$4*COS(RADIANS(S32))))/((('入力・結果'!$G$3^2)+('入力・結果'!$G$4^2)-(2*'入力・結果'!$G$3*'入力・結果'!$G$4*COS(RADIANS(S32))))^(1/2))))</f>
        <v>121.0771088</v>
      </c>
      <c r="Z32" s="38">
        <f>DEGREES(ACOS((('入力・結果'!$G$3^2)+('入力・結果'!$G$4^2)-('入力・結果'!$G$5^2)+('入力・結果'!$G$6^2)-(2*'入力・結果'!$G$3*'入力・結果'!$G$4*COS(RADIANS(S32))))/(2*'入力・結果'!$G$6*(('入力・結果'!$G$3^2)+('入力・結果'!$G$4^2)-(2*'入力・結果'!$G$3*'入力・結果'!$G$4*(COS(RADIANS(S32)))))^(1/2))))</f>
        <v>91.45883595</v>
      </c>
      <c r="AA32" s="38">
        <f>DEGREES(ACOS(('入力・結果'!$G$4-('入力・結果'!$G$3*COS(RADIANS(S32))))/((('入力・結果'!$G$3^2)+('入力・結果'!$G$4^2)-(2*'入力・結果'!$G$3*'入力・結果'!$G$4*COS(RADIANS(S32))))^(1/2))))</f>
        <v>30.92289121</v>
      </c>
      <c r="AB32" s="38">
        <f>DEGREES(ACOS((('入力・結果'!$G$3^2)+('入力・結果'!$G$4^2)+('入力・結果'!$G$5^2)-('入力・結果'!$G$6^2)-(2*'入力・結果'!$G$3*'入力・結果'!$G$4*COS(RADIANS(S32))))/(2*'入力・結果'!$G$5*(('入力・結果'!$G$3^2)+('入力・結果'!$G$4^2)-(2*'入力・結果'!$G$3*'入力・結果'!$G$4*(COS(RADIANS(S32)))))^(1/2))))</f>
        <v>51.03458391</v>
      </c>
      <c r="AC32" s="37">
        <f t="shared" si="19"/>
        <v>-1154.329189</v>
      </c>
      <c r="AD32" s="37">
        <f t="shared" si="20"/>
        <v>0</v>
      </c>
      <c r="AE32" s="37" t="str">
        <f t="shared" si="21"/>
        <v/>
      </c>
      <c r="AF32" s="37" t="str">
        <f t="shared" si="22"/>
        <v/>
      </c>
      <c r="AG32" s="35"/>
      <c r="AH32" s="35"/>
      <c r="AI32" s="35"/>
      <c r="AJ32" s="35">
        <v>29.0</v>
      </c>
      <c r="AK32" s="35">
        <f t="shared" si="1"/>
        <v>0.6387916677</v>
      </c>
    </row>
    <row r="33" ht="12.75" customHeight="1">
      <c r="A33" s="35"/>
      <c r="B33" s="37">
        <v>29.0</v>
      </c>
      <c r="C33" s="38">
        <f t="shared" si="2"/>
        <v>43.73098536</v>
      </c>
      <c r="D33" s="38">
        <f t="shared" si="3"/>
        <v>-24.24048101</v>
      </c>
      <c r="E33" s="38">
        <f>'演算'!U33</f>
        <v>-68.47706927</v>
      </c>
      <c r="F33" s="38">
        <f t="shared" si="4"/>
        <v>68.47706927</v>
      </c>
      <c r="G33" s="38">
        <f t="shared" si="5"/>
        <v>-158.049476</v>
      </c>
      <c r="H33" s="38">
        <f t="shared" si="6"/>
        <v>-535.8894285</v>
      </c>
      <c r="I33" s="39">
        <f t="shared" si="7"/>
        <v>558.7102258</v>
      </c>
      <c r="J33" s="38">
        <f t="shared" si="8"/>
        <v>-73.56766913</v>
      </c>
      <c r="K33" s="38" t="str">
        <f t="shared" si="9"/>
        <v/>
      </c>
      <c r="L33" s="38">
        <f t="shared" si="10"/>
        <v>1</v>
      </c>
      <c r="M33" s="38">
        <f t="shared" si="11"/>
        <v>106.4323309</v>
      </c>
      <c r="N33" s="39">
        <f t="shared" si="12"/>
        <v>56.43233087</v>
      </c>
      <c r="O33" s="39">
        <f t="shared" si="13"/>
        <v>308.9228739</v>
      </c>
      <c r="P33" s="39">
        <f t="shared" si="14"/>
        <v>-465.5360076</v>
      </c>
      <c r="Q33" s="38">
        <f t="shared" si="15"/>
        <v>524.7718243</v>
      </c>
      <c r="R33" s="38">
        <f t="shared" si="16"/>
        <v>290.8857721</v>
      </c>
      <c r="S33" s="40">
        <v>29.0</v>
      </c>
      <c r="T33" s="37">
        <f t="shared" si="17"/>
        <v>82.52293073</v>
      </c>
      <c r="U33" s="37">
        <f t="shared" si="18"/>
        <v>-68.47706927</v>
      </c>
      <c r="V33" s="37">
        <f t="shared" si="23"/>
        <v>1.56545561</v>
      </c>
      <c r="W33" s="37">
        <f>'入力・結果'!$I$7/V33</f>
        <v>206010.3128</v>
      </c>
      <c r="X33" s="39">
        <f>(W33/I33*10)*'入力・結果'!$I$8</f>
        <v>2212.348763</v>
      </c>
      <c r="Y33" s="38">
        <f>DEGREES(ACOS(('入力・結果'!$G$3-('入力・結果'!$G$4*COS(RADIANS(S33))))/((('入力・結果'!$G$3^2)+('入力・結果'!$G$4^2)-(2*'入力・結果'!$G$3*'入力・結果'!$G$4*COS(RADIANS(S33))))^(1/2))))</f>
        <v>119.5293219</v>
      </c>
      <c r="Z33" s="38">
        <f>DEGREES(ACOS((('入力・結果'!$G$3^2)+('入力・結果'!$G$4^2)-('入力・結果'!$G$5^2)+('入力・結果'!$G$6^2)-(2*'入力・結果'!$G$3*'入力・結果'!$G$4*COS(RADIANS(S33))))/(2*'入力・結果'!$G$6*(('入力・結果'!$G$3^2)+('入力・結果'!$G$4^2)-(2*'入力・結果'!$G$3*'入力・結果'!$G$4*(COS(RADIANS(S33)))))^(1/2))))</f>
        <v>90.70100255</v>
      </c>
      <c r="AA33" s="38">
        <f>DEGREES(ACOS(('入力・結果'!$G$4-('入力・結果'!$G$3*COS(RADIANS(S33))))/((('入力・結果'!$G$3^2)+('入力・結果'!$G$4^2)-(2*'入力・結果'!$G$3*'入力・結果'!$G$4*COS(RADIANS(S33))))^(1/2))))</f>
        <v>31.47067815</v>
      </c>
      <c r="AB33" s="38">
        <f>DEGREES(ACOS((('入力・結果'!$G$3^2)+('入力・結果'!$G$4^2)+('入力・結果'!$G$5^2)-('入力・結果'!$G$6^2)-(2*'入力・結果'!$G$3*'入力・結果'!$G$4*COS(RADIANS(S33))))/(2*'入力・結果'!$G$5*(('入力・結果'!$G$3^2)+('入力・結果'!$G$4^2)-(2*'入力・結果'!$G$3*'入力・結果'!$G$4*(COS(RADIANS(S33)))))^(1/2))))</f>
        <v>51.05225258</v>
      </c>
      <c r="AC33" s="37">
        <f t="shared" si="19"/>
        <v>-1087.651237</v>
      </c>
      <c r="AD33" s="37">
        <f t="shared" si="20"/>
        <v>0</v>
      </c>
      <c r="AE33" s="37" t="str">
        <f t="shared" si="21"/>
        <v/>
      </c>
      <c r="AF33" s="37" t="str">
        <f t="shared" si="22"/>
        <v/>
      </c>
      <c r="AG33" s="35"/>
      <c r="AH33" s="35"/>
      <c r="AI33" s="35"/>
      <c r="AJ33" s="35">
        <v>30.0</v>
      </c>
      <c r="AK33" s="35">
        <f t="shared" si="1"/>
        <v>0.6581769164</v>
      </c>
    </row>
    <row r="34" ht="12.75" customHeight="1">
      <c r="A34" s="35"/>
      <c r="B34" s="37">
        <v>30.0</v>
      </c>
      <c r="C34" s="38">
        <f t="shared" si="2"/>
        <v>43.30127019</v>
      </c>
      <c r="D34" s="38">
        <f t="shared" si="3"/>
        <v>-25</v>
      </c>
      <c r="E34" s="38">
        <f>'演算'!U34</f>
        <v>-66.95772094</v>
      </c>
      <c r="F34" s="38">
        <f t="shared" si="4"/>
        <v>66.95772094</v>
      </c>
      <c r="G34" s="38">
        <f t="shared" si="5"/>
        <v>-171.9743787</v>
      </c>
      <c r="H34" s="38">
        <f t="shared" si="6"/>
        <v>-531.1189534</v>
      </c>
      <c r="I34" s="39">
        <f t="shared" si="7"/>
        <v>558.2674355</v>
      </c>
      <c r="J34" s="38">
        <f t="shared" si="8"/>
        <v>-72.05823607</v>
      </c>
      <c r="K34" s="38" t="str">
        <f t="shared" si="9"/>
        <v/>
      </c>
      <c r="L34" s="38">
        <f t="shared" si="10"/>
        <v>1</v>
      </c>
      <c r="M34" s="38">
        <f t="shared" si="11"/>
        <v>107.9417639</v>
      </c>
      <c r="N34" s="39">
        <f t="shared" si="12"/>
        <v>57.94176393</v>
      </c>
      <c r="O34" s="39">
        <f t="shared" si="13"/>
        <v>296.3177231</v>
      </c>
      <c r="P34" s="39">
        <f t="shared" si="14"/>
        <v>-473.1366997</v>
      </c>
      <c r="Q34" s="38">
        <f t="shared" si="15"/>
        <v>519.6152423</v>
      </c>
      <c r="R34" s="38">
        <f t="shared" si="16"/>
        <v>300</v>
      </c>
      <c r="S34" s="40">
        <v>30.0</v>
      </c>
      <c r="T34" s="37">
        <f t="shared" si="17"/>
        <v>83.04227906</v>
      </c>
      <c r="U34" s="37">
        <f t="shared" si="18"/>
        <v>-66.95772094</v>
      </c>
      <c r="V34" s="37">
        <f t="shared" si="23"/>
        <v>1.519348332</v>
      </c>
      <c r="W34" s="37">
        <f>'入力・結果'!$I$7/V34</f>
        <v>212262.0556</v>
      </c>
      <c r="X34" s="39">
        <f>(W34/I34*10)*'入力・結果'!$I$8</f>
        <v>2281.294326</v>
      </c>
      <c r="Y34" s="38">
        <f>DEGREES(ACOS(('入力・結果'!$G$3-('入力・結果'!$G$4*COS(RADIANS(S34))))/((('入力・結果'!$G$3^2)+('入力・結果'!$G$4^2)-(2*'入力・結果'!$G$3*'入力・結果'!$G$4*COS(RADIANS(S34))))^(1/2))))</f>
        <v>118.0152463</v>
      </c>
      <c r="Z34" s="38">
        <f>DEGREES(ACOS((('入力・結果'!$G$3^2)+('入力・結果'!$G$4^2)-('入力・結果'!$G$5^2)+('入力・結果'!$G$6^2)-(2*'入力・結果'!$G$3*'入力・結果'!$G$4*COS(RADIANS(S34))))/(2*'入力・結果'!$G$6*(('入力・結果'!$G$3^2)+('入力・結果'!$G$4^2)-(2*'入力・結果'!$G$3*'入力・結果'!$G$4*(COS(RADIANS(S34)))))^(1/2))))</f>
        <v>89.94439479</v>
      </c>
      <c r="AA34" s="38">
        <f>DEGREES(ACOS(('入力・結果'!$G$4-('入力・結果'!$G$3*COS(RADIANS(S34))))/((('入力・結果'!$G$3^2)+('入力・結果'!$G$4^2)-(2*'入力・結果'!$G$3*'入力・結果'!$G$4*COS(RADIANS(S34))))^(1/2))))</f>
        <v>31.98475372</v>
      </c>
      <c r="AB34" s="38">
        <f>DEGREES(ACOS((('入力・結果'!$G$3^2)+('入力・結果'!$G$4^2)+('入力・結果'!$G$5^2)-('入力・結果'!$G$6^2)-(2*'入力・結果'!$G$3*'入力・結果'!$G$4*COS(RADIANS(S34))))/(2*'入力・結果'!$G$5*(('入力・結果'!$G$3^2)+('入力・結果'!$G$4^2)-(2*'入力・結果'!$G$3*'入力・結果'!$G$4*(COS(RADIANS(S34)))))^(1/2))))</f>
        <v>51.05752534</v>
      </c>
      <c r="AC34" s="37">
        <f t="shared" si="19"/>
        <v>-1018.705674</v>
      </c>
      <c r="AD34" s="37">
        <f t="shared" si="20"/>
        <v>0</v>
      </c>
      <c r="AE34" s="37" t="str">
        <f t="shared" si="21"/>
        <v/>
      </c>
      <c r="AF34" s="37" t="str">
        <f t="shared" si="22"/>
        <v/>
      </c>
      <c r="AG34" s="35"/>
      <c r="AH34" s="35"/>
      <c r="AI34" s="35"/>
      <c r="AJ34" s="35">
        <v>31.0</v>
      </c>
      <c r="AK34" s="35">
        <f t="shared" si="1"/>
        <v>0.6782195759</v>
      </c>
    </row>
    <row r="35" ht="12.75" customHeight="1">
      <c r="A35" s="35"/>
      <c r="B35" s="37">
        <v>31.0</v>
      </c>
      <c r="C35" s="38">
        <f t="shared" si="2"/>
        <v>42.85836504</v>
      </c>
      <c r="D35" s="38">
        <f t="shared" si="3"/>
        <v>-25.75190375</v>
      </c>
      <c r="E35" s="38">
        <f>'演算'!U35</f>
        <v>-65.4832722</v>
      </c>
      <c r="F35" s="38">
        <f t="shared" si="4"/>
        <v>65.4832722</v>
      </c>
      <c r="G35" s="38">
        <f t="shared" si="5"/>
        <v>-185.3690261</v>
      </c>
      <c r="H35" s="38">
        <f t="shared" si="6"/>
        <v>-526.1639919</v>
      </c>
      <c r="I35" s="39">
        <f t="shared" si="7"/>
        <v>557.8621892</v>
      </c>
      <c r="J35" s="38">
        <f t="shared" si="8"/>
        <v>-70.59249852</v>
      </c>
      <c r="K35" s="38" t="str">
        <f t="shared" si="9"/>
        <v/>
      </c>
      <c r="L35" s="38">
        <f t="shared" si="10"/>
        <v>1</v>
      </c>
      <c r="M35" s="38">
        <f t="shared" si="11"/>
        <v>109.4075015</v>
      </c>
      <c r="N35" s="39">
        <f t="shared" si="12"/>
        <v>59.40750148</v>
      </c>
      <c r="O35" s="39">
        <f t="shared" si="13"/>
        <v>283.912089</v>
      </c>
      <c r="P35" s="39">
        <f t="shared" si="14"/>
        <v>-480.212607</v>
      </c>
      <c r="Q35" s="38">
        <f t="shared" si="15"/>
        <v>514.3003804</v>
      </c>
      <c r="R35" s="38">
        <f t="shared" si="16"/>
        <v>309.0228449</v>
      </c>
      <c r="S35" s="40">
        <v>31.0</v>
      </c>
      <c r="T35" s="37">
        <f t="shared" si="17"/>
        <v>83.5167278</v>
      </c>
      <c r="U35" s="37">
        <f t="shared" si="18"/>
        <v>-65.4832722</v>
      </c>
      <c r="V35" s="37">
        <f t="shared" si="23"/>
        <v>1.474448741</v>
      </c>
      <c r="W35" s="37">
        <f>'入力・結果'!$I$7/V35</f>
        <v>218725.8132</v>
      </c>
      <c r="X35" s="39">
        <f>(W35/I35*10)*'入力・結果'!$I$8</f>
        <v>2352.471461</v>
      </c>
      <c r="Y35" s="38">
        <f>DEGREES(ACOS(('入力・結果'!$G$3-('入力・結果'!$G$4*COS(RADIANS(S35))))/((('入力・結果'!$G$3^2)+('入力・結果'!$G$4^2)-(2*'入力・結果'!$G$3*'入力・結果'!$G$4*COS(RADIANS(S35))))^(1/2))))</f>
        <v>116.5337393</v>
      </c>
      <c r="Z35" s="38">
        <f>DEGREES(ACOS((('入力・結果'!$G$3^2)+('入力・結果'!$G$4^2)-('入力・結果'!$G$5^2)+('入力・結果'!$G$6^2)-(2*'入力・結果'!$G$3*'入力・結果'!$G$4*COS(RADIANS(S35))))/(2*'入力・結果'!$G$6*(('入力・結果'!$G$3^2)+('入力・結果'!$G$4^2)-(2*'入力・結果'!$G$3*'入力・結果'!$G$4*(COS(RADIANS(S35)))))^(1/2))))</f>
        <v>89.18958179</v>
      </c>
      <c r="AA35" s="38">
        <f>DEGREES(ACOS(('入力・結果'!$G$4-('入力・結果'!$G$3*COS(RADIANS(S35))))/((('入力・結果'!$G$3^2)+('入力・結果'!$G$4^2)-(2*'入力・結果'!$G$3*'入力・結果'!$G$4*COS(RADIANS(S35))))^(1/2))))</f>
        <v>32.46626074</v>
      </c>
      <c r="AB35" s="38">
        <f>DEGREES(ACOS((('入力・結果'!$G$3^2)+('入力・結果'!$G$4^2)+('入力・結果'!$G$5^2)-('入力・結果'!$G$6^2)-(2*'入力・結果'!$G$3*'入力・結果'!$G$4*COS(RADIANS(S35))))/(2*'入力・結果'!$G$5*(('入力・結果'!$G$3^2)+('入力・結果'!$G$4^2)-(2*'入力・結果'!$G$3*'入力・結果'!$G$4*(COS(RADIANS(S35)))))^(1/2))))</f>
        <v>51.05046706</v>
      </c>
      <c r="AC35" s="37">
        <f t="shared" si="19"/>
        <v>-947.528539</v>
      </c>
      <c r="AD35" s="37">
        <f t="shared" si="20"/>
        <v>0</v>
      </c>
      <c r="AE35" s="37" t="str">
        <f t="shared" si="21"/>
        <v/>
      </c>
      <c r="AF35" s="37" t="str">
        <f t="shared" si="22"/>
        <v/>
      </c>
      <c r="AG35" s="35"/>
      <c r="AH35" s="35"/>
      <c r="AI35" s="35"/>
      <c r="AJ35" s="35">
        <v>32.0</v>
      </c>
      <c r="AK35" s="35">
        <f t="shared" si="1"/>
        <v>0.698910883</v>
      </c>
    </row>
    <row r="36" ht="12.75" customHeight="1">
      <c r="A36" s="35"/>
      <c r="B36" s="37">
        <v>32.0</v>
      </c>
      <c r="C36" s="38">
        <f t="shared" si="2"/>
        <v>42.40240481</v>
      </c>
      <c r="D36" s="38">
        <f t="shared" si="3"/>
        <v>-26.49596321</v>
      </c>
      <c r="E36" s="38">
        <f>'演算'!U36</f>
        <v>-64.05247462</v>
      </c>
      <c r="F36" s="38">
        <f t="shared" si="4"/>
        <v>64.05247462</v>
      </c>
      <c r="G36" s="38">
        <f t="shared" si="5"/>
        <v>-198.2488842</v>
      </c>
      <c r="H36" s="38">
        <f t="shared" si="6"/>
        <v>-521.0532977</v>
      </c>
      <c r="I36" s="39">
        <f t="shared" si="7"/>
        <v>557.4936404</v>
      </c>
      <c r="J36" s="38">
        <f t="shared" si="8"/>
        <v>-69.16932267</v>
      </c>
      <c r="K36" s="38" t="str">
        <f t="shared" si="9"/>
        <v/>
      </c>
      <c r="L36" s="38">
        <f t="shared" si="10"/>
        <v>1</v>
      </c>
      <c r="M36" s="38">
        <f t="shared" si="11"/>
        <v>110.8306773</v>
      </c>
      <c r="N36" s="39">
        <f t="shared" si="12"/>
        <v>60.83067733</v>
      </c>
      <c r="O36" s="39">
        <f t="shared" si="13"/>
        <v>271.7180569</v>
      </c>
      <c r="P36" s="39">
        <f t="shared" si="14"/>
        <v>-486.7940598</v>
      </c>
      <c r="Q36" s="38">
        <f t="shared" si="15"/>
        <v>508.8288577</v>
      </c>
      <c r="R36" s="38">
        <f t="shared" si="16"/>
        <v>317.9515585</v>
      </c>
      <c r="S36" s="40">
        <v>32.0</v>
      </c>
      <c r="T36" s="37">
        <f t="shared" si="17"/>
        <v>83.94752538</v>
      </c>
      <c r="U36" s="37">
        <f t="shared" si="18"/>
        <v>-64.05247462</v>
      </c>
      <c r="V36" s="37">
        <f t="shared" si="23"/>
        <v>1.43079758</v>
      </c>
      <c r="W36" s="37">
        <f>'入力・結果'!$I$7/V36</f>
        <v>225398.7598</v>
      </c>
      <c r="X36" s="39">
        <f>(W36/I36*10)*'入力・結果'!$I$8</f>
        <v>2425.843921</v>
      </c>
      <c r="Y36" s="38">
        <f>DEGREES(ACOS(('入力・結果'!$G$3-('入力・結果'!$G$4*COS(RADIANS(S36))))/((('入力・結果'!$G$3^2)+('入力・結果'!$G$4^2)-(2*'入力・結果'!$G$3*'入力・結果'!$G$4*COS(RADIANS(S36))))^(1/2))))</f>
        <v>115.0836633</v>
      </c>
      <c r="Z36" s="38">
        <f>DEGREES(ACOS((('入力・結果'!$G$3^2)+('入力・結果'!$G$4^2)-('入力・結果'!$G$5^2)+('入力・結果'!$G$6^2)-(2*'入力・結果'!$G$3*'入力・結果'!$G$4*COS(RADIANS(S36))))/(2*'入力・結果'!$G$6*(('入力・結果'!$G$3^2)+('入力・結果'!$G$4^2)-(2*'入力・結果'!$G$3*'入力・結果'!$G$4*(COS(RADIANS(S36)))))^(1/2))))</f>
        <v>88.43704754</v>
      </c>
      <c r="AA36" s="38">
        <f>DEGREES(ACOS(('入力・結果'!$G$4-('入力・結果'!$G$3*COS(RADIANS(S36))))/((('入力・結果'!$G$3^2)+('入力・結果'!$G$4^2)-(2*'入力・結果'!$G$3*'入力・結果'!$G$4*COS(RADIANS(S36))))^(1/2))))</f>
        <v>32.91633673</v>
      </c>
      <c r="AB36" s="38">
        <f>DEGREES(ACOS((('入力・結果'!$G$3^2)+('入力・結果'!$G$4^2)+('入力・結果'!$G$5^2)-('入力・結果'!$G$6^2)-(2*'入力・結果'!$G$3*'入力・結果'!$G$4*COS(RADIANS(S36))))/(2*'入力・結果'!$G$5*(('入力・結果'!$G$3^2)+('入力・結果'!$G$4^2)-(2*'入力・結果'!$G$3*'入力・結果'!$G$4*(COS(RADIANS(S36)))))^(1/2))))</f>
        <v>51.03118865</v>
      </c>
      <c r="AC36" s="37">
        <f t="shared" si="19"/>
        <v>-874.156079</v>
      </c>
      <c r="AD36" s="37">
        <f t="shared" si="20"/>
        <v>0</v>
      </c>
      <c r="AE36" s="37" t="str">
        <f t="shared" si="21"/>
        <v/>
      </c>
      <c r="AF36" s="37" t="str">
        <f t="shared" si="22"/>
        <v/>
      </c>
      <c r="AG36" s="35"/>
      <c r="AH36" s="35"/>
      <c r="AI36" s="35"/>
      <c r="AJ36" s="35">
        <v>33.0</v>
      </c>
      <c r="AK36" s="35">
        <f t="shared" si="1"/>
        <v>0.7202420851</v>
      </c>
    </row>
    <row r="37" ht="12.75" customHeight="1">
      <c r="A37" s="35"/>
      <c r="B37" s="37">
        <v>33.0</v>
      </c>
      <c r="C37" s="38">
        <f t="shared" si="2"/>
        <v>41.9335284</v>
      </c>
      <c r="D37" s="38">
        <f t="shared" si="3"/>
        <v>-27.23195175</v>
      </c>
      <c r="E37" s="38">
        <f>'演算'!U37</f>
        <v>-62.66405256</v>
      </c>
      <c r="F37" s="38">
        <f t="shared" si="4"/>
        <v>62.66405256</v>
      </c>
      <c r="G37" s="38">
        <f t="shared" si="5"/>
        <v>-210.6303127</v>
      </c>
      <c r="H37" s="38">
        <f t="shared" si="6"/>
        <v>-515.813067</v>
      </c>
      <c r="I37" s="39">
        <f t="shared" si="7"/>
        <v>557.1608823</v>
      </c>
      <c r="J37" s="38">
        <f t="shared" si="8"/>
        <v>-67.78753681</v>
      </c>
      <c r="K37" s="38" t="str">
        <f t="shared" si="9"/>
        <v/>
      </c>
      <c r="L37" s="38">
        <f t="shared" si="10"/>
        <v>1</v>
      </c>
      <c r="M37" s="38">
        <f t="shared" si="11"/>
        <v>112.2124632</v>
      </c>
      <c r="N37" s="39">
        <f t="shared" si="12"/>
        <v>62.21246319</v>
      </c>
      <c r="O37" s="39">
        <f t="shared" si="13"/>
        <v>259.7451785</v>
      </c>
      <c r="P37" s="39">
        <f t="shared" si="14"/>
        <v>-492.910429</v>
      </c>
      <c r="Q37" s="38">
        <f t="shared" si="15"/>
        <v>503.2023408</v>
      </c>
      <c r="R37" s="38">
        <f t="shared" si="16"/>
        <v>326.783421</v>
      </c>
      <c r="S37" s="40">
        <v>33.0</v>
      </c>
      <c r="T37" s="37">
        <f t="shared" si="17"/>
        <v>84.33594744</v>
      </c>
      <c r="U37" s="37">
        <f t="shared" si="18"/>
        <v>-62.66405256</v>
      </c>
      <c r="V37" s="37">
        <f t="shared" si="23"/>
        <v>1.388422061</v>
      </c>
      <c r="W37" s="37">
        <f>'入力・結果'!$I$7/V37</f>
        <v>232278.0724</v>
      </c>
      <c r="X37" s="39">
        <f>(W37/I37*10)*'入力・結果'!$I$8</f>
        <v>2501.375238</v>
      </c>
      <c r="Y37" s="38">
        <f>DEGREES(ACOS(('入力・結果'!$G$3-('入力・結果'!$G$4*COS(RADIANS(S37))))/((('入力・結果'!$G$3^2)+('入力・結果'!$G$4^2)-(2*'入力・結果'!$G$3*'入力・結果'!$G$4*COS(RADIANS(S37))))^(1/2))))</f>
        <v>113.6638925</v>
      </c>
      <c r="Z37" s="38">
        <f>DEGREES(ACOS((('入力・結果'!$G$3^2)+('入力・結果'!$G$4^2)-('入力・結果'!$G$5^2)+('入力・結果'!$G$6^2)-(2*'入力・結果'!$G$3*'入力・結果'!$G$4*COS(RADIANS(S37))))/(2*'入力・結果'!$G$6*(('入力・結果'!$G$3^2)+('入力・結果'!$G$4^2)-(2*'入力・結果'!$G$3*'入力・結果'!$G$4*(COS(RADIANS(S37)))))^(1/2))))</f>
        <v>87.68720014</v>
      </c>
      <c r="AA37" s="38">
        <f>DEGREES(ACOS(('入力・結果'!$G$4-('入力・結果'!$G$3*COS(RADIANS(S37))))/((('入力・結果'!$G$3^2)+('入力・結果'!$G$4^2)-(2*'入力・結果'!$G$3*'入力・結果'!$G$4*COS(RADIANS(S37))))^(1/2))))</f>
        <v>33.33610748</v>
      </c>
      <c r="AB37" s="38">
        <f>DEGREES(ACOS((('入力・結果'!$G$3^2)+('入力・結果'!$G$4^2)+('入力・結果'!$G$5^2)-('入力・結果'!$G$6^2)-(2*'入力・結果'!$G$3*'入力・結果'!$G$4*COS(RADIANS(S37))))/(2*'入力・結果'!$G$5*(('入力・結果'!$G$3^2)+('入力・結果'!$G$4^2)-(2*'入力・結果'!$G$3*'入力・結果'!$G$4*(COS(RADIANS(S37)))))^(1/2))))</f>
        <v>50.99983997</v>
      </c>
      <c r="AC37" s="37">
        <f t="shared" si="19"/>
        <v>-798.6247616</v>
      </c>
      <c r="AD37" s="37">
        <f t="shared" si="20"/>
        <v>0</v>
      </c>
      <c r="AE37" s="37" t="str">
        <f t="shared" si="21"/>
        <v/>
      </c>
      <c r="AF37" s="37" t="str">
        <f t="shared" si="22"/>
        <v/>
      </c>
      <c r="AG37" s="35"/>
      <c r="AH37" s="35"/>
      <c r="AI37" s="35"/>
      <c r="AJ37" s="35">
        <v>34.0</v>
      </c>
      <c r="AK37" s="35">
        <f t="shared" si="1"/>
        <v>0.7422044272</v>
      </c>
    </row>
    <row r="38" ht="12.75" customHeight="1">
      <c r="A38" s="35"/>
      <c r="B38" s="37">
        <v>34.0</v>
      </c>
      <c r="C38" s="38">
        <f t="shared" si="2"/>
        <v>41.45187863</v>
      </c>
      <c r="D38" s="38">
        <f t="shared" si="3"/>
        <v>-27.95964517</v>
      </c>
      <c r="E38" s="38">
        <f>'演算'!U38</f>
        <v>-61.31671486</v>
      </c>
      <c r="F38" s="38">
        <f t="shared" si="4"/>
        <v>61.31671486</v>
      </c>
      <c r="G38" s="38">
        <f t="shared" si="5"/>
        <v>-222.5302946</v>
      </c>
      <c r="H38" s="38">
        <f t="shared" si="6"/>
        <v>-510.4670671</v>
      </c>
      <c r="I38" s="39">
        <f t="shared" si="7"/>
        <v>556.8629621</v>
      </c>
      <c r="J38" s="38">
        <f t="shared" si="8"/>
        <v>-66.44594342</v>
      </c>
      <c r="K38" s="38" t="str">
        <f t="shared" si="9"/>
        <v/>
      </c>
      <c r="L38" s="38">
        <f t="shared" si="10"/>
        <v>1</v>
      </c>
      <c r="M38" s="38">
        <f t="shared" si="11"/>
        <v>113.5540566</v>
      </c>
      <c r="N38" s="39">
        <f t="shared" si="12"/>
        <v>63.55405658</v>
      </c>
      <c r="O38" s="39">
        <f t="shared" si="13"/>
        <v>248.000744</v>
      </c>
      <c r="P38" s="39">
        <f t="shared" si="14"/>
        <v>-498.5900015</v>
      </c>
      <c r="Q38" s="38">
        <f t="shared" si="15"/>
        <v>497.4225435</v>
      </c>
      <c r="R38" s="38">
        <f t="shared" si="16"/>
        <v>335.5157421</v>
      </c>
      <c r="S38" s="40">
        <v>34.0</v>
      </c>
      <c r="T38" s="37">
        <f t="shared" si="17"/>
        <v>84.68328514</v>
      </c>
      <c r="U38" s="37">
        <f t="shared" si="18"/>
        <v>-61.31671486</v>
      </c>
      <c r="V38" s="37">
        <f t="shared" si="23"/>
        <v>1.347337692</v>
      </c>
      <c r="W38" s="37">
        <f>'入力・結果'!$I$7/V38</f>
        <v>239360.9278</v>
      </c>
      <c r="X38" s="39">
        <f>(W38/I38*10)*'入力・結果'!$I$8</f>
        <v>2579.028709</v>
      </c>
      <c r="Y38" s="38">
        <f>DEGREES(ACOS(('入力・結果'!$G$3-('入力・結果'!$G$4*COS(RADIANS(S38))))/((('入力・結果'!$G$3^2)+('入力・結果'!$G$4^2)-(2*'入力・結果'!$G$3*'入力・結果'!$G$4*COS(RADIANS(S38))))^(1/2))))</f>
        <v>112.2733183</v>
      </c>
      <c r="Z38" s="38">
        <f>DEGREES(ACOS((('入力・結果'!$G$3^2)+('入力・結果'!$G$4^2)-('入力・結果'!$G$5^2)+('入力・結果'!$G$6^2)-(2*'入力・結果'!$G$3*'入力・結果'!$G$4*COS(RADIANS(S38))))/(2*'入力・結果'!$G$6*(('入力・結果'!$G$3^2)+('入力・結果'!$G$4^2)-(2*'入力・結果'!$G$3*'入力・結果'!$G$4*(COS(RADIANS(S38)))))^(1/2))))</f>
        <v>86.94038024</v>
      </c>
      <c r="AA38" s="38">
        <f>DEGREES(ACOS(('入力・結果'!$G$4-('入力・結果'!$G$3*COS(RADIANS(S38))))/((('入力・結果'!$G$3^2)+('入力・結果'!$G$4^2)-(2*'入力・結果'!$G$3*'入力・結果'!$G$4*COS(RADIANS(S38))))^(1/2))))</f>
        <v>33.72668171</v>
      </c>
      <c r="AB38" s="38">
        <f>DEGREES(ACOS((('入力・結果'!$G$3^2)+('入力・結果'!$G$4^2)+('入力・結果'!$G$5^2)-('入力・結果'!$G$6^2)-(2*'入力・結果'!$G$3*'入力・結果'!$G$4*COS(RADIANS(S38))))/(2*'入力・結果'!$G$5*(('入力・結果'!$G$3^2)+('入力・結果'!$G$4^2)-(2*'入力・結果'!$G$3*'入力・結果'!$G$4*(COS(RADIANS(S38)))))^(1/2))))</f>
        <v>50.95660342</v>
      </c>
      <c r="AC38" s="37">
        <f t="shared" si="19"/>
        <v>-720.9712906</v>
      </c>
      <c r="AD38" s="37">
        <f t="shared" si="20"/>
        <v>0</v>
      </c>
      <c r="AE38" s="37" t="str">
        <f t="shared" si="21"/>
        <v/>
      </c>
      <c r="AF38" s="37" t="str">
        <f t="shared" si="22"/>
        <v/>
      </c>
      <c r="AG38" s="35"/>
      <c r="AH38" s="35"/>
      <c r="AI38" s="35"/>
      <c r="AJ38" s="35">
        <v>35.0</v>
      </c>
      <c r="AK38" s="35">
        <f t="shared" si="1"/>
        <v>0.7647891401</v>
      </c>
    </row>
    <row r="39" ht="12.75" customHeight="1">
      <c r="A39" s="35"/>
      <c r="B39" s="37">
        <v>35.0</v>
      </c>
      <c r="C39" s="38">
        <f t="shared" si="2"/>
        <v>40.95760221</v>
      </c>
      <c r="D39" s="38">
        <f t="shared" si="3"/>
        <v>-28.67882182</v>
      </c>
      <c r="E39" s="38">
        <f>'演算'!U39</f>
        <v>-60.00916492</v>
      </c>
      <c r="F39" s="38">
        <f t="shared" si="4"/>
        <v>60.00916492</v>
      </c>
      <c r="G39" s="38">
        <f t="shared" si="5"/>
        <v>-233.9662041</v>
      </c>
      <c r="H39" s="38">
        <f t="shared" si="6"/>
        <v>-505.0367762</v>
      </c>
      <c r="I39" s="39">
        <f t="shared" si="7"/>
        <v>556.5988951</v>
      </c>
      <c r="J39" s="38">
        <f t="shared" si="8"/>
        <v>-65.14332963</v>
      </c>
      <c r="K39" s="38" t="str">
        <f t="shared" si="9"/>
        <v/>
      </c>
      <c r="L39" s="38">
        <f t="shared" si="10"/>
        <v>1</v>
      </c>
      <c r="M39" s="38">
        <f t="shared" si="11"/>
        <v>114.8566704</v>
      </c>
      <c r="N39" s="39">
        <f t="shared" si="12"/>
        <v>64.85667037</v>
      </c>
      <c r="O39" s="39">
        <f t="shared" si="13"/>
        <v>236.490039</v>
      </c>
      <c r="P39" s="39">
        <f t="shared" si="14"/>
        <v>-503.8598927</v>
      </c>
      <c r="Q39" s="38">
        <f t="shared" si="15"/>
        <v>491.4912266</v>
      </c>
      <c r="R39" s="38">
        <f t="shared" si="16"/>
        <v>344.1458618</v>
      </c>
      <c r="S39" s="40">
        <v>35.0</v>
      </c>
      <c r="T39" s="37">
        <f t="shared" si="17"/>
        <v>84.99083508</v>
      </c>
      <c r="U39" s="37">
        <f t="shared" si="18"/>
        <v>-60.00916492</v>
      </c>
      <c r="V39" s="37">
        <f t="shared" si="23"/>
        <v>1.307549948</v>
      </c>
      <c r="W39" s="37">
        <f>'入力・結果'!$I$7/V39</f>
        <v>246644.4977</v>
      </c>
      <c r="X39" s="39">
        <f>(W39/I39*10)*'入力・結果'!$I$8</f>
        <v>2658.76738</v>
      </c>
      <c r="Y39" s="38">
        <f>DEGREES(ACOS(('入力・結果'!$G$3-('入力・結果'!$G$4*COS(RADIANS(S39))))/((('入力・結果'!$G$3^2)+('入力・結果'!$G$4^2)-(2*'入力・結果'!$G$3*'入力・結果'!$G$4*COS(RADIANS(S39))))^(1/2))))</f>
        <v>110.9108532</v>
      </c>
      <c r="Z39" s="38">
        <f>DEGREES(ACOS((('入力・結果'!$G$3^2)+('入力・結果'!$G$4^2)-('入力・結果'!$G$5^2)+('入力・結果'!$G$6^2)-(2*'入力・結果'!$G$3*'入力・結果'!$G$4*COS(RADIANS(S39))))/(2*'入力・結果'!$G$6*(('入力・結果'!$G$3^2)+('入力・結果'!$G$4^2)-(2*'入力・結果'!$G$3*'入力・結果'!$G$4*(COS(RADIANS(S39)))))^(1/2))))</f>
        <v>86.19686885</v>
      </c>
      <c r="AA39" s="38">
        <f>DEGREES(ACOS(('入力・結果'!$G$4-('入力・結果'!$G$3*COS(RADIANS(S39))))/((('入力・結果'!$G$3^2)+('入力・結果'!$G$4^2)-(2*'入力・結果'!$G$3*'入力・結果'!$G$4*COS(RADIANS(S39))))^(1/2))))</f>
        <v>34.08914678</v>
      </c>
      <c r="AB39" s="38">
        <f>DEGREES(ACOS((('入力・結果'!$G$3^2)+('入力・結果'!$G$4^2)+('入力・結果'!$G$5^2)-('入力・結果'!$G$6^2)-(2*'入力・結果'!$G$3*'入力・結果'!$G$4*COS(RADIANS(S39))))/(2*'入力・結果'!$G$5*(('入力・結果'!$G$3^2)+('入力・結果'!$G$4^2)-(2*'入力・結果'!$G$3*'入力・結果'!$G$4*(COS(RADIANS(S39)))))^(1/2))))</f>
        <v>50.90168831</v>
      </c>
      <c r="AC39" s="37">
        <f t="shared" si="19"/>
        <v>-641.2326198</v>
      </c>
      <c r="AD39" s="37">
        <f t="shared" si="20"/>
        <v>0</v>
      </c>
      <c r="AE39" s="37" t="str">
        <f t="shared" si="21"/>
        <v/>
      </c>
      <c r="AF39" s="37" t="str">
        <f t="shared" si="22"/>
        <v/>
      </c>
      <c r="AG39" s="35"/>
      <c r="AH39" s="35"/>
      <c r="AI39" s="35"/>
      <c r="AJ39" s="35">
        <v>36.0</v>
      </c>
      <c r="AK39" s="35">
        <f t="shared" si="1"/>
        <v>0.7879874294</v>
      </c>
    </row>
    <row r="40" ht="12.75" customHeight="1">
      <c r="A40" s="35"/>
      <c r="B40" s="37">
        <v>36.0</v>
      </c>
      <c r="C40" s="38">
        <f t="shared" si="2"/>
        <v>40.45084972</v>
      </c>
      <c r="D40" s="38">
        <f t="shared" si="3"/>
        <v>-29.38926261</v>
      </c>
      <c r="E40" s="38">
        <f>'演算'!U40</f>
        <v>-58.74010914</v>
      </c>
      <c r="F40" s="38">
        <f t="shared" si="4"/>
        <v>58.74010914</v>
      </c>
      <c r="G40" s="38">
        <f t="shared" si="5"/>
        <v>-244.955608</v>
      </c>
      <c r="H40" s="38">
        <f t="shared" si="6"/>
        <v>-499.5415293</v>
      </c>
      <c r="I40" s="39">
        <f t="shared" si="7"/>
        <v>556.3676747</v>
      </c>
      <c r="J40" s="38">
        <f t="shared" si="8"/>
        <v>-63.87847626</v>
      </c>
      <c r="K40" s="38" t="str">
        <f t="shared" si="9"/>
        <v/>
      </c>
      <c r="L40" s="38">
        <f t="shared" si="10"/>
        <v>1</v>
      </c>
      <c r="M40" s="38">
        <f t="shared" si="11"/>
        <v>116.1215237</v>
      </c>
      <c r="N40" s="39">
        <f t="shared" si="12"/>
        <v>66.12152374</v>
      </c>
      <c r="O40" s="39">
        <f t="shared" si="13"/>
        <v>225.2165829</v>
      </c>
      <c r="P40" s="39">
        <f t="shared" si="14"/>
        <v>-508.7459879</v>
      </c>
      <c r="Q40" s="38">
        <f t="shared" si="15"/>
        <v>485.4101966</v>
      </c>
      <c r="R40" s="38">
        <f t="shared" si="16"/>
        <v>352.6711514</v>
      </c>
      <c r="S40" s="40">
        <v>36.0</v>
      </c>
      <c r="T40" s="37">
        <f t="shared" si="17"/>
        <v>85.25989086</v>
      </c>
      <c r="U40" s="37">
        <f t="shared" si="18"/>
        <v>-58.74010914</v>
      </c>
      <c r="V40" s="37">
        <f t="shared" si="23"/>
        <v>1.269055778</v>
      </c>
      <c r="W40" s="37">
        <f>'入力・結果'!$I$7/V40</f>
        <v>254125.946</v>
      </c>
      <c r="X40" s="39">
        <f>(W40/I40*10)*'入力・結果'!$I$8</f>
        <v>2740.554035</v>
      </c>
      <c r="Y40" s="38">
        <f>DEGREES(ACOS(('入力・結果'!$G$3-('入力・結果'!$G$4*COS(RADIANS(S40))))/((('入力・結果'!$G$3^2)+('入力・結果'!$G$4^2)-(2*'入力・結果'!$G$3*'入力・結果'!$G$4*COS(RADIANS(S40))))^(1/2))))</f>
        <v>109.5754348</v>
      </c>
      <c r="Z40" s="38">
        <f>DEGREES(ACOS((('入力・結果'!$G$3^2)+('入力・結果'!$G$4^2)-('入力・結果'!$G$5^2)+('入力・結果'!$G$6^2)-(2*'入力・結果'!$G$3*'入力・結果'!$G$4*COS(RADIANS(S40))))/(2*'入力・結果'!$G$6*(('入力・結果'!$G$3^2)+('入力・結果'!$G$4^2)-(2*'入力・結果'!$G$3*'入力・結果'!$G$4*(COS(RADIANS(S40)))))^(1/2))))</f>
        <v>85.45689442</v>
      </c>
      <c r="AA40" s="38">
        <f>DEGREES(ACOS(('入力・結果'!$G$4-('入力・結果'!$G$3*COS(RADIANS(S40))))/((('入力・結果'!$G$3^2)+('入力・結果'!$G$4^2)-(2*'入力・結果'!$G$3*'入力・結果'!$G$4*COS(RADIANS(S40))))^(1/2))))</f>
        <v>34.42456517</v>
      </c>
      <c r="AB40" s="38">
        <f>DEGREES(ACOS((('入力・結果'!$G$3^2)+('入力・結果'!$G$4^2)+('入力・結果'!$G$5^2)-('入力・結果'!$G$6^2)-(2*'入力・結果'!$G$3*'入力・結果'!$G$4*COS(RADIANS(S40))))/(2*'入力・結果'!$G$5*(('入力・結果'!$G$3^2)+('入力・結果'!$G$4^2)-(2*'入力・結果'!$G$3*'入力・結果'!$G$4*(COS(RADIANS(S40)))))^(1/2))))</f>
        <v>50.83532569</v>
      </c>
      <c r="AC40" s="37">
        <f t="shared" si="19"/>
        <v>-559.4459647</v>
      </c>
      <c r="AD40" s="37">
        <f t="shared" si="20"/>
        <v>0</v>
      </c>
      <c r="AE40" s="37" t="str">
        <f t="shared" si="21"/>
        <v/>
      </c>
      <c r="AF40" s="37" t="str">
        <f t="shared" si="22"/>
        <v/>
      </c>
      <c r="AG40" s="35"/>
      <c r="AH40" s="35"/>
      <c r="AI40" s="35"/>
      <c r="AJ40" s="35">
        <v>37.0</v>
      </c>
      <c r="AK40" s="35">
        <f t="shared" si="1"/>
        <v>0.8117904651</v>
      </c>
    </row>
    <row r="41" ht="12.75" customHeight="1">
      <c r="A41" s="35"/>
      <c r="B41" s="37">
        <v>37.0</v>
      </c>
      <c r="C41" s="38">
        <f t="shared" si="2"/>
        <v>39.9317755</v>
      </c>
      <c r="D41" s="38">
        <f t="shared" si="3"/>
        <v>-30.09075116</v>
      </c>
      <c r="E41" s="38">
        <f>'演算'!U41</f>
        <v>-57.50826417</v>
      </c>
      <c r="F41" s="38">
        <f t="shared" si="4"/>
        <v>57.50826417</v>
      </c>
      <c r="G41" s="38">
        <f t="shared" si="5"/>
        <v>-255.5160995</v>
      </c>
      <c r="H41" s="38">
        <f t="shared" si="6"/>
        <v>-493.9986657</v>
      </c>
      <c r="I41" s="39">
        <f t="shared" si="7"/>
        <v>556.1682828</v>
      </c>
      <c r="J41" s="38">
        <f t="shared" si="8"/>
        <v>-62.65016555</v>
      </c>
      <c r="K41" s="38" t="str">
        <f t="shared" si="9"/>
        <v/>
      </c>
      <c r="L41" s="38">
        <f t="shared" si="10"/>
        <v>1</v>
      </c>
      <c r="M41" s="38">
        <f t="shared" si="11"/>
        <v>117.3498344</v>
      </c>
      <c r="N41" s="39">
        <f t="shared" si="12"/>
        <v>67.34983445</v>
      </c>
      <c r="O41" s="39">
        <f t="shared" si="13"/>
        <v>214.1823499</v>
      </c>
      <c r="P41" s="39">
        <f t="shared" si="14"/>
        <v>-513.2729096</v>
      </c>
      <c r="Q41" s="38">
        <f t="shared" si="15"/>
        <v>479.181306</v>
      </c>
      <c r="R41" s="38">
        <f t="shared" si="16"/>
        <v>361.0890139</v>
      </c>
      <c r="S41" s="40">
        <v>37.0</v>
      </c>
      <c r="T41" s="37">
        <f t="shared" si="17"/>
        <v>85.49173583</v>
      </c>
      <c r="U41" s="37">
        <f t="shared" si="18"/>
        <v>-57.50826417</v>
      </c>
      <c r="V41" s="37">
        <f t="shared" si="23"/>
        <v>1.231844969</v>
      </c>
      <c r="W41" s="37">
        <f>'入力・結果'!$I$7/V41</f>
        <v>261802.425</v>
      </c>
      <c r="X41" s="39">
        <f>(W41/I41*10)*'入力・結果'!$I$8</f>
        <v>2824.351187</v>
      </c>
      <c r="Y41" s="38">
        <f>DEGREES(ACOS(('入力・結果'!$G$3-('入力・結果'!$G$4*COS(RADIANS(S41))))/((('入力・結果'!$G$3^2)+('入力・結果'!$G$4^2)-(2*'入力・結果'!$G$3*'入力・結果'!$G$4*COS(RADIANS(S41))))^(1/2))))</f>
        <v>108.2660281</v>
      </c>
      <c r="Z41" s="38">
        <f>DEGREES(ACOS((('入力・結果'!$G$3^2)+('入力・結果'!$G$4^2)-('入力・結果'!$G$5^2)+('入力・結果'!$G$6^2)-(2*'入力・結果'!$G$3*'入力・結果'!$G$4*COS(RADIANS(S41))))/(2*'入力・結果'!$G$6*(('入力・結果'!$G$3^2)+('入力・結果'!$G$4^2)-(2*'入力・結果'!$G$3*'入力・結果'!$G$4*(COS(RADIANS(S41)))))^(1/2))))</f>
        <v>84.72063918</v>
      </c>
      <c r="AA41" s="38">
        <f>DEGREES(ACOS(('入力・結果'!$G$4-('入力・結果'!$G$3*COS(RADIANS(S41))))/((('入力・結果'!$G$3^2)+('入力・結果'!$G$4^2)-(2*'入力・結果'!$G$3*'入力・結果'!$G$4*COS(RADIANS(S41))))^(1/2))))</f>
        <v>34.7339719</v>
      </c>
      <c r="AB41" s="38">
        <f>DEGREES(ACOS((('入力・結果'!$G$3^2)+('入力・結果'!$G$4^2)+('入力・結果'!$G$5^2)-('入力・結果'!$G$6^2)-(2*'入力・結果'!$G$3*'入力・結果'!$G$4*COS(RADIANS(S41))))/(2*'入力・結果'!$G$5*(('入力・結果'!$G$3^2)+('入力・結果'!$G$4^2)-(2*'入力・結果'!$G$3*'入力・結果'!$G$4*(COS(RADIANS(S41)))))^(1/2))))</f>
        <v>50.75776393</v>
      </c>
      <c r="AC41" s="37">
        <f t="shared" si="19"/>
        <v>-475.6488127</v>
      </c>
      <c r="AD41" s="37">
        <f t="shared" si="20"/>
        <v>0</v>
      </c>
      <c r="AE41" s="37" t="str">
        <f t="shared" si="21"/>
        <v/>
      </c>
      <c r="AF41" s="37" t="str">
        <f t="shared" si="22"/>
        <v/>
      </c>
      <c r="AG41" s="35"/>
      <c r="AH41" s="35"/>
      <c r="AI41" s="35"/>
      <c r="AJ41" s="35">
        <v>38.0</v>
      </c>
      <c r="AK41" s="35">
        <f t="shared" si="1"/>
        <v>0.8361893718</v>
      </c>
    </row>
    <row r="42" ht="12.75" customHeight="1">
      <c r="A42" s="35"/>
      <c r="B42" s="37">
        <v>38.0</v>
      </c>
      <c r="C42" s="38">
        <f t="shared" si="2"/>
        <v>39.40053768</v>
      </c>
      <c r="D42" s="38">
        <f t="shared" si="3"/>
        <v>-30.78307377</v>
      </c>
      <c r="E42" s="38">
        <f>'演算'!U42</f>
        <v>-56.31236282</v>
      </c>
      <c r="F42" s="38">
        <f t="shared" si="4"/>
        <v>56.31236282</v>
      </c>
      <c r="G42" s="38">
        <f t="shared" si="5"/>
        <v>-265.6651585</v>
      </c>
      <c r="H42" s="38">
        <f t="shared" si="6"/>
        <v>-488.4236762</v>
      </c>
      <c r="I42" s="39">
        <f t="shared" si="7"/>
        <v>555.9996978</v>
      </c>
      <c r="J42" s="38">
        <f t="shared" si="8"/>
        <v>-61.45718768</v>
      </c>
      <c r="K42" s="38" t="str">
        <f t="shared" si="9"/>
        <v/>
      </c>
      <c r="L42" s="38">
        <f t="shared" si="10"/>
        <v>1</v>
      </c>
      <c r="M42" s="38">
        <f t="shared" si="11"/>
        <v>118.5428123</v>
      </c>
      <c r="N42" s="39">
        <f t="shared" si="12"/>
        <v>68.54281232</v>
      </c>
      <c r="O42" s="39">
        <f t="shared" si="13"/>
        <v>203.3879708</v>
      </c>
      <c r="P42" s="39">
        <f t="shared" si="14"/>
        <v>-517.4640058</v>
      </c>
      <c r="Q42" s="38">
        <f t="shared" si="15"/>
        <v>472.8064522</v>
      </c>
      <c r="R42" s="38">
        <f t="shared" si="16"/>
        <v>369.3968852</v>
      </c>
      <c r="S42" s="40">
        <v>38.0</v>
      </c>
      <c r="T42" s="37">
        <f t="shared" si="17"/>
        <v>85.68763718</v>
      </c>
      <c r="U42" s="37">
        <f t="shared" si="18"/>
        <v>-56.31236282</v>
      </c>
      <c r="V42" s="37">
        <f t="shared" si="23"/>
        <v>1.195901352</v>
      </c>
      <c r="W42" s="37">
        <f>'入力・結果'!$I$7/V42</f>
        <v>269671.0724</v>
      </c>
      <c r="X42" s="39">
        <f>(W42/I42*10)*'入力・結果'!$I$8</f>
        <v>2910.121068</v>
      </c>
      <c r="Y42" s="38">
        <f>DEGREES(ACOS(('入力・結果'!$G$3-('入力・結果'!$G$4*COS(RADIANS(S42))))/((('入力・結果'!$G$3^2)+('入力・結果'!$G$4^2)-(2*'入力・結果'!$G$3*'入力・結果'!$G$4*COS(RADIANS(S42))))^(1/2))))</f>
        <v>106.9816276</v>
      </c>
      <c r="Z42" s="38">
        <f>DEGREES(ACOS((('入力・結果'!$G$3^2)+('入力・結果'!$G$4^2)-('入力・結果'!$G$5^2)+('入力・結果'!$G$6^2)-(2*'入力・結果'!$G$3*'入力・結果'!$G$4*COS(RADIANS(S42))))/(2*'入力・結果'!$G$6*(('入力・結果'!$G$3^2)+('入力・結果'!$G$4^2)-(2*'入力・結果'!$G$3*'入力・結果'!$G$4*(COS(RADIANS(S42)))))^(1/2))))</f>
        <v>83.98824496</v>
      </c>
      <c r="AA42" s="38">
        <f>DEGREES(ACOS(('入力・結果'!$G$4-('入力・結果'!$G$3*COS(RADIANS(S42))))/((('入力・結果'!$G$3^2)+('入力・結果'!$G$4^2)-(2*'入力・結果'!$G$3*'入力・結果'!$G$4*COS(RADIANS(S42))))^(1/2))))</f>
        <v>35.01837238</v>
      </c>
      <c r="AB42" s="38">
        <f>DEGREES(ACOS((('入力・結果'!$G$3^2)+('入力・結果'!$G$4^2)+('入力・結果'!$G$5^2)-('入力・結果'!$G$6^2)-(2*'入力・結果'!$G$3*'入力・結果'!$G$4*COS(RADIANS(S42))))/(2*'入力・結果'!$G$5*(('入力・結果'!$G$3^2)+('入力・結果'!$G$4^2)-(2*'入力・結果'!$G$3*'入力・結果'!$G$4*(COS(RADIANS(S42)))))^(1/2))))</f>
        <v>50.6692648</v>
      </c>
      <c r="AC42" s="37">
        <f t="shared" si="19"/>
        <v>-389.8789318</v>
      </c>
      <c r="AD42" s="37">
        <f t="shared" si="20"/>
        <v>0</v>
      </c>
      <c r="AE42" s="37" t="str">
        <f t="shared" si="21"/>
        <v/>
      </c>
      <c r="AF42" s="37" t="str">
        <f t="shared" si="22"/>
        <v/>
      </c>
      <c r="AG42" s="35"/>
      <c r="AH42" s="35"/>
      <c r="AI42" s="35"/>
      <c r="AJ42" s="35">
        <v>39.0</v>
      </c>
      <c r="AK42" s="35">
        <f t="shared" si="1"/>
        <v>0.8611752206</v>
      </c>
    </row>
    <row r="43" ht="12.75" customHeight="1">
      <c r="A43" s="35"/>
      <c r="B43" s="37">
        <v>39.0</v>
      </c>
      <c r="C43" s="38">
        <f t="shared" si="2"/>
        <v>38.85729807</v>
      </c>
      <c r="D43" s="38">
        <f t="shared" si="3"/>
        <v>-31.46601955</v>
      </c>
      <c r="E43" s="38">
        <f>'演算'!U43</f>
        <v>-55.15115895</v>
      </c>
      <c r="F43" s="38">
        <f t="shared" si="4"/>
        <v>55.15115895</v>
      </c>
      <c r="G43" s="38">
        <f t="shared" si="5"/>
        <v>-275.420038</v>
      </c>
      <c r="H43" s="38">
        <f t="shared" si="6"/>
        <v>-482.8303469</v>
      </c>
      <c r="I43" s="39">
        <f t="shared" si="7"/>
        <v>555.860901</v>
      </c>
      <c r="J43" s="38">
        <f t="shared" si="8"/>
        <v>-60.29834625</v>
      </c>
      <c r="K43" s="38" t="str">
        <f t="shared" si="9"/>
        <v/>
      </c>
      <c r="L43" s="38">
        <f t="shared" si="10"/>
        <v>1</v>
      </c>
      <c r="M43" s="38">
        <f t="shared" si="11"/>
        <v>119.7016537</v>
      </c>
      <c r="N43" s="39">
        <f t="shared" si="12"/>
        <v>69.70165375</v>
      </c>
      <c r="O43" s="39">
        <f t="shared" si="13"/>
        <v>192.8329163</v>
      </c>
      <c r="P43" s="39">
        <f t="shared" si="14"/>
        <v>-521.3413542</v>
      </c>
      <c r="Q43" s="38">
        <f t="shared" si="15"/>
        <v>466.2875769</v>
      </c>
      <c r="R43" s="38">
        <f t="shared" si="16"/>
        <v>377.5922346</v>
      </c>
      <c r="S43" s="40">
        <v>39.0</v>
      </c>
      <c r="T43" s="37">
        <f t="shared" si="17"/>
        <v>85.84884105</v>
      </c>
      <c r="U43" s="37">
        <f t="shared" si="18"/>
        <v>-55.15115895</v>
      </c>
      <c r="V43" s="37">
        <f t="shared" si="23"/>
        <v>1.161203871</v>
      </c>
      <c r="W43" s="37">
        <f>'入力・結果'!$I$7/V43</f>
        <v>277729.0086</v>
      </c>
      <c r="X43" s="39">
        <f>(W43/I43*10)*'入力・結果'!$I$8</f>
        <v>2997.825623</v>
      </c>
      <c r="Y43" s="38">
        <f>DEGREES(ACOS(('入力・結果'!$G$3-('入力・結果'!$G$4*COS(RADIANS(S43))))/((('入力・結果'!$G$3^2)+('入力・結果'!$G$4^2)-(2*'入力・結果'!$G$3*'入力・結果'!$G$4*COS(RADIANS(S43))))^(1/2))))</f>
        <v>105.7212589</v>
      </c>
      <c r="Z43" s="38">
        <f>DEGREES(ACOS((('入力・結果'!$G$3^2)+('入力・結果'!$G$4^2)-('入力・結果'!$G$5^2)+('入力・結果'!$G$6^2)-(2*'入力・結果'!$G$3*'入力・結果'!$G$4*COS(RADIANS(S43))))/(2*'入力・結果'!$G$6*(('入力・結果'!$G$3^2)+('入力・結果'!$G$4^2)-(2*'入力・結果'!$G$3*'入力・結果'!$G$4*(COS(RADIANS(S43)))))^(1/2))))</f>
        <v>83.25981833</v>
      </c>
      <c r="AA43" s="38">
        <f>DEGREES(ACOS(('入力・結果'!$G$4-('入力・結果'!$G$3*COS(RADIANS(S43))))/((('入力・結果'!$G$3^2)+('入力・結果'!$G$4^2)-(2*'入力・結果'!$G$3*'入力・結果'!$G$4*COS(RADIANS(S43))))^(1/2))))</f>
        <v>35.27874106</v>
      </c>
      <c r="AB43" s="38">
        <f>DEGREES(ACOS((('入力・結果'!$G$3^2)+('入力・結果'!$G$4^2)+('入力・結果'!$G$5^2)-('入力・結果'!$G$6^2)-(2*'入力・結果'!$G$3*'入力・結果'!$G$4*COS(RADIANS(S43))))/(2*'入力・結果'!$G$5*(('入力・結果'!$G$3^2)+('入力・結果'!$G$4^2)-(2*'入力・結果'!$G$3*'入力・結果'!$G$4*(COS(RADIANS(S43)))))^(1/2))))</f>
        <v>50.57009999</v>
      </c>
      <c r="AC43" s="37">
        <f t="shared" si="19"/>
        <v>-302.1743768</v>
      </c>
      <c r="AD43" s="37">
        <f t="shared" si="20"/>
        <v>0</v>
      </c>
      <c r="AE43" s="37" t="str">
        <f t="shared" si="21"/>
        <v/>
      </c>
      <c r="AF43" s="37" t="str">
        <f t="shared" si="22"/>
        <v/>
      </c>
      <c r="AG43" s="35"/>
      <c r="AH43" s="35"/>
      <c r="AI43" s="35"/>
      <c r="AJ43" s="35">
        <v>40.0</v>
      </c>
      <c r="AK43" s="35">
        <f t="shared" si="1"/>
        <v>0.886739021</v>
      </c>
    </row>
    <row r="44" ht="12.75" customHeight="1">
      <c r="A44" s="35"/>
      <c r="B44" s="37">
        <v>40.0</v>
      </c>
      <c r="C44" s="38">
        <f t="shared" si="2"/>
        <v>38.30222216</v>
      </c>
      <c r="D44" s="38">
        <f t="shared" si="3"/>
        <v>-32.13938048</v>
      </c>
      <c r="E44" s="38">
        <f>'演算'!U44</f>
        <v>-54.02343142</v>
      </c>
      <c r="F44" s="38">
        <f t="shared" si="4"/>
        <v>54.02343142</v>
      </c>
      <c r="G44" s="38">
        <f t="shared" si="5"/>
        <v>-284.797671</v>
      </c>
      <c r="H44" s="38">
        <f t="shared" si="6"/>
        <v>-477.2308981</v>
      </c>
      <c r="I44" s="39">
        <f t="shared" si="7"/>
        <v>555.7508826</v>
      </c>
      <c r="J44" s="38">
        <f t="shared" si="8"/>
        <v>-59.17246282</v>
      </c>
      <c r="K44" s="38" t="str">
        <f t="shared" si="9"/>
        <v/>
      </c>
      <c r="L44" s="38">
        <f t="shared" si="10"/>
        <v>1</v>
      </c>
      <c r="M44" s="38">
        <f t="shared" si="11"/>
        <v>120.8275372</v>
      </c>
      <c r="N44" s="39">
        <f t="shared" si="12"/>
        <v>70.82753718</v>
      </c>
      <c r="O44" s="39">
        <f t="shared" si="13"/>
        <v>182.5156634</v>
      </c>
      <c r="P44" s="39">
        <f t="shared" si="14"/>
        <v>-524.9257815</v>
      </c>
      <c r="Q44" s="38">
        <f t="shared" si="15"/>
        <v>459.6266659</v>
      </c>
      <c r="R44" s="38">
        <f t="shared" si="16"/>
        <v>385.6725658</v>
      </c>
      <c r="S44" s="40">
        <v>40.0</v>
      </c>
      <c r="T44" s="37">
        <f t="shared" si="17"/>
        <v>85.97656858</v>
      </c>
      <c r="U44" s="37">
        <f t="shared" si="18"/>
        <v>-54.02343142</v>
      </c>
      <c r="V44" s="37">
        <f t="shared" si="23"/>
        <v>1.127727523</v>
      </c>
      <c r="W44" s="37">
        <f>'入力・結果'!$I$7/V44</f>
        <v>285973.3343</v>
      </c>
      <c r="X44" s="39">
        <f>(W44/I44*10)*'入力・結果'!$I$8</f>
        <v>3087.426506</v>
      </c>
      <c r="Y44" s="38">
        <f>DEGREES(ACOS(('入力・結果'!$G$3-('入力・結果'!$G$4*COS(RADIANS(S44))))/((('入力・結果'!$G$3^2)+('入力・結果'!$G$4^2)-(2*'入力・結果'!$G$3*'入力・結果'!$G$4*COS(RADIANS(S44))))^(1/2))))</f>
        <v>104.4839796</v>
      </c>
      <c r="Z44" s="38">
        <f>DEGREES(ACOS((('入力・結果'!$G$3^2)+('入力・結果'!$G$4^2)-('入力・結果'!$G$5^2)+('入力・結果'!$G$6^2)-(2*'入力・結果'!$G$3*'入力・結果'!$G$4*COS(RADIANS(S44))))/(2*'入力・結果'!$G$6*(('入力・結果'!$G$3^2)+('入力・結果'!$G$4^2)-(2*'入力・結果'!$G$3*'入力・結果'!$G$4*(COS(RADIANS(S44)))))^(1/2))))</f>
        <v>82.53543523</v>
      </c>
      <c r="AA44" s="38">
        <f>DEGREES(ACOS(('入力・結果'!$G$4-('入力・結果'!$G$3*COS(RADIANS(S44))))/((('入力・結果'!$G$3^2)+('入力・結果'!$G$4^2)-(2*'入力・結果'!$G$3*'入力・結果'!$G$4*COS(RADIANS(S44))))^(1/2))))</f>
        <v>35.51602038</v>
      </c>
      <c r="AB44" s="38">
        <f>DEGREES(ACOS((('入力・結果'!$G$3^2)+('入力・結果'!$G$4^2)+('入力・結果'!$G$5^2)-('入力・結果'!$G$6^2)-(2*'入力・結果'!$G$3*'入力・結果'!$G$4*COS(RADIANS(S44))))/(2*'入力・結果'!$G$5*(('入力・結果'!$G$3^2)+('入力・結果'!$G$4^2)-(2*'入力・結果'!$G$3*'入力・結果'!$G$4*(COS(RADIANS(S44)))))^(1/2))))</f>
        <v>50.4605482</v>
      </c>
      <c r="AC44" s="37">
        <f t="shared" si="19"/>
        <v>-212.5734939</v>
      </c>
      <c r="AD44" s="37">
        <f t="shared" si="20"/>
        <v>0</v>
      </c>
      <c r="AE44" s="37" t="str">
        <f t="shared" si="21"/>
        <v/>
      </c>
      <c r="AF44" s="37" t="str">
        <f t="shared" si="22"/>
        <v/>
      </c>
      <c r="AG44" s="35"/>
      <c r="AH44" s="35"/>
      <c r="AI44" s="35"/>
      <c r="AJ44" s="35">
        <v>41.0</v>
      </c>
      <c r="AK44" s="35">
        <f t="shared" si="1"/>
        <v>0.912871714</v>
      </c>
    </row>
    <row r="45" ht="12.75" customHeight="1">
      <c r="A45" s="35"/>
      <c r="B45" s="37">
        <v>41.0</v>
      </c>
      <c r="C45" s="38">
        <f t="shared" si="2"/>
        <v>37.73547901</v>
      </c>
      <c r="D45" s="38">
        <f t="shared" si="3"/>
        <v>-32.80295145</v>
      </c>
      <c r="E45" s="38">
        <f>'演算'!U45</f>
        <v>-52.92798725</v>
      </c>
      <c r="F45" s="38">
        <f t="shared" si="4"/>
        <v>52.92798725</v>
      </c>
      <c r="G45" s="38">
        <f t="shared" si="5"/>
        <v>-293.8145971</v>
      </c>
      <c r="H45" s="38">
        <f t="shared" si="6"/>
        <v>-471.6361168</v>
      </c>
      <c r="I45" s="39">
        <f t="shared" si="7"/>
        <v>555.668646</v>
      </c>
      <c r="J45" s="38">
        <f t="shared" si="8"/>
        <v>-58.07838061</v>
      </c>
      <c r="K45" s="38" t="str">
        <f t="shared" si="9"/>
        <v/>
      </c>
      <c r="L45" s="38">
        <f t="shared" si="10"/>
        <v>1</v>
      </c>
      <c r="M45" s="38">
        <f t="shared" si="11"/>
        <v>121.9216194</v>
      </c>
      <c r="N45" s="39">
        <f t="shared" si="12"/>
        <v>71.92161939</v>
      </c>
      <c r="O45" s="39">
        <f t="shared" si="13"/>
        <v>172.4338439</v>
      </c>
      <c r="P45" s="39">
        <f t="shared" si="14"/>
        <v>-528.2368916</v>
      </c>
      <c r="Q45" s="38">
        <f t="shared" si="15"/>
        <v>452.8257481</v>
      </c>
      <c r="R45" s="38">
        <f t="shared" si="16"/>
        <v>393.6354174</v>
      </c>
      <c r="S45" s="40">
        <v>41.0</v>
      </c>
      <c r="T45" s="37">
        <f t="shared" si="17"/>
        <v>86.07201275</v>
      </c>
      <c r="U45" s="37">
        <f t="shared" si="18"/>
        <v>-52.92798725</v>
      </c>
      <c r="V45" s="37">
        <f t="shared" si="23"/>
        <v>1.095444173</v>
      </c>
      <c r="W45" s="37">
        <f>'入力・結果'!$I$7/V45</f>
        <v>294401.1278</v>
      </c>
      <c r="X45" s="39">
        <f>(W45/I45*10)*'入力・結果'!$I$8</f>
        <v>3178.885077</v>
      </c>
      <c r="Y45" s="38">
        <f>DEGREES(ACOS(('入力・結果'!$G$3-('入力・結果'!$G$4*COS(RADIANS(S45))))/((('入力・結果'!$G$3^2)+('入力・結果'!$G$4^2)-(2*'入力・結果'!$G$3*'入力・結果'!$G$4*COS(RADIANS(S45))))^(1/2))))</f>
        <v>103.2688798</v>
      </c>
      <c r="Z45" s="38">
        <f>DEGREES(ACOS((('入力・結果'!$G$3^2)+('入力・結果'!$G$4^2)-('入力・結果'!$G$5^2)+('入力・結果'!$G$6^2)-(2*'入力・結果'!$G$3*'入力・結果'!$G$4*COS(RADIANS(S45))))/(2*'入力・結果'!$G$6*(('入力・結果'!$G$3^2)+('入力・結果'!$G$4^2)-(2*'入力・結果'!$G$3*'入力・結果'!$G$4*(COS(RADIANS(S45)))))^(1/2))))</f>
        <v>81.81514509</v>
      </c>
      <c r="AA45" s="38">
        <f>DEGREES(ACOS(('入力・結果'!$G$4-('入力・結果'!$G$3*COS(RADIANS(S45))))/((('入力・結果'!$G$3^2)+('入力・結果'!$G$4^2)-(2*'入力・結果'!$G$3*'入力・結果'!$G$4*COS(RADIANS(S45))))^(1/2))))</f>
        <v>35.7311202</v>
      </c>
      <c r="AB45" s="38">
        <f>DEGREES(ACOS((('入力・結果'!$G$3^2)+('入力・結果'!$G$4^2)+('入力・結果'!$G$5^2)-('入力・結果'!$G$6^2)-(2*'入力・結果'!$G$3*'入力・結果'!$G$4*COS(RADIANS(S45))))/(2*'入力・結果'!$G$5*(('入力・結果'!$G$3^2)+('入力・結果'!$G$4^2)-(2*'入力・結果'!$G$3*'入力・結果'!$G$4*(COS(RADIANS(S45)))))^(1/2))))</f>
        <v>50.34089255</v>
      </c>
      <c r="AC45" s="37">
        <f t="shared" si="19"/>
        <v>-121.114923</v>
      </c>
      <c r="AD45" s="37">
        <f t="shared" si="20"/>
        <v>0</v>
      </c>
      <c r="AE45" s="37" t="str">
        <f t="shared" si="21"/>
        <v/>
      </c>
      <c r="AF45" s="37" t="str">
        <f t="shared" si="22"/>
        <v/>
      </c>
      <c r="AG45" s="35"/>
      <c r="AH45" s="35"/>
      <c r="AI45" s="35"/>
      <c r="AJ45" s="35">
        <v>42.0</v>
      </c>
      <c r="AK45" s="35">
        <f t="shared" si="1"/>
        <v>0.9395641657</v>
      </c>
    </row>
    <row r="46" ht="12.75" customHeight="1">
      <c r="A46" s="35"/>
      <c r="B46" s="37">
        <v>42.0</v>
      </c>
      <c r="C46" s="38">
        <f t="shared" si="2"/>
        <v>37.15724127</v>
      </c>
      <c r="D46" s="38">
        <f t="shared" si="3"/>
        <v>-33.45653032</v>
      </c>
      <c r="E46" s="38">
        <f>'演算'!U46</f>
        <v>-51.86366399</v>
      </c>
      <c r="F46" s="38">
        <f t="shared" si="4"/>
        <v>51.86366399</v>
      </c>
      <c r="G46" s="38">
        <f t="shared" si="5"/>
        <v>-302.4869053</v>
      </c>
      <c r="H46" s="38">
        <f t="shared" si="6"/>
        <v>-466.0554828</v>
      </c>
      <c r="I46" s="39">
        <f t="shared" si="7"/>
        <v>555.6132116</v>
      </c>
      <c r="J46" s="38">
        <f t="shared" si="8"/>
        <v>-57.01496748</v>
      </c>
      <c r="K46" s="38" t="str">
        <f t="shared" si="9"/>
        <v/>
      </c>
      <c r="L46" s="38">
        <f t="shared" si="10"/>
        <v>1</v>
      </c>
      <c r="M46" s="38">
        <f t="shared" si="11"/>
        <v>122.9850325</v>
      </c>
      <c r="N46" s="39">
        <f t="shared" si="12"/>
        <v>72.98503252</v>
      </c>
      <c r="O46" s="39">
        <f t="shared" si="13"/>
        <v>162.584378</v>
      </c>
      <c r="P46" s="39">
        <f t="shared" si="14"/>
        <v>-531.2931027</v>
      </c>
      <c r="Q46" s="38">
        <f t="shared" si="15"/>
        <v>445.8868953</v>
      </c>
      <c r="R46" s="38">
        <f t="shared" si="16"/>
        <v>401.4783638</v>
      </c>
      <c r="S46" s="40">
        <v>42.0</v>
      </c>
      <c r="T46" s="37">
        <f t="shared" si="17"/>
        <v>86.13633601</v>
      </c>
      <c r="U46" s="37">
        <f t="shared" si="18"/>
        <v>-51.86366399</v>
      </c>
      <c r="V46" s="37">
        <f t="shared" si="23"/>
        <v>1.064323264</v>
      </c>
      <c r="W46" s="37">
        <f>'入力・結果'!$I$7/V46</f>
        <v>303009.4434</v>
      </c>
      <c r="X46" s="39">
        <f>(W46/I46*10)*'入力・結果'!$I$8</f>
        <v>3272.162401</v>
      </c>
      <c r="Y46" s="38">
        <f>DEGREES(ACOS(('入力・結果'!$G$3-('入力・結果'!$G$4*COS(RADIANS(S46))))/((('入力・結果'!$G$3^2)+('入力・結果'!$G$4^2)-(2*'入力・結果'!$G$3*'入力・結果'!$G$4*COS(RADIANS(S46))))^(1/2))))</f>
        <v>102.0750824</v>
      </c>
      <c r="Z46" s="38">
        <f>DEGREES(ACOS((('入力・結果'!$G$3^2)+('入力・結果'!$G$4^2)-('入力・結果'!$G$5^2)+('入力・結果'!$G$6^2)-(2*'入力・結果'!$G$3*'入力・結果'!$G$4*COS(RADIANS(S46))))/(2*'入力・結果'!$G$6*(('入力・結果'!$G$3^2)+('入力・結果'!$G$4^2)-(2*'入力・結果'!$G$3*'入力・結果'!$G$4*(COS(RADIANS(S46)))))^(1/2))))</f>
        <v>81.09897448</v>
      </c>
      <c r="AA46" s="38">
        <f>DEGREES(ACOS(('入力・結果'!$G$4-('入力・結果'!$G$3*COS(RADIANS(S46))))/((('入力・結果'!$G$3^2)+('入力・結果'!$G$4^2)-(2*'入力・結果'!$G$3*'入力・結果'!$G$4*COS(RADIANS(S46))))^(1/2))))</f>
        <v>35.9249176</v>
      </c>
      <c r="AB46" s="38">
        <f>DEGREES(ACOS((('入力・結果'!$G$3^2)+('入力・結果'!$G$4^2)+('入力・結果'!$G$5^2)-('入力・結果'!$G$6^2)-(2*'入力・結果'!$G$3*'入力・結果'!$G$4*COS(RADIANS(S46))))/(2*'入力・結果'!$G$5*(('入力・結果'!$G$3^2)+('入力・結果'!$G$4^2)-(2*'入力・結果'!$G$3*'入力・結果'!$G$4*(COS(RADIANS(S46)))))^(1/2))))</f>
        <v>50.21141841</v>
      </c>
      <c r="AC46" s="37">
        <f t="shared" si="19"/>
        <v>-27.83759882</v>
      </c>
      <c r="AD46" s="37">
        <f t="shared" si="20"/>
        <v>0</v>
      </c>
      <c r="AE46" s="37" t="str">
        <f t="shared" si="21"/>
        <v/>
      </c>
      <c r="AF46" s="37" t="str">
        <f t="shared" si="22"/>
        <v/>
      </c>
      <c r="AG46" s="35"/>
      <c r="AH46" s="35"/>
      <c r="AI46" s="35"/>
      <c r="AJ46" s="35">
        <v>43.0</v>
      </c>
      <c r="AK46" s="35">
        <f t="shared" si="1"/>
        <v>0.9668071624</v>
      </c>
    </row>
    <row r="47" ht="12.75" customHeight="1">
      <c r="A47" s="35"/>
      <c r="B47" s="37">
        <v>43.0</v>
      </c>
      <c r="C47" s="38">
        <f t="shared" si="2"/>
        <v>36.56768508</v>
      </c>
      <c r="D47" s="38">
        <f t="shared" si="3"/>
        <v>-34.099918</v>
      </c>
      <c r="E47" s="38">
        <f>'演算'!U47</f>
        <v>-50.82933156</v>
      </c>
      <c r="F47" s="38">
        <f t="shared" si="4"/>
        <v>50.82933156</v>
      </c>
      <c r="G47" s="38">
        <f t="shared" si="5"/>
        <v>-310.8301903</v>
      </c>
      <c r="H47" s="38">
        <f t="shared" si="6"/>
        <v>-460.4972868</v>
      </c>
      <c r="I47" s="39">
        <f t="shared" si="7"/>
        <v>555.5836196</v>
      </c>
      <c r="J47" s="38">
        <f t="shared" si="8"/>
        <v>-55.98111827</v>
      </c>
      <c r="K47" s="38" t="str">
        <f t="shared" si="9"/>
        <v/>
      </c>
      <c r="L47" s="38">
        <f t="shared" si="10"/>
        <v>1</v>
      </c>
      <c r="M47" s="38">
        <f t="shared" si="11"/>
        <v>124.0188817</v>
      </c>
      <c r="N47" s="39">
        <f t="shared" si="12"/>
        <v>74.01888173</v>
      </c>
      <c r="O47" s="39">
        <f t="shared" si="13"/>
        <v>152.9635926</v>
      </c>
      <c r="P47" s="39">
        <f t="shared" si="14"/>
        <v>-534.1116903</v>
      </c>
      <c r="Q47" s="38">
        <f t="shared" si="15"/>
        <v>438.812221</v>
      </c>
      <c r="R47" s="38">
        <f t="shared" si="16"/>
        <v>409.199016</v>
      </c>
      <c r="S47" s="40">
        <v>43.0</v>
      </c>
      <c r="T47" s="37">
        <f t="shared" si="17"/>
        <v>86.17066844</v>
      </c>
      <c r="U47" s="37">
        <f t="shared" si="18"/>
        <v>-50.82933156</v>
      </c>
      <c r="V47" s="37">
        <f t="shared" si="23"/>
        <v>1.034332428</v>
      </c>
      <c r="W47" s="37">
        <f>'入力・結果'!$I$7/V47</f>
        <v>311795.3099</v>
      </c>
      <c r="X47" s="39">
        <f>(W47/I47*10)*'入力・結果'!$I$8</f>
        <v>3367.219251</v>
      </c>
      <c r="Y47" s="38">
        <f>DEGREES(ACOS(('入力・結果'!$G$3-('入力・結果'!$G$4*COS(RADIANS(S47))))/((('入力・結果'!$G$3^2)+('入力・結果'!$G$4^2)-(2*'入力・結果'!$G$3*'入力・結果'!$G$4*COS(RADIANS(S47))))^(1/2))))</f>
        <v>100.9017431</v>
      </c>
      <c r="Z47" s="38">
        <f>DEGREES(ACOS((('入力・結果'!$G$3^2)+('入力・結果'!$G$4^2)-('入力・結果'!$G$5^2)+('入力・結果'!$G$6^2)-(2*'入力・結果'!$G$3*'入力・結果'!$G$4*COS(RADIANS(S47))))/(2*'入力・結果'!$G$6*(('入力・結果'!$G$3^2)+('入力・結果'!$G$4^2)-(2*'入力・結果'!$G$3*'入力・結果'!$G$4*(COS(RADIANS(S47)))))^(1/2))))</f>
        <v>80.38693035</v>
      </c>
      <c r="AA47" s="38">
        <f>DEGREES(ACOS(('入力・結果'!$G$4-('入力・結果'!$G$3*COS(RADIANS(S47))))/((('入力・結果'!$G$3^2)+('入力・結果'!$G$4^2)-(2*'入力・結果'!$G$3*'入力・結果'!$G$4*COS(RADIANS(S47))))^(1/2))))</f>
        <v>36.09825689</v>
      </c>
      <c r="AB47" s="38">
        <f>DEGREES(ACOS((('入力・結果'!$G$3^2)+('入力・結果'!$G$4^2)+('入力・結果'!$G$5^2)-('入力・結果'!$G$6^2)-(2*'入力・結果'!$G$3*'入力・結果'!$G$4*COS(RADIANS(S47))))/(2*'入力・結果'!$G$5*(('入力・結果'!$G$3^2)+('入力・結果'!$G$4^2)-(2*'入力・結果'!$G$3*'入力・結果'!$G$4*(COS(RADIANS(S47)))))^(1/2))))</f>
        <v>50.07241155</v>
      </c>
      <c r="AC47" s="37">
        <f t="shared" si="19"/>
        <v>67.21925052</v>
      </c>
      <c r="AD47" s="37">
        <f t="shared" si="20"/>
        <v>67.21925052</v>
      </c>
      <c r="AE47" s="37" t="str">
        <f t="shared" si="21"/>
        <v>a</v>
      </c>
      <c r="AF47" s="37" t="str">
        <f t="shared" si="22"/>
        <v/>
      </c>
      <c r="AG47" s="35"/>
      <c r="AH47" s="35"/>
      <c r="AI47" s="35"/>
      <c r="AJ47" s="35">
        <v>44.0</v>
      </c>
      <c r="AK47" s="35">
        <f t="shared" si="1"/>
        <v>0.9945914054</v>
      </c>
    </row>
    <row r="48" ht="12.75" customHeight="1">
      <c r="A48" s="35"/>
      <c r="B48" s="37">
        <v>44.0</v>
      </c>
      <c r="C48" s="38">
        <f t="shared" si="2"/>
        <v>35.96699002</v>
      </c>
      <c r="D48" s="38">
        <f t="shared" si="3"/>
        <v>-34.73291852</v>
      </c>
      <c r="E48" s="38">
        <f>'演算'!U48</f>
        <v>-49.82389355</v>
      </c>
      <c r="F48" s="38">
        <f t="shared" si="4"/>
        <v>49.82389355</v>
      </c>
      <c r="G48" s="38">
        <f t="shared" si="5"/>
        <v>-318.8595219</v>
      </c>
      <c r="H48" s="38">
        <f t="shared" si="6"/>
        <v>-454.968741</v>
      </c>
      <c r="I48" s="39">
        <f t="shared" si="7"/>
        <v>555.5789322</v>
      </c>
      <c r="J48" s="38">
        <f t="shared" si="8"/>
        <v>-54.97575665</v>
      </c>
      <c r="K48" s="38" t="str">
        <f t="shared" si="9"/>
        <v/>
      </c>
      <c r="L48" s="38">
        <f t="shared" si="10"/>
        <v>1</v>
      </c>
      <c r="M48" s="38">
        <f t="shared" si="11"/>
        <v>125.0242434</v>
      </c>
      <c r="N48" s="39">
        <f t="shared" si="12"/>
        <v>75.02424335</v>
      </c>
      <c r="O48" s="39">
        <f t="shared" si="13"/>
        <v>143.5673259</v>
      </c>
      <c r="P48" s="39">
        <f t="shared" si="14"/>
        <v>-536.7088343</v>
      </c>
      <c r="Q48" s="38">
        <f t="shared" si="15"/>
        <v>431.6038802</v>
      </c>
      <c r="R48" s="38">
        <f t="shared" si="16"/>
        <v>416.7950223</v>
      </c>
      <c r="S48" s="40">
        <v>44.0</v>
      </c>
      <c r="T48" s="37">
        <f t="shared" si="17"/>
        <v>86.17610645</v>
      </c>
      <c r="U48" s="37">
        <f t="shared" si="18"/>
        <v>-49.82389355</v>
      </c>
      <c r="V48" s="37">
        <f t="shared" si="23"/>
        <v>1.005438007</v>
      </c>
      <c r="W48" s="37">
        <f>'入力・結果'!$I$7/V48</f>
        <v>320755.7282</v>
      </c>
      <c r="X48" s="39">
        <f>(W48/I48*10)*'入力・結果'!$I$8</f>
        <v>3464.016106</v>
      </c>
      <c r="Y48" s="38">
        <f>DEGREES(ACOS(('入力・結果'!$G$3-('入力・結果'!$G$4*COS(RADIANS(S48))))/((('入力・結果'!$G$3^2)+('入力・結果'!$G$4^2)-(2*'入力・結果'!$G$3*'入力・結果'!$G$4*COS(RADIANS(S48))))^(1/2))))</f>
        <v>99.7480501</v>
      </c>
      <c r="Z48" s="38">
        <f>DEGREES(ACOS((('入力・結果'!$G$3^2)+('入力・結果'!$G$4^2)-('入力・結果'!$G$5^2)+('入力・結果'!$G$6^2)-(2*'入力・結果'!$G$3*'入力・結果'!$G$4*COS(RADIANS(S48))))/(2*'入力・結果'!$G$6*(('入力・結果'!$G$3^2)+('入力・結果'!$G$4^2)-(2*'入力・結果'!$G$3*'入力・結果'!$G$4*(COS(RADIANS(S48)))))^(1/2))))</f>
        <v>79.67900286</v>
      </c>
      <c r="AA48" s="38">
        <f>DEGREES(ACOS(('入力・結果'!$G$4-('入力・結果'!$G$3*COS(RADIANS(S48))))/((('入力・結果'!$G$3^2)+('入力・結果'!$G$4^2)-(2*'入力・結果'!$G$3*'入力・結果'!$G$4*COS(RADIANS(S48))))^(1/2))))</f>
        <v>36.2519499</v>
      </c>
      <c r="AB48" s="38">
        <f>DEGREES(ACOS((('入力・結果'!$G$3^2)+('入力・結果'!$G$4^2)+('入力・結果'!$G$5^2)-('入力・結果'!$G$6^2)-(2*'入力・結果'!$G$3*'入力・結果'!$G$4*COS(RADIANS(S48))))/(2*'入力・結果'!$G$5*(('入力・結果'!$G$3^2)+('入力・結果'!$G$4^2)-(2*'入力・結果'!$G$3*'入力・結果'!$G$4*(COS(RADIANS(S48)))))^(1/2))))</f>
        <v>49.92415655</v>
      </c>
      <c r="AC48" s="37">
        <f t="shared" si="19"/>
        <v>164.016106</v>
      </c>
      <c r="AD48" s="37">
        <f t="shared" si="20"/>
        <v>164.016106</v>
      </c>
      <c r="AE48" s="37" t="str">
        <f t="shared" si="21"/>
        <v/>
      </c>
      <c r="AF48" s="37" t="str">
        <f t="shared" si="22"/>
        <v/>
      </c>
      <c r="AG48" s="35"/>
      <c r="AH48" s="35"/>
      <c r="AI48" s="35"/>
      <c r="AJ48" s="35">
        <v>45.0</v>
      </c>
      <c r="AK48" s="35">
        <f t="shared" si="1"/>
        <v>1.022907507</v>
      </c>
    </row>
    <row r="49" ht="12.75" customHeight="1">
      <c r="A49" s="35"/>
      <c r="B49" s="37">
        <v>45.0</v>
      </c>
      <c r="C49" s="38">
        <f t="shared" si="2"/>
        <v>35.35533906</v>
      </c>
      <c r="D49" s="38">
        <f t="shared" si="3"/>
        <v>-35.35533906</v>
      </c>
      <c r="E49" s="38">
        <f>'演算'!U49</f>
        <v>-48.84628806</v>
      </c>
      <c r="F49" s="38">
        <f t="shared" si="4"/>
        <v>48.84628806</v>
      </c>
      <c r="G49" s="38">
        <f t="shared" si="5"/>
        <v>-326.5894227</v>
      </c>
      <c r="H49" s="38">
        <f t="shared" si="6"/>
        <v>-449.4760816</v>
      </c>
      <c r="I49" s="39">
        <f t="shared" si="7"/>
        <v>555.5982352</v>
      </c>
      <c r="J49" s="38">
        <f t="shared" si="8"/>
        <v>-53.99783633</v>
      </c>
      <c r="K49" s="38" t="str">
        <f t="shared" si="9"/>
        <v/>
      </c>
      <c r="L49" s="38">
        <f t="shared" si="10"/>
        <v>1</v>
      </c>
      <c r="M49" s="38">
        <f t="shared" si="11"/>
        <v>126.0021637</v>
      </c>
      <c r="N49" s="39">
        <f t="shared" si="12"/>
        <v>76.00216367</v>
      </c>
      <c r="O49" s="39">
        <f t="shared" si="13"/>
        <v>134.3910203</v>
      </c>
      <c r="P49" s="39">
        <f t="shared" si="14"/>
        <v>-539.0996686</v>
      </c>
      <c r="Q49" s="38">
        <f t="shared" si="15"/>
        <v>424.2640687</v>
      </c>
      <c r="R49" s="38">
        <f t="shared" si="16"/>
        <v>424.2640687</v>
      </c>
      <c r="S49" s="40">
        <v>45.0</v>
      </c>
      <c r="T49" s="37">
        <f t="shared" si="17"/>
        <v>86.15371194</v>
      </c>
      <c r="U49" s="37">
        <f t="shared" si="18"/>
        <v>-48.84628806</v>
      </c>
      <c r="V49" s="37">
        <f t="shared" si="23"/>
        <v>0.9776054954</v>
      </c>
      <c r="W49" s="37">
        <f>'入力・結果'!$I$7/V49</f>
        <v>329887.671</v>
      </c>
      <c r="X49" s="39">
        <f>(W49/I49*10)*'入力・結果'!$I$8</f>
        <v>3562.513162</v>
      </c>
      <c r="Y49" s="38">
        <f>DEGREES(ACOS(('入力・結果'!$G$3-('入力・結果'!$G$4*COS(RADIANS(S49))))/((('入力・結果'!$G$3^2)+('入力・結果'!$G$4^2)-(2*'入力・結果'!$G$3*'入力・結果'!$G$4*COS(RADIANS(S49))))^(1/2))))</f>
        <v>98.61322356</v>
      </c>
      <c r="Z49" s="38">
        <f>DEGREES(ACOS((('入力・結果'!$G$3^2)+('入力・結果'!$G$4^2)-('入力・結果'!$G$5^2)+('入力・結果'!$G$6^2)-(2*'入力・結果'!$G$3*'入力・結果'!$G$4*COS(RADIANS(S49))))/(2*'入力・結果'!$G$6*(('入力・結果'!$G$3^2)+('入力・結果'!$G$4^2)-(2*'入力・結果'!$G$3*'入力・結果'!$G$4*(COS(RADIANS(S49)))))^(1/2))))</f>
        <v>78.97516796</v>
      </c>
      <c r="AA49" s="38">
        <f>DEGREES(ACOS(('入力・結果'!$G$4-('入力・結果'!$G$3*COS(RADIANS(S49))))/((('入力・結果'!$G$3^2)+('入力・結果'!$G$4^2)-(2*'入力・結果'!$G$3*'入力・結果'!$G$4*COS(RADIANS(S49))))^(1/2))))</f>
        <v>36.38677644</v>
      </c>
      <c r="AB49" s="38">
        <f>DEGREES(ACOS((('入力・結果'!$G$3^2)+('入力・結果'!$G$4^2)+('入力・結果'!$G$5^2)-('入力・結果'!$G$6^2)-(2*'入力・結果'!$G$3*'入力・結果'!$G$4*COS(RADIANS(S49))))/(2*'入力・結果'!$G$5*(('入力・結果'!$G$3^2)+('入力・結果'!$G$4^2)-(2*'入力・結果'!$G$3*'入力・結果'!$G$4*(COS(RADIANS(S49)))))^(1/2))))</f>
        <v>49.7669355</v>
      </c>
      <c r="AC49" s="37">
        <f t="shared" si="19"/>
        <v>262.5131622</v>
      </c>
      <c r="AD49" s="37">
        <f t="shared" si="20"/>
        <v>262.5131622</v>
      </c>
      <c r="AE49" s="37" t="str">
        <f t="shared" si="21"/>
        <v/>
      </c>
      <c r="AF49" s="37" t="str">
        <f t="shared" si="22"/>
        <v/>
      </c>
      <c r="AG49" s="35"/>
      <c r="AH49" s="35"/>
      <c r="AI49" s="35"/>
      <c r="AJ49" s="35">
        <v>46.0</v>
      </c>
      <c r="AK49" s="35">
        <f t="shared" si="1"/>
        <v>1.051745987</v>
      </c>
    </row>
    <row r="50" ht="12.75" customHeight="1">
      <c r="A50" s="35"/>
      <c r="B50" s="37">
        <v>46.0</v>
      </c>
      <c r="C50" s="38">
        <f t="shared" si="2"/>
        <v>34.73291852</v>
      </c>
      <c r="D50" s="38">
        <f t="shared" si="3"/>
        <v>-35.96699002</v>
      </c>
      <c r="E50" s="38">
        <f>'演算'!U50</f>
        <v>-47.89548814</v>
      </c>
      <c r="F50" s="38">
        <f t="shared" si="4"/>
        <v>47.89548814</v>
      </c>
      <c r="G50" s="38">
        <f t="shared" si="5"/>
        <v>-334.0338563</v>
      </c>
      <c r="H50" s="38">
        <f t="shared" si="6"/>
        <v>-444.0246646</v>
      </c>
      <c r="I50" s="39">
        <f t="shared" si="7"/>
        <v>555.6406392</v>
      </c>
      <c r="J50" s="38">
        <f t="shared" si="8"/>
        <v>-53.04634211</v>
      </c>
      <c r="K50" s="38" t="str">
        <f t="shared" si="9"/>
        <v/>
      </c>
      <c r="L50" s="38">
        <f t="shared" si="10"/>
        <v>1</v>
      </c>
      <c r="M50" s="38">
        <f t="shared" si="11"/>
        <v>126.9536579</v>
      </c>
      <c r="N50" s="39">
        <f t="shared" si="12"/>
        <v>76.95365789</v>
      </c>
      <c r="O50" s="39">
        <f t="shared" si="13"/>
        <v>125.4298029</v>
      </c>
      <c r="P50" s="39">
        <f t="shared" si="14"/>
        <v>-541.2983322</v>
      </c>
      <c r="Q50" s="38">
        <f t="shared" si="15"/>
        <v>416.7950223</v>
      </c>
      <c r="R50" s="38">
        <f t="shared" si="16"/>
        <v>431.6038802</v>
      </c>
      <c r="S50" s="40">
        <v>46.0</v>
      </c>
      <c r="T50" s="37">
        <f t="shared" si="17"/>
        <v>86.10451186</v>
      </c>
      <c r="U50" s="37">
        <f t="shared" si="18"/>
        <v>-47.89548814</v>
      </c>
      <c r="V50" s="37">
        <f t="shared" si="23"/>
        <v>0.9507999198</v>
      </c>
      <c r="W50" s="37">
        <f>'入力・結果'!$I$7/V50</f>
        <v>339188.0808</v>
      </c>
      <c r="X50" s="39">
        <f>(W50/I50*10)*'入力・結果'!$I$8</f>
        <v>3662.670333</v>
      </c>
      <c r="Y50" s="38">
        <f>DEGREES(ACOS(('入力・結果'!$G$3-('入力・結果'!$G$4*COS(RADIANS(S50))))/((('入力・結果'!$G$3^2)+('入力・結果'!$G$4^2)-(2*'入力・結果'!$G$3*'入力・結果'!$G$4*COS(RADIANS(S50))))^(1/2))))</f>
        <v>97.49651506</v>
      </c>
      <c r="Z50" s="38">
        <f>DEGREES(ACOS((('入力・結果'!$G$3^2)+('入力・結果'!$G$4^2)-('入力・結果'!$G$5^2)+('入力・結果'!$G$6^2)-(2*'入力・結果'!$G$3*'入力・結果'!$G$4*COS(RADIANS(S50))))/(2*'入力・結果'!$G$6*(('入力・結果'!$G$3^2)+('入力・結果'!$G$4^2)-(2*'入力・結果'!$G$3*'入力・結果'!$G$4*(COS(RADIANS(S50)))))^(1/2))))</f>
        <v>78.27538953</v>
      </c>
      <c r="AA50" s="38">
        <f>DEGREES(ACOS(('入力・結果'!$G$4-('入力・結果'!$G$3*COS(RADIANS(S50))))/((('入力・結果'!$G$3^2)+('入力・結果'!$G$4^2)-(2*'入力・結果'!$G$3*'入力・結果'!$G$4*COS(RADIANS(S50))))^(1/2))))</f>
        <v>36.50348494</v>
      </c>
      <c r="AB50" s="38">
        <f>DEGREES(ACOS((('入力・結果'!$G$3^2)+('入力・結果'!$G$4^2)+('入力・結果'!$G$5^2)-('入力・結果'!$G$6^2)-(2*'入力・結果'!$G$3*'入力・結果'!$G$4*COS(RADIANS(S50))))/(2*'入力・結果'!$G$5*(('入力・結果'!$G$3^2)+('入力・結果'!$G$4^2)-(2*'入力・結果'!$G$3*'入力・結果'!$G$4*(COS(RADIANS(S50)))))^(1/2))))</f>
        <v>49.60102692</v>
      </c>
      <c r="AC50" s="37">
        <f t="shared" si="19"/>
        <v>362.6703326</v>
      </c>
      <c r="AD50" s="37">
        <f t="shared" si="20"/>
        <v>362.6703326</v>
      </c>
      <c r="AE50" s="37" t="str">
        <f t="shared" si="21"/>
        <v/>
      </c>
      <c r="AF50" s="37" t="str">
        <f t="shared" si="22"/>
        <v/>
      </c>
      <c r="AG50" s="35"/>
      <c r="AH50" s="35"/>
      <c r="AI50" s="35"/>
      <c r="AJ50" s="35">
        <v>47.0</v>
      </c>
      <c r="AK50" s="35">
        <f t="shared" si="1"/>
        <v>1.08109727</v>
      </c>
    </row>
    <row r="51" ht="12.75" customHeight="1">
      <c r="A51" s="35"/>
      <c r="B51" s="37">
        <v>47.0</v>
      </c>
      <c r="C51" s="38">
        <f t="shared" si="2"/>
        <v>34.099918</v>
      </c>
      <c r="D51" s="38">
        <f t="shared" si="3"/>
        <v>-36.56768508</v>
      </c>
      <c r="E51" s="38">
        <f>'演算'!U51</f>
        <v>-46.97050199</v>
      </c>
      <c r="F51" s="38">
        <f t="shared" si="4"/>
        <v>46.97050199</v>
      </c>
      <c r="G51" s="38">
        <f t="shared" si="5"/>
        <v>-341.2062209</v>
      </c>
      <c r="H51" s="38">
        <f t="shared" si="6"/>
        <v>-438.6190526</v>
      </c>
      <c r="I51" s="39">
        <f t="shared" si="7"/>
        <v>555.7052802</v>
      </c>
      <c r="J51" s="38">
        <f t="shared" si="8"/>
        <v>-52.12029037</v>
      </c>
      <c r="K51" s="38" t="str">
        <f t="shared" si="9"/>
        <v/>
      </c>
      <c r="L51" s="38">
        <f t="shared" si="10"/>
        <v>1</v>
      </c>
      <c r="M51" s="38">
        <f t="shared" si="11"/>
        <v>127.8797096</v>
      </c>
      <c r="N51" s="39">
        <f t="shared" si="12"/>
        <v>77.87970963</v>
      </c>
      <c r="O51" s="39">
        <f t="shared" si="13"/>
        <v>116.6785568</v>
      </c>
      <c r="P51" s="39">
        <f t="shared" si="14"/>
        <v>-543.3180218</v>
      </c>
      <c r="Q51" s="38">
        <f t="shared" si="15"/>
        <v>409.199016</v>
      </c>
      <c r="R51" s="38">
        <f t="shared" si="16"/>
        <v>438.812221</v>
      </c>
      <c r="S51" s="40">
        <v>47.0</v>
      </c>
      <c r="T51" s="37">
        <f t="shared" si="17"/>
        <v>86.02949801</v>
      </c>
      <c r="U51" s="37">
        <f t="shared" si="18"/>
        <v>-46.97050199</v>
      </c>
      <c r="V51" s="37">
        <f t="shared" si="23"/>
        <v>0.9249861484</v>
      </c>
      <c r="W51" s="37">
        <f>'入力・結果'!$I$7/V51</f>
        <v>348653.8696</v>
      </c>
      <c r="X51" s="39">
        <f>(W51/I51*10)*'入力・結果'!$I$8</f>
        <v>3764.447257</v>
      </c>
      <c r="Y51" s="38">
        <f>DEGREES(ACOS(('入力・結果'!$G$3-('入力・結果'!$G$4*COS(RADIANS(S51))))/((('入力・結果'!$G$3^2)+('入力・結果'!$G$4^2)-(2*'入力・結果'!$G$3*'入力・結果'!$G$4*COS(RADIANS(S51))))^(1/2))))</f>
        <v>96.39720686</v>
      </c>
      <c r="Z51" s="38">
        <f>DEGREES(ACOS((('入力・結果'!$G$3^2)+('入力・結果'!$G$4^2)-('入力・結果'!$G$5^2)+('入力・結果'!$G$6^2)-(2*'入力・結果'!$G$3*'入力・結果'!$G$4*COS(RADIANS(S51))))/(2*'入力・結果'!$G$6*(('入力・結果'!$G$3^2)+('入力・結果'!$G$4^2)-(2*'入力・結果'!$G$3*'入力・結果'!$G$4*(COS(RADIANS(S51)))))^(1/2))))</f>
        <v>77.57962139</v>
      </c>
      <c r="AA51" s="38">
        <f>DEGREES(ACOS(('入力・結果'!$G$4-('入力・結果'!$G$3*COS(RADIANS(S51))))/((('入力・結果'!$G$3^2)+('入力・結果'!$G$4^2)-(2*'入力・結果'!$G$3*'入力・結果'!$G$4*COS(RADIANS(S51))))^(1/2))))</f>
        <v>36.60279314</v>
      </c>
      <c r="AB51" s="38">
        <f>DEGREES(ACOS((('入力・結果'!$G$3^2)+('入力・結果'!$G$4^2)+('入力・結果'!$G$5^2)-('入力・結果'!$G$6^2)-(2*'入力・結果'!$G$3*'入力・結果'!$G$4*COS(RADIANS(S51))))/(2*'入力・結果'!$G$5*(('入力・結果'!$G$3^2)+('入力・結果'!$G$4^2)-(2*'入力・結果'!$G$3*'入力・結果'!$G$4*(COS(RADIANS(S51)))))^(1/2))))</f>
        <v>49.42670487</v>
      </c>
      <c r="AC51" s="37">
        <f t="shared" si="19"/>
        <v>464.4472568</v>
      </c>
      <c r="AD51" s="37">
        <f t="shared" si="20"/>
        <v>464.4472568</v>
      </c>
      <c r="AE51" s="37" t="str">
        <f t="shared" si="21"/>
        <v/>
      </c>
      <c r="AF51" s="37" t="str">
        <f t="shared" si="22"/>
        <v/>
      </c>
      <c r="AG51" s="35"/>
      <c r="AH51" s="35"/>
      <c r="AI51" s="35"/>
      <c r="AJ51" s="35">
        <v>48.0</v>
      </c>
      <c r="AK51" s="35">
        <f t="shared" si="1"/>
        <v>1.110951683</v>
      </c>
    </row>
    <row r="52" ht="12.75" customHeight="1">
      <c r="A52" s="35"/>
      <c r="B52" s="37">
        <v>48.0</v>
      </c>
      <c r="C52" s="38">
        <f t="shared" si="2"/>
        <v>33.45653032</v>
      </c>
      <c r="D52" s="38">
        <f t="shared" si="3"/>
        <v>-37.15724127</v>
      </c>
      <c r="E52" s="38">
        <f>'演算'!U52</f>
        <v>-46.07037283</v>
      </c>
      <c r="F52" s="38">
        <f t="shared" si="4"/>
        <v>46.07037283</v>
      </c>
      <c r="G52" s="38">
        <f t="shared" si="5"/>
        <v>-348.1193493</v>
      </c>
      <c r="H52" s="38">
        <f t="shared" si="6"/>
        <v>-433.263096</v>
      </c>
      <c r="I52" s="39">
        <f t="shared" si="7"/>
        <v>555.7913202</v>
      </c>
      <c r="J52" s="38">
        <f t="shared" si="8"/>
        <v>-51.21872936</v>
      </c>
      <c r="K52" s="38" t="str">
        <f t="shared" si="9"/>
        <v/>
      </c>
      <c r="L52" s="38">
        <f t="shared" si="10"/>
        <v>1</v>
      </c>
      <c r="M52" s="38">
        <f t="shared" si="11"/>
        <v>128.7812706</v>
      </c>
      <c r="N52" s="39">
        <f t="shared" si="12"/>
        <v>78.78127064</v>
      </c>
      <c r="O52" s="39">
        <f t="shared" si="13"/>
        <v>108.1319827</v>
      </c>
      <c r="P52" s="39">
        <f t="shared" si="14"/>
        <v>-545.1710429</v>
      </c>
      <c r="Q52" s="38">
        <f t="shared" si="15"/>
        <v>401.4783638</v>
      </c>
      <c r="R52" s="38">
        <f t="shared" si="16"/>
        <v>445.8868953</v>
      </c>
      <c r="S52" s="40">
        <v>48.0</v>
      </c>
      <c r="T52" s="37">
        <f t="shared" si="17"/>
        <v>85.92962717</v>
      </c>
      <c r="U52" s="37">
        <f t="shared" si="18"/>
        <v>-46.07037283</v>
      </c>
      <c r="V52" s="37">
        <f t="shared" si="23"/>
        <v>0.9001291549</v>
      </c>
      <c r="W52" s="37">
        <f>'入力・結果'!$I$7/V52</f>
        <v>358281.9179</v>
      </c>
      <c r="X52" s="39">
        <f>(W52/I52*10)*'入力・結果'!$I$8</f>
        <v>3867.803309</v>
      </c>
      <c r="Y52" s="38">
        <f>DEGREES(ACOS(('入力・結果'!$G$3-('入力・結果'!$G$4*COS(RADIANS(S52))))/((('入力・結果'!$G$3^2)+('入力・結果'!$G$4^2)-(2*'入力・結果'!$G$3*'入力・結果'!$G$4*COS(RADIANS(S52))))^(1/2))))</f>
        <v>95.31461104</v>
      </c>
      <c r="Z52" s="38">
        <f>DEGREES(ACOS((('入力・結果'!$G$3^2)+('入力・結果'!$G$4^2)-('入力・結果'!$G$5^2)+('入力・結果'!$G$6^2)-(2*'入力・結果'!$G$3*'入力・結果'!$G$4*COS(RADIANS(S52))))/(2*'入力・結果'!$G$6*(('入力・結果'!$G$3^2)+('入力・結果'!$G$4^2)-(2*'入力・結果'!$G$3*'入力・結果'!$G$4*(COS(RADIANS(S52)))))^(1/2))))</f>
        <v>76.88780893</v>
      </c>
      <c r="AA52" s="38">
        <f>DEGREES(ACOS(('入力・結果'!$G$4-('入力・結果'!$G$3*COS(RADIANS(S52))))/((('入力・結果'!$G$3^2)+('入力・結果'!$G$4^2)-(2*'入力・結果'!$G$3*'入力・結果'!$G$4*COS(RADIANS(S52))))^(1/2))))</f>
        <v>36.68538896</v>
      </c>
      <c r="AB52" s="38">
        <f>DEGREES(ACOS((('入力・結果'!$G$3^2)+('入力・結果'!$G$4^2)+('入力・結果'!$G$5^2)-('入力・結果'!$G$6^2)-(2*'入力・結果'!$G$3*'入力・結果'!$G$4*COS(RADIANS(S52))))/(2*'入力・結果'!$G$5*(('入力・結果'!$G$3^2)+('入力・結果'!$G$4^2)-(2*'入力・結果'!$G$3*'入力・結果'!$G$4*(COS(RADIANS(S52)))))^(1/2))))</f>
        <v>49.2442382</v>
      </c>
      <c r="AC52" s="37">
        <f t="shared" si="19"/>
        <v>567.8033089</v>
      </c>
      <c r="AD52" s="37">
        <f t="shared" si="20"/>
        <v>567.8033089</v>
      </c>
      <c r="AE52" s="37" t="str">
        <f t="shared" si="21"/>
        <v/>
      </c>
      <c r="AF52" s="37" t="str">
        <f t="shared" si="22"/>
        <v/>
      </c>
      <c r="AG52" s="35"/>
      <c r="AH52" s="35"/>
      <c r="AI52" s="35"/>
      <c r="AJ52" s="35">
        <v>49.0</v>
      </c>
      <c r="AK52" s="35">
        <f t="shared" si="1"/>
        <v>1.141299454</v>
      </c>
    </row>
    <row r="53" ht="12.75" customHeight="1">
      <c r="A53" s="35"/>
      <c r="B53" s="37">
        <v>49.0</v>
      </c>
      <c r="C53" s="38">
        <f t="shared" si="2"/>
        <v>32.80295145</v>
      </c>
      <c r="D53" s="38">
        <f t="shared" si="3"/>
        <v>-37.73547901</v>
      </c>
      <c r="E53" s="38">
        <f>'演算'!U53</f>
        <v>-45.1941786</v>
      </c>
      <c r="F53" s="38">
        <f t="shared" si="4"/>
        <v>45.1941786</v>
      </c>
      <c r="G53" s="38">
        <f t="shared" si="5"/>
        <v>-354.7855139</v>
      </c>
      <c r="H53" s="38">
        <f t="shared" si="6"/>
        <v>-427.9600061</v>
      </c>
      <c r="I53" s="39">
        <f t="shared" si="7"/>
        <v>555.8979472</v>
      </c>
      <c r="J53" s="38">
        <f t="shared" si="8"/>
        <v>-50.34073928</v>
      </c>
      <c r="K53" s="38" t="str">
        <f t="shared" si="9"/>
        <v/>
      </c>
      <c r="L53" s="38">
        <f t="shared" si="10"/>
        <v>1</v>
      </c>
      <c r="M53" s="38">
        <f t="shared" si="11"/>
        <v>129.6592607</v>
      </c>
      <c r="N53" s="39">
        <f t="shared" si="12"/>
        <v>79.65926072</v>
      </c>
      <c r="O53" s="39">
        <f t="shared" si="13"/>
        <v>99.78465216</v>
      </c>
      <c r="P53" s="39">
        <f t="shared" si="14"/>
        <v>-546.8688608</v>
      </c>
      <c r="Q53" s="38">
        <f t="shared" si="15"/>
        <v>393.6354174</v>
      </c>
      <c r="R53" s="38">
        <f t="shared" si="16"/>
        <v>452.8257481</v>
      </c>
      <c r="S53" s="40">
        <v>49.0</v>
      </c>
      <c r="T53" s="37">
        <f t="shared" si="17"/>
        <v>85.8058214</v>
      </c>
      <c r="U53" s="37">
        <f t="shared" si="18"/>
        <v>-45.1941786</v>
      </c>
      <c r="V53" s="37">
        <f t="shared" si="23"/>
        <v>0.876194233</v>
      </c>
      <c r="W53" s="37">
        <f>'入力・結果'!$I$7/V53</f>
        <v>368069.074</v>
      </c>
      <c r="X53" s="39">
        <f>(W53/I53*10)*'入力・結果'!$I$8</f>
        <v>3972.697606</v>
      </c>
      <c r="Y53" s="38">
        <f>DEGREES(ACOS(('入力・結果'!$G$3-('入力・結果'!$G$4*COS(RADIANS(S53))))/((('入力・結果'!$G$3^2)+('入力・結果'!$G$4^2)-(2*'入力・結果'!$G$3*'入力・結果'!$G$4*COS(RADIANS(S53))))^(1/2))))</f>
        <v>94.24806862</v>
      </c>
      <c r="Z53" s="38">
        <f>DEGREES(ACOS((('入力・結果'!$G$3^2)+('入力・結果'!$G$4^2)-('入力・結果'!$G$5^2)+('入力・結果'!$G$6^2)-(2*'入力・結果'!$G$3*'入力・結果'!$G$4*COS(RADIANS(S53))))/(2*'入力・結果'!$G$6*(('入力・結果'!$G$3^2)+('入力・結果'!$G$4^2)-(2*'入力・結果'!$G$3*'入力・結果'!$G$4*(COS(RADIANS(S53)))))^(1/2))))</f>
        <v>76.19989066</v>
      </c>
      <c r="AA53" s="38">
        <f>DEGREES(ACOS(('入力・結果'!$G$4-('入力・結果'!$G$3*COS(RADIANS(S53))))/((('入力・結果'!$G$3^2)+('入力・結果'!$G$4^2)-(2*'入力・結果'!$G$3*'入力・結果'!$G$4*COS(RADIANS(S53))))^(1/2))))</f>
        <v>36.75193138</v>
      </c>
      <c r="AB53" s="38">
        <f>DEGREES(ACOS((('入力・結果'!$G$3^2)+('入力・結果'!$G$4^2)+('入力・結果'!$G$5^2)-('入力・結果'!$G$6^2)-(2*'入力・結果'!$G$3*'入力・結果'!$G$4*COS(RADIANS(S53))))/(2*'入力・結果'!$G$5*(('入力・結果'!$G$3^2)+('入力・結果'!$G$4^2)-(2*'入力・結果'!$G$3*'入力・結果'!$G$4*(COS(RADIANS(S53)))))^(1/2))))</f>
        <v>49.05389002</v>
      </c>
      <c r="AC53" s="37">
        <f t="shared" si="19"/>
        <v>672.6976063</v>
      </c>
      <c r="AD53" s="37">
        <f t="shared" si="20"/>
        <v>672.6976063</v>
      </c>
      <c r="AE53" s="37" t="str">
        <f t="shared" si="21"/>
        <v/>
      </c>
      <c r="AF53" s="37" t="str">
        <f t="shared" si="22"/>
        <v/>
      </c>
      <c r="AG53" s="35"/>
      <c r="AH53" s="35"/>
      <c r="AI53" s="35"/>
      <c r="AJ53" s="35">
        <v>50.0</v>
      </c>
      <c r="AK53" s="35">
        <f t="shared" si="1"/>
        <v>1.172130709</v>
      </c>
    </row>
    <row r="54" ht="12.75" customHeight="1">
      <c r="A54" s="35"/>
      <c r="B54" s="37">
        <v>50.0</v>
      </c>
      <c r="C54" s="38">
        <f t="shared" si="2"/>
        <v>32.13938048</v>
      </c>
      <c r="D54" s="38">
        <f t="shared" si="3"/>
        <v>-38.30222216</v>
      </c>
      <c r="E54" s="38">
        <f>'演算'!U54</f>
        <v>-44.34103143</v>
      </c>
      <c r="F54" s="38">
        <f t="shared" si="4"/>
        <v>44.34103143</v>
      </c>
      <c r="G54" s="38">
        <f t="shared" si="5"/>
        <v>-361.2164349</v>
      </c>
      <c r="H54" s="38">
        <f t="shared" si="6"/>
        <v>-422.712423</v>
      </c>
      <c r="I54" s="39">
        <f t="shared" si="7"/>
        <v>556.0243748</v>
      </c>
      <c r="J54" s="38">
        <f t="shared" si="8"/>
        <v>-49.48543207</v>
      </c>
      <c r="K54" s="38" t="str">
        <f t="shared" si="9"/>
        <v/>
      </c>
      <c r="L54" s="38">
        <f t="shared" si="10"/>
        <v>1</v>
      </c>
      <c r="M54" s="38">
        <f t="shared" si="11"/>
        <v>130.5145679</v>
      </c>
      <c r="N54" s="39">
        <f t="shared" si="12"/>
        <v>80.51456793</v>
      </c>
      <c r="O54" s="39">
        <f t="shared" si="13"/>
        <v>91.63105387</v>
      </c>
      <c r="P54" s="39">
        <f t="shared" si="14"/>
        <v>-548.4221507</v>
      </c>
      <c r="Q54" s="38">
        <f t="shared" si="15"/>
        <v>385.6725658</v>
      </c>
      <c r="R54" s="38">
        <f t="shared" si="16"/>
        <v>459.6266659</v>
      </c>
      <c r="S54" s="40">
        <v>50.0</v>
      </c>
      <c r="T54" s="37">
        <f t="shared" si="17"/>
        <v>85.65896857</v>
      </c>
      <c r="U54" s="37">
        <f t="shared" si="18"/>
        <v>-44.34103143</v>
      </c>
      <c r="V54" s="37">
        <f t="shared" si="23"/>
        <v>0.8531471722</v>
      </c>
      <c r="W54" s="37">
        <f>'入力・結果'!$I$7/V54</f>
        <v>378012.1537</v>
      </c>
      <c r="X54" s="39">
        <f>(W54/I54*10)*'入力・結果'!$I$8</f>
        <v>4079.08902</v>
      </c>
      <c r="Y54" s="38">
        <f>DEGREES(ACOS(('入力・結果'!$G$3-('入力・結果'!$G$4*COS(RADIANS(S54))))/((('入力・結果'!$G$3^2)+('入力・結果'!$G$4^2)-(2*'入力・結果'!$G$3*'入力・結果'!$G$4*COS(RADIANS(S54))))^(1/2))))</f>
        <v>93.19694866</v>
      </c>
      <c r="Z54" s="38">
        <f>DEGREES(ACOS((('入力・結果'!$G$3^2)+('入力・結果'!$G$4^2)-('入力・結果'!$G$5^2)+('入力・結果'!$G$6^2)-(2*'入力・結果'!$G$3*'入力・結果'!$G$4*COS(RADIANS(S54))))/(2*'入力・結果'!$G$6*(('入力・結果'!$G$3^2)+('入力・結果'!$G$4^2)-(2*'入力・結果'!$G$3*'入力・結果'!$G$4*(COS(RADIANS(S54)))))^(1/2))))</f>
        <v>75.51579947</v>
      </c>
      <c r="AA54" s="38">
        <f>DEGREES(ACOS(('入力・結果'!$G$4-('入力・結果'!$G$3*COS(RADIANS(S54))))/((('入力・結果'!$G$3^2)+('入力・結果'!$G$4^2)-(2*'入力・結果'!$G$3*'入力・結果'!$G$4*COS(RADIANS(S54))))^(1/2))))</f>
        <v>36.80305134</v>
      </c>
      <c r="AB54" s="38">
        <f>DEGREES(ACOS((('入力・結果'!$G$3^2)+('入力・結果'!$G$4^2)+('入力・結果'!$G$5^2)-('入力・結果'!$G$6^2)-(2*'入力・結果'!$G$3*'入力・結果'!$G$4*COS(RADIANS(S54))))/(2*'入力・結果'!$G$5*(('入力・結果'!$G$3^2)+('入力・結果'!$G$4^2)-(2*'入力・結果'!$G$3*'入力・結果'!$G$4*(COS(RADIANS(S54)))))^(1/2))))</f>
        <v>48.85591723</v>
      </c>
      <c r="AC54" s="37">
        <f t="shared" si="19"/>
        <v>779.0890204</v>
      </c>
      <c r="AD54" s="37">
        <f t="shared" si="20"/>
        <v>779.0890204</v>
      </c>
      <c r="AE54" s="37" t="str">
        <f t="shared" si="21"/>
        <v/>
      </c>
      <c r="AF54" s="37" t="str">
        <f t="shared" si="22"/>
        <v/>
      </c>
      <c r="AG54" s="35"/>
      <c r="AH54" s="35"/>
      <c r="AI54" s="35"/>
      <c r="AJ54" s="35">
        <v>51.0</v>
      </c>
      <c r="AK54" s="35">
        <f t="shared" si="1"/>
        <v>1.203435473</v>
      </c>
    </row>
    <row r="55" ht="12.75" customHeight="1">
      <c r="A55" s="35"/>
      <c r="B55" s="37">
        <v>51.0</v>
      </c>
      <c r="C55" s="38">
        <f t="shared" si="2"/>
        <v>31.46601955</v>
      </c>
      <c r="D55" s="38">
        <f t="shared" si="3"/>
        <v>-38.85729807</v>
      </c>
      <c r="E55" s="38">
        <f>'演算'!U55</f>
        <v>-43.51007703</v>
      </c>
      <c r="F55" s="38">
        <f t="shared" si="4"/>
        <v>43.51007703</v>
      </c>
      <c r="G55" s="38">
        <f t="shared" si="5"/>
        <v>-367.4232921</v>
      </c>
      <c r="H55" s="38">
        <f t="shared" si="6"/>
        <v>-417.5224761</v>
      </c>
      <c r="I55" s="39">
        <f t="shared" si="7"/>
        <v>556.1698424</v>
      </c>
      <c r="J55" s="38">
        <f t="shared" si="8"/>
        <v>-48.65195109</v>
      </c>
      <c r="K55" s="38" t="str">
        <f t="shared" si="9"/>
        <v/>
      </c>
      <c r="L55" s="38">
        <f t="shared" si="10"/>
        <v>1</v>
      </c>
      <c r="M55" s="38">
        <f t="shared" si="11"/>
        <v>131.3480489</v>
      </c>
      <c r="N55" s="39">
        <f t="shared" si="12"/>
        <v>81.34804891</v>
      </c>
      <c r="O55" s="39">
        <f t="shared" si="13"/>
        <v>83.66563309</v>
      </c>
      <c r="P55" s="39">
        <f t="shared" si="14"/>
        <v>-549.8408456</v>
      </c>
      <c r="Q55" s="38">
        <f t="shared" si="15"/>
        <v>377.5922346</v>
      </c>
      <c r="R55" s="38">
        <f t="shared" si="16"/>
        <v>466.2875769</v>
      </c>
      <c r="S55" s="40">
        <v>51.0</v>
      </c>
      <c r="T55" s="37">
        <f t="shared" si="17"/>
        <v>85.48992297</v>
      </c>
      <c r="U55" s="37">
        <f t="shared" si="18"/>
        <v>-43.51007703</v>
      </c>
      <c r="V55" s="37">
        <f t="shared" si="23"/>
        <v>0.8309543991</v>
      </c>
      <c r="W55" s="37">
        <f>'入力・結果'!$I$7/V55</f>
        <v>388107.9399</v>
      </c>
      <c r="X55" s="39">
        <f>(W55/I55*10)*'入力・結果'!$I$8</f>
        <v>4186.936187</v>
      </c>
      <c r="Y55" s="38">
        <f>DEGREES(ACOS(('入力・結果'!$G$3-('入力・結果'!$G$4*COS(RADIANS(S55))))/((('入力・結果'!$G$3^2)+('入力・結果'!$G$4^2)-(2*'入力・結果'!$G$3*'入力・結果'!$G$4*COS(RADIANS(S55))))^(1/2))))</f>
        <v>92.16064721</v>
      </c>
      <c r="Z55" s="38">
        <f>DEGREES(ACOS((('入力・結果'!$G$3^2)+('入力・結果'!$G$4^2)-('入力・結果'!$G$5^2)+('入力・結果'!$G$6^2)-(2*'入力・結果'!$G$3*'入力・結果'!$G$4*COS(RADIANS(S55))))/(2*'入力・結果'!$G$6*(('入力・結果'!$G$3^2)+('入力・結果'!$G$4^2)-(2*'入力・結果'!$G$3*'入力・結果'!$G$4*(COS(RADIANS(S55)))))^(1/2))))</f>
        <v>74.83546373</v>
      </c>
      <c r="AA55" s="38">
        <f>DEGREES(ACOS(('入力・結果'!$G$4-('入力・結果'!$G$3*COS(RADIANS(S55))))/((('入力・結果'!$G$3^2)+('入力・結果'!$G$4^2)-(2*'入力・結果'!$G$3*'入力・結果'!$G$4*COS(RADIANS(S55))))^(1/2))))</f>
        <v>36.83935279</v>
      </c>
      <c r="AB55" s="38">
        <f>DEGREES(ACOS((('入力・結果'!$G$3^2)+('入力・結果'!$G$4^2)+('入力・結果'!$G$5^2)-('入力・結果'!$G$6^2)-(2*'入力・結果'!$G$3*'入力・結果'!$G$4*COS(RADIANS(S55))))/(2*'入力・結果'!$G$5*(('入力・結果'!$G$3^2)+('入力・結果'!$G$4^2)-(2*'入力・結果'!$G$3*'入力・結果'!$G$4*(COS(RADIANS(S55)))))^(1/2))))</f>
        <v>48.65057018</v>
      </c>
      <c r="AC55" s="37">
        <f t="shared" si="19"/>
        <v>886.9361871</v>
      </c>
      <c r="AD55" s="37">
        <f t="shared" si="20"/>
        <v>886.9361871</v>
      </c>
      <c r="AE55" s="37" t="str">
        <f t="shared" si="21"/>
        <v/>
      </c>
      <c r="AF55" s="37" t="str">
        <f t="shared" si="22"/>
        <v/>
      </c>
      <c r="AG55" s="35"/>
      <c r="AH55" s="35"/>
      <c r="AI55" s="35"/>
      <c r="AJ55" s="35">
        <v>52.0</v>
      </c>
      <c r="AK55" s="35">
        <f t="shared" si="1"/>
        <v>1.235203666</v>
      </c>
    </row>
    <row r="56" ht="12.75" customHeight="1">
      <c r="A56" s="35"/>
      <c r="B56" s="37">
        <v>52.0</v>
      </c>
      <c r="C56" s="38">
        <f t="shared" si="2"/>
        <v>30.78307377</v>
      </c>
      <c r="D56" s="38">
        <f t="shared" si="3"/>
        <v>-39.40053768</v>
      </c>
      <c r="E56" s="38">
        <f>'演算'!U56</f>
        <v>-42.70049394</v>
      </c>
      <c r="F56" s="38">
        <f t="shared" si="4"/>
        <v>42.70049394</v>
      </c>
      <c r="G56" s="38">
        <f t="shared" si="5"/>
        <v>-373.4167381</v>
      </c>
      <c r="H56" s="38">
        <f t="shared" si="6"/>
        <v>-412.3918407</v>
      </c>
      <c r="I56" s="39">
        <f t="shared" si="7"/>
        <v>556.3336144</v>
      </c>
      <c r="J56" s="38">
        <f t="shared" si="8"/>
        <v>-47.83947067</v>
      </c>
      <c r="K56" s="38" t="str">
        <f t="shared" si="9"/>
        <v/>
      </c>
      <c r="L56" s="38">
        <f t="shared" si="10"/>
        <v>1</v>
      </c>
      <c r="M56" s="38">
        <f t="shared" si="11"/>
        <v>132.1605293</v>
      </c>
      <c r="N56" s="39">
        <f t="shared" si="12"/>
        <v>82.16052933</v>
      </c>
      <c r="O56" s="39">
        <f t="shared" si="13"/>
        <v>75.88282545</v>
      </c>
      <c r="P56" s="39">
        <f t="shared" si="14"/>
        <v>-551.1341827</v>
      </c>
      <c r="Q56" s="38">
        <f t="shared" si="15"/>
        <v>369.3968852</v>
      </c>
      <c r="R56" s="38">
        <f t="shared" si="16"/>
        <v>472.8064522</v>
      </c>
      <c r="S56" s="40">
        <v>52.0</v>
      </c>
      <c r="T56" s="37">
        <f t="shared" si="17"/>
        <v>85.29950606</v>
      </c>
      <c r="U56" s="37">
        <f t="shared" si="18"/>
        <v>-42.70049394</v>
      </c>
      <c r="V56" s="37">
        <f t="shared" si="23"/>
        <v>0.8095830893</v>
      </c>
      <c r="W56" s="37">
        <f>'入力・結果'!$I$7/V56</f>
        <v>398353.1824</v>
      </c>
      <c r="X56" s="39">
        <f>(W56/I56*10)*'入力・結果'!$I$8</f>
        <v>4296.197519</v>
      </c>
      <c r="Y56" s="38">
        <f>DEGREES(ACOS(('入力・結果'!$G$3-('入力・結果'!$G$4*COS(RADIANS(S56))))/((('入力・結果'!$G$3^2)+('入力・結果'!$G$4^2)-(2*'入力・結果'!$G$3*'入力・結果'!$G$4*COS(RADIANS(S56))))^(1/2))))</f>
        <v>91.13858638</v>
      </c>
      <c r="Z56" s="38">
        <f>DEGREES(ACOS((('入力・結果'!$G$3^2)+('入力・結果'!$G$4^2)-('入力・結果'!$G$5^2)+('入力・結果'!$G$6^2)-(2*'入力・結果'!$G$3*'入力・結果'!$G$4*COS(RADIANS(S56))))/(2*'入力・結果'!$G$6*(('入力・結果'!$G$3^2)+('入力・結果'!$G$4^2)-(2*'入力・結果'!$G$3*'入力・結果'!$G$4*(COS(RADIANS(S56)))))^(1/2))))</f>
        <v>74.15880833</v>
      </c>
      <c r="AA56" s="38">
        <f>DEGREES(ACOS(('入力・結果'!$G$4-('入力・結果'!$G$3*COS(RADIANS(S56))))/((('入力・結果'!$G$3^2)+('入力・結果'!$G$4^2)-(2*'入力・結果'!$G$3*'入力・結果'!$G$4*COS(RADIANS(S56))))^(1/2))))</f>
        <v>36.86141362</v>
      </c>
      <c r="AB56" s="38">
        <f>DEGREES(ACOS((('入力・結果'!$G$3^2)+('入力・結果'!$G$4^2)+('入力・結果'!$G$5^2)-('入力・結果'!$G$6^2)-(2*'入力・結果'!$G$3*'入力・結果'!$G$4*COS(RADIANS(S56))))/(2*'入力・結果'!$G$5*(('入力・結果'!$G$3^2)+('入力・結果'!$G$4^2)-(2*'入力・結果'!$G$3*'入力・結果'!$G$4*(COS(RADIANS(S56)))))^(1/2))))</f>
        <v>48.43809245</v>
      </c>
      <c r="AC56" s="37">
        <f t="shared" si="19"/>
        <v>996.1975194</v>
      </c>
      <c r="AD56" s="37">
        <f t="shared" si="20"/>
        <v>996.1975194</v>
      </c>
      <c r="AE56" s="37" t="str">
        <f t="shared" si="21"/>
        <v/>
      </c>
      <c r="AF56" s="37" t="str">
        <f t="shared" si="22"/>
        <v/>
      </c>
      <c r="AG56" s="35"/>
      <c r="AH56" s="35"/>
      <c r="AI56" s="35"/>
      <c r="AJ56" s="35">
        <v>53.0</v>
      </c>
      <c r="AK56" s="35">
        <f t="shared" si="1"/>
        <v>1.267425109</v>
      </c>
    </row>
    <row r="57" ht="12.75" customHeight="1">
      <c r="A57" s="35"/>
      <c r="B57" s="37">
        <v>53.0</v>
      </c>
      <c r="C57" s="38">
        <f t="shared" si="2"/>
        <v>30.09075116</v>
      </c>
      <c r="D57" s="38">
        <f t="shared" si="3"/>
        <v>-39.9317755</v>
      </c>
      <c r="E57" s="38">
        <f>'演算'!U57</f>
        <v>-41.91149269</v>
      </c>
      <c r="F57" s="38">
        <f t="shared" si="4"/>
        <v>41.91149269</v>
      </c>
      <c r="G57" s="38">
        <f t="shared" si="5"/>
        <v>-379.2069145</v>
      </c>
      <c r="H57" s="38">
        <f t="shared" si="6"/>
        <v>-407.3217875</v>
      </c>
      <c r="I57" s="39">
        <f t="shared" si="7"/>
        <v>556.5149796</v>
      </c>
      <c r="J57" s="38">
        <f t="shared" si="8"/>
        <v>-47.04719547</v>
      </c>
      <c r="K57" s="38" t="str">
        <f t="shared" si="9"/>
        <v/>
      </c>
      <c r="L57" s="38">
        <f t="shared" si="10"/>
        <v>1</v>
      </c>
      <c r="M57" s="38">
        <f t="shared" si="11"/>
        <v>132.9528045</v>
      </c>
      <c r="N57" s="39">
        <f t="shared" si="12"/>
        <v>82.95280453</v>
      </c>
      <c r="O57" s="39">
        <f t="shared" si="13"/>
        <v>68.27708569</v>
      </c>
      <c r="P57" s="39">
        <f t="shared" si="14"/>
        <v>-552.3107478</v>
      </c>
      <c r="Q57" s="38">
        <f t="shared" si="15"/>
        <v>361.0890139</v>
      </c>
      <c r="R57" s="38">
        <f t="shared" si="16"/>
        <v>479.181306</v>
      </c>
      <c r="S57" s="40">
        <v>53.0</v>
      </c>
      <c r="T57" s="37">
        <f t="shared" si="17"/>
        <v>85.08850731</v>
      </c>
      <c r="U57" s="37">
        <f t="shared" si="18"/>
        <v>-41.91149269</v>
      </c>
      <c r="V57" s="37">
        <f t="shared" si="23"/>
        <v>0.7890012536</v>
      </c>
      <c r="W57" s="37">
        <f>'入力・結果'!$I$7/V57</f>
        <v>408744.5977</v>
      </c>
      <c r="X57" s="39">
        <f>(W57/I57*10)*'入力・結果'!$I$8</f>
        <v>4406.831219</v>
      </c>
      <c r="Y57" s="38">
        <f>DEGREES(ACOS(('入力・結果'!$G$3-('入力・結果'!$G$4*COS(RADIANS(S57))))/((('入力・結果'!$G$3^2)+('入力・結果'!$G$4^2)-(2*'入力・結果'!$G$3*'入力・結果'!$G$4*COS(RADIANS(S57))))^(1/2))))</f>
        <v>90.13021333</v>
      </c>
      <c r="Z57" s="38">
        <f>DEGREES(ACOS((('入力・結果'!$G$3^2)+('入力・結果'!$G$4^2)-('入力・結果'!$G$5^2)+('入力・結果'!$G$6^2)-(2*'入力・結果'!$G$3*'入力・結果'!$G$4*COS(RADIANS(S57))))/(2*'入力・結果'!$G$6*(('入力・結果'!$G$3^2)+('入力・結果'!$G$4^2)-(2*'入力・結果'!$G$3*'入力・結果'!$G$4*(COS(RADIANS(S57)))))^(1/2))))</f>
        <v>73.48575547</v>
      </c>
      <c r="AA57" s="38">
        <f>DEGREES(ACOS(('入力・結果'!$G$4-('入力・結果'!$G$3*COS(RADIANS(S57))))/((('入力・結果'!$G$3^2)+('入力・結果'!$G$4^2)-(2*'入力・結果'!$G$3*'入力・結果'!$G$4*COS(RADIANS(S57))))^(1/2))))</f>
        <v>36.86978667</v>
      </c>
      <c r="AB57" s="38">
        <f>DEGREES(ACOS((('入力・結果'!$G$3^2)+('入力・結果'!$G$4^2)+('入力・結果'!$G$5^2)-('入力・結果'!$G$6^2)-(2*'入力・結果'!$G$3*'入力・結果'!$G$4*COS(RADIANS(S57))))/(2*'入力・結果'!$G$5*(('入力・結果'!$G$3^2)+('入力・結果'!$G$4^2)-(2*'入力・結果'!$G$3*'入力・結果'!$G$4*(COS(RADIANS(S57)))))^(1/2))))</f>
        <v>48.21872064</v>
      </c>
      <c r="AC57" s="37">
        <f t="shared" si="19"/>
        <v>1106.831219</v>
      </c>
      <c r="AD57" s="37">
        <f t="shared" si="20"/>
        <v>1106.831219</v>
      </c>
      <c r="AE57" s="37" t="str">
        <f t="shared" si="21"/>
        <v/>
      </c>
      <c r="AF57" s="37" t="str">
        <f t="shared" si="22"/>
        <v/>
      </c>
      <c r="AG57" s="35"/>
      <c r="AH57" s="35"/>
      <c r="AI57" s="35"/>
      <c r="AJ57" s="35">
        <v>54.0</v>
      </c>
      <c r="AK57" s="35">
        <f t="shared" si="1"/>
        <v>1.300089517</v>
      </c>
    </row>
    <row r="58" ht="12.75" customHeight="1">
      <c r="A58" s="35"/>
      <c r="B58" s="37">
        <v>54.0</v>
      </c>
      <c r="C58" s="38">
        <f t="shared" si="2"/>
        <v>29.38926261</v>
      </c>
      <c r="D58" s="38">
        <f t="shared" si="3"/>
        <v>-40.45084972</v>
      </c>
      <c r="E58" s="38">
        <f>'演算'!U58</f>
        <v>-41.14231488</v>
      </c>
      <c r="F58" s="38">
        <f t="shared" si="4"/>
        <v>41.14231488</v>
      </c>
      <c r="G58" s="38">
        <f t="shared" si="5"/>
        <v>-384.8034685</v>
      </c>
      <c r="H58" s="38">
        <f t="shared" si="6"/>
        <v>-402.313229</v>
      </c>
      <c r="I58" s="39">
        <f t="shared" si="7"/>
        <v>556.7132507</v>
      </c>
      <c r="J58" s="38">
        <f t="shared" si="8"/>
        <v>-46.27435988</v>
      </c>
      <c r="K58" s="38" t="str">
        <f t="shared" si="9"/>
        <v/>
      </c>
      <c r="L58" s="38">
        <f t="shared" si="10"/>
        <v>1</v>
      </c>
      <c r="M58" s="38">
        <f t="shared" si="11"/>
        <v>133.7256401</v>
      </c>
      <c r="N58" s="39">
        <f t="shared" si="12"/>
        <v>83.72564012</v>
      </c>
      <c r="O58" s="39">
        <f t="shared" si="13"/>
        <v>60.84291176</v>
      </c>
      <c r="P58" s="39">
        <f t="shared" si="14"/>
        <v>-553.3785175</v>
      </c>
      <c r="Q58" s="38">
        <f t="shared" si="15"/>
        <v>352.6711514</v>
      </c>
      <c r="R58" s="38">
        <f t="shared" si="16"/>
        <v>485.4101966</v>
      </c>
      <c r="S58" s="40">
        <v>54.0</v>
      </c>
      <c r="T58" s="37">
        <f t="shared" si="17"/>
        <v>84.85768512</v>
      </c>
      <c r="U58" s="37">
        <f t="shared" si="18"/>
        <v>-41.14231488</v>
      </c>
      <c r="V58" s="37">
        <f t="shared" si="23"/>
        <v>0.769177804</v>
      </c>
      <c r="W58" s="37">
        <f>'入力・結果'!$I$7/V58</f>
        <v>419278.8693</v>
      </c>
      <c r="X58" s="39">
        <f>(W58/I58*10)*'入力・結果'!$I$8</f>
        <v>4518.795291</v>
      </c>
      <c r="Y58" s="38">
        <f>DEGREES(ACOS(('入力・結果'!$G$3-('入力・結果'!$G$4*COS(RADIANS(S58))))/((('入力・結果'!$G$3^2)+('入力・結果'!$G$4^2)-(2*'入力・結果'!$G$3*'入力・結果'!$G$4*COS(RADIANS(S58))))^(1/2))))</f>
        <v>89.13499923</v>
      </c>
      <c r="Z58" s="38">
        <f>DEGREES(ACOS((('入力・結果'!$G$3^2)+('入力・結果'!$G$4^2)-('入力・結果'!$G$5^2)+('入力・結果'!$G$6^2)-(2*'入力・結果'!$G$3*'入力・結果'!$G$4*COS(RADIANS(S58))))/(2*'入力・結果'!$G$6*(('入力・結果'!$G$3^2)+('入力・結果'!$G$4^2)-(2*'入力・結果'!$G$3*'入力・結果'!$G$4*(COS(RADIANS(S58)))))^(1/2))))</f>
        <v>72.8162254</v>
      </c>
      <c r="AA58" s="38">
        <f>DEGREES(ACOS(('入力・結果'!$G$4-('入力・結果'!$G$3*COS(RADIANS(S58))))/((('入力・結果'!$G$3^2)+('入力・結果'!$G$4^2)-(2*'入力・結果'!$G$3*'入力・結果'!$G$4*COS(RADIANS(S58))))^(1/2))))</f>
        <v>36.86500077</v>
      </c>
      <c r="AB58" s="38">
        <f>DEGREES(ACOS((('入力・結果'!$G$3^2)+('入力・結果'!$G$4^2)+('入力・結果'!$G$5^2)-('入力・結果'!$G$6^2)-(2*'入力・結果'!$G$3*'入力・結果'!$G$4*COS(RADIANS(S58))))/(2*'入力・結果'!$G$5*(('入力・結果'!$G$3^2)+('入力・結果'!$G$4^2)-(2*'入力・結果'!$G$3*'入力・結果'!$G$4*(COS(RADIANS(S58)))))^(1/2))))</f>
        <v>47.99268435</v>
      </c>
      <c r="AC58" s="37">
        <f t="shared" si="19"/>
        <v>1218.795291</v>
      </c>
      <c r="AD58" s="37">
        <f t="shared" si="20"/>
        <v>1218.795291</v>
      </c>
      <c r="AE58" s="37" t="str">
        <f t="shared" si="21"/>
        <v/>
      </c>
      <c r="AF58" s="37" t="str">
        <f t="shared" si="22"/>
        <v/>
      </c>
      <c r="AG58" s="35"/>
      <c r="AH58" s="35"/>
      <c r="AI58" s="35"/>
      <c r="AJ58" s="35">
        <v>55.0</v>
      </c>
      <c r="AK58" s="35">
        <f t="shared" si="1"/>
        <v>1.333186504</v>
      </c>
    </row>
    <row r="59" ht="12.75" customHeight="1">
      <c r="A59" s="35"/>
      <c r="B59" s="37">
        <v>55.0</v>
      </c>
      <c r="C59" s="38">
        <f t="shared" si="2"/>
        <v>28.67882182</v>
      </c>
      <c r="D59" s="38">
        <f t="shared" si="3"/>
        <v>-40.95760221</v>
      </c>
      <c r="E59" s="38">
        <f>'演算'!U59</f>
        <v>-40.39223228</v>
      </c>
      <c r="F59" s="38">
        <f t="shared" si="4"/>
        <v>40.39223228</v>
      </c>
      <c r="G59" s="38">
        <f t="shared" si="5"/>
        <v>-390.2155704</v>
      </c>
      <c r="H59" s="38">
        <f t="shared" si="6"/>
        <v>-397.3667606</v>
      </c>
      <c r="I59" s="39">
        <f t="shared" si="7"/>
        <v>556.9277635</v>
      </c>
      <c r="J59" s="38">
        <f t="shared" si="8"/>
        <v>-45.52022721</v>
      </c>
      <c r="K59" s="38" t="str">
        <f t="shared" si="9"/>
        <v/>
      </c>
      <c r="L59" s="38">
        <f t="shared" si="10"/>
        <v>1</v>
      </c>
      <c r="M59" s="38">
        <f t="shared" si="11"/>
        <v>134.4797728</v>
      </c>
      <c r="N59" s="39">
        <f t="shared" si="12"/>
        <v>84.47977279</v>
      </c>
      <c r="O59" s="39">
        <f t="shared" si="13"/>
        <v>53.5748651</v>
      </c>
      <c r="P59" s="39">
        <f t="shared" si="14"/>
        <v>-554.3448995</v>
      </c>
      <c r="Q59" s="38">
        <f t="shared" si="15"/>
        <v>344.1458618</v>
      </c>
      <c r="R59" s="38">
        <f t="shared" si="16"/>
        <v>491.4912266</v>
      </c>
      <c r="S59" s="40">
        <v>55.0</v>
      </c>
      <c r="T59" s="37">
        <f t="shared" si="17"/>
        <v>84.60776772</v>
      </c>
      <c r="U59" s="37">
        <f t="shared" si="18"/>
        <v>-40.39223228</v>
      </c>
      <c r="V59" s="37">
        <f t="shared" si="23"/>
        <v>0.7500826004</v>
      </c>
      <c r="W59" s="37">
        <f>'入力・結果'!$I$7/V59</f>
        <v>429952.6476</v>
      </c>
      <c r="X59" s="39">
        <f>(W59/I59*10)*'入力・結果'!$I$8</f>
        <v>4632.047556</v>
      </c>
      <c r="Y59" s="38">
        <f>DEGREES(ACOS(('入力・結果'!$G$3-('入力・結果'!$G$4*COS(RADIANS(S59))))/((('入力・結果'!$G$3^2)+('入力・結果'!$G$4^2)-(2*'入力・結果'!$G$3*'入力・結果'!$G$4*COS(RADIANS(S59))))^(1/2))))</f>
        <v>88.15243835</v>
      </c>
      <c r="Z59" s="38">
        <f>DEGREES(ACOS((('入力・結果'!$G$3^2)+('入力・結果'!$G$4^2)-('入力・結果'!$G$5^2)+('入力・結果'!$G$6^2)-(2*'入力・結果'!$G$3*'入力・結果'!$G$4*COS(RADIANS(S59))))/(2*'入力・結果'!$G$6*(('入力・結果'!$G$3^2)+('入力・結果'!$G$4^2)-(2*'入力・結果'!$G$3*'入力・結果'!$G$4*(COS(RADIANS(S59)))))^(1/2))))</f>
        <v>72.15013704</v>
      </c>
      <c r="AA59" s="38">
        <f>DEGREES(ACOS(('入力・結果'!$G$4-('入力・結果'!$G$3*COS(RADIANS(S59))))/((('入力・結果'!$G$3^2)+('入力・結果'!$G$4^2)-(2*'入力・結果'!$G$3*'入力・結果'!$G$4*COS(RADIANS(S59))))^(1/2))))</f>
        <v>36.84756165</v>
      </c>
      <c r="AB59" s="38">
        <f>DEGREES(ACOS((('入力・結果'!$G$3^2)+('入力・結果'!$G$4^2)+('入力・結果'!$G$5^2)-('入力・結果'!$G$6^2)-(2*'入力・結果'!$G$3*'入力・結果'!$G$4*COS(RADIANS(S59))))/(2*'入力・結果'!$G$5*(('入力・結果'!$G$3^2)+('入力・結果'!$G$4^2)-(2*'入力・結果'!$G$3*'入力・結果'!$G$4*(COS(RADIANS(S59)))))^(1/2))))</f>
        <v>47.76020607</v>
      </c>
      <c r="AC59" s="37">
        <f t="shared" si="19"/>
        <v>1332.047556</v>
      </c>
      <c r="AD59" s="37">
        <f t="shared" si="20"/>
        <v>1332.047556</v>
      </c>
      <c r="AE59" s="37" t="str">
        <f t="shared" si="21"/>
        <v/>
      </c>
      <c r="AF59" s="37" t="str">
        <f t="shared" si="22"/>
        <v/>
      </c>
      <c r="AG59" s="35"/>
      <c r="AH59" s="35"/>
      <c r="AI59" s="35"/>
      <c r="AJ59" s="35">
        <v>56.0</v>
      </c>
      <c r="AK59" s="35">
        <f t="shared" si="1"/>
        <v>1.366705582</v>
      </c>
    </row>
    <row r="60" ht="12.75" customHeight="1">
      <c r="A60" s="35"/>
      <c r="B60" s="37">
        <v>56.0</v>
      </c>
      <c r="C60" s="38">
        <f t="shared" si="2"/>
        <v>27.95964517</v>
      </c>
      <c r="D60" s="38">
        <f t="shared" si="3"/>
        <v>-41.45187863</v>
      </c>
      <c r="E60" s="38">
        <f>'演算'!U60</f>
        <v>-39.6605458</v>
      </c>
      <c r="F60" s="38">
        <f t="shared" si="4"/>
        <v>39.6605458</v>
      </c>
      <c r="G60" s="38">
        <f t="shared" si="5"/>
        <v>-395.4519323</v>
      </c>
      <c r="H60" s="38">
        <f t="shared" si="6"/>
        <v>-392.4826979</v>
      </c>
      <c r="I60" s="39">
        <f t="shared" si="7"/>
        <v>557.1578761</v>
      </c>
      <c r="J60" s="38">
        <f t="shared" si="8"/>
        <v>-44.78408895</v>
      </c>
      <c r="K60" s="38" t="str">
        <f t="shared" si="9"/>
        <v/>
      </c>
      <c r="L60" s="38">
        <f t="shared" si="10"/>
        <v>1</v>
      </c>
      <c r="M60" s="38">
        <f t="shared" si="11"/>
        <v>135.2159111</v>
      </c>
      <c r="N60" s="39">
        <f t="shared" si="12"/>
        <v>85.21591105</v>
      </c>
      <c r="O60" s="39">
        <f t="shared" si="13"/>
        <v>46.46758742</v>
      </c>
      <c r="P60" s="39">
        <f t="shared" si="14"/>
        <v>-555.2167705</v>
      </c>
      <c r="Q60" s="38">
        <f t="shared" si="15"/>
        <v>335.5157421</v>
      </c>
      <c r="R60" s="38">
        <f t="shared" si="16"/>
        <v>497.4225435</v>
      </c>
      <c r="S60" s="40">
        <v>56.0</v>
      </c>
      <c r="T60" s="37">
        <f t="shared" si="17"/>
        <v>84.3394542</v>
      </c>
      <c r="U60" s="37">
        <f t="shared" si="18"/>
        <v>-39.6605458</v>
      </c>
      <c r="V60" s="37">
        <f t="shared" si="23"/>
        <v>0.7316864827</v>
      </c>
      <c r="W60" s="37">
        <f>'入力・結果'!$I$7/V60</f>
        <v>440762.5501</v>
      </c>
      <c r="X60" s="39">
        <f>(W60/I60*10)*'入力・結果'!$I$8</f>
        <v>4746.545664</v>
      </c>
      <c r="Y60" s="38">
        <f>DEGREES(ACOS(('入力・結果'!$G$3-('入力・結果'!$G$4*COS(RADIANS(S60))))/((('入力・結果'!$G$3^2)+('入力・結果'!$G$4^2)-(2*'入力・結果'!$G$3*'入力・結果'!$G$4*COS(RADIANS(S60))))^(1/2))))</f>
        <v>87.18204703</v>
      </c>
      <c r="Z60" s="38">
        <f>DEGREES(ACOS((('入力・結果'!$G$3^2)+('入力・結果'!$G$4^2)-('入力・結果'!$G$5^2)+('入力・結果'!$G$6^2)-(2*'入力・結果'!$G$3*'入力・結果'!$G$4*COS(RADIANS(S60))))/(2*'入力・結果'!$G$6*(('入力・結果'!$G$3^2)+('入力・結果'!$G$4^2)-(2*'入力・結果'!$G$3*'入力・結果'!$G$4*(COS(RADIANS(S60)))))^(1/2))))</f>
        <v>71.48740857</v>
      </c>
      <c r="AA60" s="38">
        <f>DEGREES(ACOS(('入力・結果'!$G$4-('入力・結果'!$G$3*COS(RADIANS(S60))))/((('入力・結果'!$G$3^2)+('入力・結果'!$G$4^2)-(2*'入力・結果'!$G$3*'入力・結果'!$G$4*COS(RADIANS(S60))))^(1/2))))</f>
        <v>36.81795297</v>
      </c>
      <c r="AB60" s="38">
        <f>DEGREES(ACOS((('入力・結果'!$G$3^2)+('入力・結果'!$G$4^2)+('入力・結果'!$G$5^2)-('入力・結果'!$G$6^2)-(2*'入力・結果'!$G$3*'入力・結果'!$G$4*COS(RADIANS(S60))))/(2*'入力・結果'!$G$5*(('入力・結果'!$G$3^2)+('入力・結果'!$G$4^2)-(2*'入力・結果'!$G$3*'入力・結果'!$G$4*(COS(RADIANS(S60)))))^(1/2))))</f>
        <v>47.52150123</v>
      </c>
      <c r="AC60" s="37">
        <f t="shared" si="19"/>
        <v>1446.545664</v>
      </c>
      <c r="AD60" s="37">
        <f t="shared" si="20"/>
        <v>1446.545664</v>
      </c>
      <c r="AE60" s="37" t="str">
        <f t="shared" si="21"/>
        <v/>
      </c>
      <c r="AF60" s="37" t="str">
        <f t="shared" si="22"/>
        <v/>
      </c>
      <c r="AG60" s="35"/>
      <c r="AH60" s="35"/>
      <c r="AI60" s="35"/>
      <c r="AJ60" s="35">
        <v>57.0</v>
      </c>
      <c r="AK60" s="35">
        <f t="shared" si="1"/>
        <v>1.40063616</v>
      </c>
    </row>
    <row r="61" ht="12.75" customHeight="1">
      <c r="A61" s="35"/>
      <c r="B61" s="37">
        <v>57.0</v>
      </c>
      <c r="C61" s="38">
        <f t="shared" si="2"/>
        <v>27.23195175</v>
      </c>
      <c r="D61" s="38">
        <f t="shared" si="3"/>
        <v>-41.9335284</v>
      </c>
      <c r="E61" s="38">
        <f>'演算'!U61</f>
        <v>-38.94658451</v>
      </c>
      <c r="F61" s="38">
        <f t="shared" si="4"/>
        <v>38.94658451</v>
      </c>
      <c r="G61" s="38">
        <f t="shared" si="5"/>
        <v>-400.5208265</v>
      </c>
      <c r="H61" s="38">
        <f t="shared" si="6"/>
        <v>-387.66111</v>
      </c>
      <c r="I61" s="39">
        <f t="shared" si="7"/>
        <v>557.402968</v>
      </c>
      <c r="J61" s="38">
        <f t="shared" si="8"/>
        <v>-44.0652639</v>
      </c>
      <c r="K61" s="38" t="str">
        <f t="shared" si="9"/>
        <v/>
      </c>
      <c r="L61" s="38">
        <f t="shared" si="10"/>
        <v>1</v>
      </c>
      <c r="M61" s="38">
        <f t="shared" si="11"/>
        <v>135.9347361</v>
      </c>
      <c r="N61" s="39">
        <f t="shared" si="12"/>
        <v>85.9347361</v>
      </c>
      <c r="O61" s="39">
        <f t="shared" si="13"/>
        <v>39.51581447</v>
      </c>
      <c r="P61" s="39">
        <f t="shared" si="14"/>
        <v>-556.0005118</v>
      </c>
      <c r="Q61" s="38">
        <f t="shared" si="15"/>
        <v>326.783421</v>
      </c>
      <c r="R61" s="38">
        <f t="shared" si="16"/>
        <v>503.2023408</v>
      </c>
      <c r="S61" s="40">
        <v>57.0</v>
      </c>
      <c r="T61" s="37">
        <f t="shared" si="17"/>
        <v>84.05341549</v>
      </c>
      <c r="U61" s="37">
        <f t="shared" si="18"/>
        <v>-38.94658451</v>
      </c>
      <c r="V61" s="37">
        <f t="shared" si="23"/>
        <v>0.7139612902</v>
      </c>
      <c r="W61" s="37">
        <f>'入力・結果'!$I$7/V61</f>
        <v>451705.1616</v>
      </c>
      <c r="X61" s="39">
        <f>(W61/I61*10)*'入力・結果'!$I$8</f>
        <v>4862.24711</v>
      </c>
      <c r="Y61" s="38">
        <f>DEGREES(ACOS(('入力・結果'!$G$3-('入力・結果'!$G$4*COS(RADIANS(S61))))/((('入力・結果'!$G$3^2)+('入力・結果'!$G$4^2)-(2*'入力・結果'!$G$3*'入力・結果'!$G$4*COS(RADIANS(S61))))^(1/2))))</f>
        <v>86.22336272</v>
      </c>
      <c r="Z61" s="38">
        <f>DEGREES(ACOS((('入力・結果'!$G$3^2)+('入力・結果'!$G$4^2)-('入力・結果'!$G$5^2)+('入力・結果'!$G$6^2)-(2*'入力・結果'!$G$3*'入力・結果'!$G$4*COS(RADIANS(S61))))/(2*'入力・結果'!$G$6*(('入力・結果'!$G$3^2)+('入力・結果'!$G$4^2)-(2*'入力・結果'!$G$3*'入力・結果'!$G$4*(COS(RADIANS(S61)))))^(1/2))))</f>
        <v>70.82795779</v>
      </c>
      <c r="AA61" s="38">
        <f>DEGREES(ACOS(('入力・結果'!$G$4-('入力・結果'!$G$3*COS(RADIANS(S61))))/((('入力・結果'!$G$3^2)+('入力・結果'!$G$4^2)-(2*'入力・結果'!$G$3*'入力・結果'!$G$4*COS(RADIANS(S61))))^(1/2))))</f>
        <v>36.77663728</v>
      </c>
      <c r="AB61" s="38">
        <f>DEGREES(ACOS((('入力・結果'!$G$3^2)+('入力・結果'!$G$4^2)+('入力・結果'!$G$5^2)-('入力・結果'!$G$6^2)-(2*'入力・結果'!$G$3*'入力・結果'!$G$4*COS(RADIANS(S61))))/(2*'入力・結果'!$G$5*(('入力・結果'!$G$3^2)+('入力・結果'!$G$4^2)-(2*'入力・結果'!$G$3*'入力・結果'!$G$4*(COS(RADIANS(S61)))))^(1/2))))</f>
        <v>47.27677821</v>
      </c>
      <c r="AC61" s="37">
        <f t="shared" si="19"/>
        <v>1562.24711</v>
      </c>
      <c r="AD61" s="37">
        <f t="shared" si="20"/>
        <v>1562.24711</v>
      </c>
      <c r="AE61" s="37" t="str">
        <f t="shared" si="21"/>
        <v/>
      </c>
      <c r="AF61" s="37" t="str">
        <f t="shared" si="22"/>
        <v/>
      </c>
      <c r="AG61" s="35"/>
      <c r="AH61" s="35"/>
      <c r="AI61" s="35"/>
      <c r="AJ61" s="35">
        <v>58.0</v>
      </c>
      <c r="AK61" s="35">
        <f t="shared" si="1"/>
        <v>1.43496755</v>
      </c>
    </row>
    <row r="62" ht="12.75" customHeight="1">
      <c r="A62" s="35"/>
      <c r="B62" s="37">
        <v>58.0</v>
      </c>
      <c r="C62" s="38">
        <f t="shared" si="2"/>
        <v>26.49596321</v>
      </c>
      <c r="D62" s="38">
        <f t="shared" si="3"/>
        <v>-42.40240481</v>
      </c>
      <c r="E62" s="38">
        <f>'演算'!U62</f>
        <v>-38.24970464</v>
      </c>
      <c r="F62" s="38">
        <f t="shared" si="4"/>
        <v>38.24970464</v>
      </c>
      <c r="G62" s="38">
        <f t="shared" si="5"/>
        <v>-405.4301041</v>
      </c>
      <c r="H62" s="38">
        <f t="shared" si="6"/>
        <v>-382.9018503</v>
      </c>
      <c r="I62" s="39">
        <f t="shared" si="7"/>
        <v>557.6624394</v>
      </c>
      <c r="J62" s="38">
        <f t="shared" si="8"/>
        <v>-43.36309736</v>
      </c>
      <c r="K62" s="38" t="str">
        <f t="shared" si="9"/>
        <v/>
      </c>
      <c r="L62" s="38">
        <f t="shared" si="10"/>
        <v>1</v>
      </c>
      <c r="M62" s="38">
        <f t="shared" si="11"/>
        <v>136.6369026</v>
      </c>
      <c r="N62" s="39">
        <f t="shared" si="12"/>
        <v>86.63690264</v>
      </c>
      <c r="O62" s="39">
        <f t="shared" si="13"/>
        <v>32.71438722</v>
      </c>
      <c r="P62" s="39">
        <f t="shared" si="14"/>
        <v>-556.7020434</v>
      </c>
      <c r="Q62" s="38">
        <f t="shared" si="15"/>
        <v>317.9515585</v>
      </c>
      <c r="R62" s="38">
        <f t="shared" si="16"/>
        <v>508.8288577</v>
      </c>
      <c r="S62" s="40">
        <v>58.0</v>
      </c>
      <c r="T62" s="37">
        <f t="shared" si="17"/>
        <v>83.75029536</v>
      </c>
      <c r="U62" s="37">
        <f t="shared" si="18"/>
        <v>-38.24970464</v>
      </c>
      <c r="V62" s="37">
        <f t="shared" si="23"/>
        <v>0.6968798702</v>
      </c>
      <c r="W62" s="37">
        <f>'入力・結果'!$I$7/V62</f>
        <v>462777.0349</v>
      </c>
      <c r="X62" s="39">
        <f>(W62/I62*10)*'入力・結果'!$I$8</f>
        <v>4979.109248</v>
      </c>
      <c r="Y62" s="38">
        <f>DEGREES(ACOS(('入力・結果'!$G$3-('入力・結果'!$G$4*COS(RADIANS(S62))))/((('入力・結果'!$G$3^2)+('入力・結果'!$G$4^2)-(2*'入力・結果'!$G$3*'入力・結果'!$G$4*COS(RADIANS(S62))))^(1/2))))</f>
        <v>85.27594312</v>
      </c>
      <c r="Z62" s="38">
        <f>DEGREES(ACOS((('入力・結果'!$G$3^2)+('入力・結果'!$G$4^2)-('入力・結果'!$G$5^2)+('入力・結果'!$G$6^2)-(2*'入力・結果'!$G$3*'入力・結果'!$G$4*COS(RADIANS(S62))))/(2*'入力・結果'!$G$6*(('入力・結果'!$G$3^2)+('入力・結果'!$G$4^2)-(2*'入力・結果'!$G$3*'入力・結果'!$G$4*(COS(RADIANS(S62)))))^(1/2))))</f>
        <v>70.17170261</v>
      </c>
      <c r="AA62" s="38">
        <f>DEGREES(ACOS(('入力・結果'!$G$4-('入力・結果'!$G$3*COS(RADIANS(S62))))/((('入力・結果'!$G$3^2)+('入力・結果'!$G$4^2)-(2*'入力・結果'!$G$3*'入力・結果'!$G$4*COS(RADIANS(S62))))^(1/2))))</f>
        <v>36.72405688</v>
      </c>
      <c r="AB62" s="38">
        <f>DEGREES(ACOS((('入力・結果'!$G$3^2)+('入力・結果'!$G$4^2)+('入力・結果'!$G$5^2)-('入力・結果'!$G$6^2)-(2*'入力・結果'!$G$3*'入力・結果'!$G$4*COS(RADIANS(S62))))/(2*'入力・結果'!$G$5*(('入力・結果'!$G$3^2)+('入力・結果'!$G$4^2)-(2*'入力・結果'!$G$3*'入力・結果'!$G$4*(COS(RADIANS(S62)))))^(1/2))))</f>
        <v>47.02623849</v>
      </c>
      <c r="AC62" s="37">
        <f t="shared" si="19"/>
        <v>1679.109248</v>
      </c>
      <c r="AD62" s="37">
        <f t="shared" si="20"/>
        <v>1679.109248</v>
      </c>
      <c r="AE62" s="37" t="str">
        <f t="shared" si="21"/>
        <v/>
      </c>
      <c r="AF62" s="37" t="str">
        <f t="shared" si="22"/>
        <v/>
      </c>
      <c r="AG62" s="35"/>
      <c r="AH62" s="35"/>
      <c r="AI62" s="35"/>
      <c r="AJ62" s="35">
        <v>59.0</v>
      </c>
      <c r="AK62" s="35">
        <f t="shared" si="1"/>
        <v>1.469688963</v>
      </c>
    </row>
    <row r="63" ht="12.75" customHeight="1">
      <c r="A63" s="35"/>
      <c r="B63" s="37">
        <v>59.0</v>
      </c>
      <c r="C63" s="38">
        <f t="shared" si="2"/>
        <v>25.75190375</v>
      </c>
      <c r="D63" s="38">
        <f t="shared" si="3"/>
        <v>-42.85836504</v>
      </c>
      <c r="E63" s="38">
        <f>'演算'!U63</f>
        <v>-37.56928856</v>
      </c>
      <c r="F63" s="38">
        <f t="shared" si="4"/>
        <v>37.56928856</v>
      </c>
      <c r="G63" s="38">
        <f t="shared" si="5"/>
        <v>-410.1872136</v>
      </c>
      <c r="H63" s="38">
        <f t="shared" si="6"/>
        <v>-378.2045831</v>
      </c>
      <c r="I63" s="39">
        <f t="shared" si="7"/>
        <v>557.9357103</v>
      </c>
      <c r="J63" s="38">
        <f t="shared" si="8"/>
        <v>-42.67696021</v>
      </c>
      <c r="K63" s="38" t="str">
        <f t="shared" si="9"/>
        <v/>
      </c>
      <c r="L63" s="38">
        <f t="shared" si="10"/>
        <v>1</v>
      </c>
      <c r="M63" s="38">
        <f t="shared" si="11"/>
        <v>137.3230398</v>
      </c>
      <c r="N63" s="39">
        <f t="shared" si="12"/>
        <v>87.32303979</v>
      </c>
      <c r="O63" s="39">
        <f t="shared" si="13"/>
        <v>26.05826074</v>
      </c>
      <c r="P63" s="39">
        <f t="shared" si="14"/>
        <v>-557.3268556</v>
      </c>
      <c r="Q63" s="38">
        <f t="shared" si="15"/>
        <v>309.0228449</v>
      </c>
      <c r="R63" s="38">
        <f t="shared" si="16"/>
        <v>514.3003804</v>
      </c>
      <c r="S63" s="40">
        <v>59.0</v>
      </c>
      <c r="T63" s="37">
        <f t="shared" si="17"/>
        <v>83.43071144</v>
      </c>
      <c r="U63" s="37">
        <f t="shared" si="18"/>
        <v>-37.56928856</v>
      </c>
      <c r="V63" s="37">
        <f t="shared" si="23"/>
        <v>0.6804160778</v>
      </c>
      <c r="W63" s="37">
        <f>'入力・結果'!$I$7/V63</f>
        <v>473974.6907</v>
      </c>
      <c r="X63" s="39">
        <f>(W63/I63*10)*'入力・結果'!$I$8</f>
        <v>5097.089308</v>
      </c>
      <c r="Y63" s="38">
        <f>DEGREES(ACOS(('入力・結果'!$G$3-('入力・結果'!$G$4*COS(RADIANS(S63))))/((('入力・結果'!$G$3^2)+('入力・結果'!$G$4^2)-(2*'入力・結果'!$G$3*'入力・結果'!$G$4*COS(RADIANS(S63))))^(1/2))))</f>
        <v>84.33936522</v>
      </c>
      <c r="Z63" s="38">
        <f>DEGREES(ACOS((('入力・結果'!$G$3^2)+('入力・結果'!$G$4^2)-('入力・結果'!$G$5^2)+('入力・結果'!$G$6^2)-(2*'入力・結果'!$G$3*'入力・結果'!$G$4*COS(RADIANS(S63))))/(2*'入力・結果'!$G$6*(('入力・結果'!$G$3^2)+('入力・結果'!$G$4^2)-(2*'入力・結果'!$G$3*'入力・結果'!$G$4*(COS(RADIANS(S63)))))^(1/2))))</f>
        <v>69.51856132</v>
      </c>
      <c r="AA63" s="38">
        <f>DEGREES(ACOS(('入力・結果'!$G$4-('入力・結果'!$G$3*COS(RADIANS(S63))))/((('入力・結果'!$G$3^2)+('入力・結果'!$G$4^2)-(2*'入力・結果'!$G$3*'入力・結果'!$G$4*COS(RADIANS(S63))))^(1/2))))</f>
        <v>36.66063478</v>
      </c>
      <c r="AB63" s="38">
        <f>DEGREES(ACOS((('入力・結果'!$G$3^2)+('入力・結果'!$G$4^2)+('入力・結果'!$G$5^2)-('入力・結果'!$G$6^2)-(2*'入力・結果'!$G$3*'入力・結果'!$G$4*COS(RADIANS(S63))))/(2*'入力・結果'!$G$5*(('入力・結果'!$G$3^2)+('入力・結果'!$G$4^2)-(2*'入力・結果'!$G$3*'入力・結果'!$G$4*(COS(RADIANS(S63)))))^(1/2))))</f>
        <v>46.77007666</v>
      </c>
      <c r="AC63" s="37">
        <f t="shared" si="19"/>
        <v>1797.089308</v>
      </c>
      <c r="AD63" s="37">
        <f t="shared" si="20"/>
        <v>1797.089308</v>
      </c>
      <c r="AE63" s="37" t="str">
        <f t="shared" si="21"/>
        <v/>
      </c>
      <c r="AF63" s="37" t="str">
        <f t="shared" si="22"/>
        <v/>
      </c>
      <c r="AG63" s="35"/>
      <c r="AH63" s="35"/>
      <c r="AI63" s="35"/>
      <c r="AJ63" s="35">
        <v>60.0</v>
      </c>
      <c r="AK63" s="35">
        <f t="shared" si="1"/>
        <v>1.504789515</v>
      </c>
    </row>
    <row r="64" ht="12.75" customHeight="1">
      <c r="A64" s="35"/>
      <c r="B64" s="37">
        <v>60.0</v>
      </c>
      <c r="C64" s="38">
        <f t="shared" si="2"/>
        <v>25</v>
      </c>
      <c r="D64" s="38">
        <f t="shared" si="3"/>
        <v>-43.30127019</v>
      </c>
      <c r="E64" s="38">
        <f>'演算'!U64</f>
        <v>-36.90474379</v>
      </c>
      <c r="F64" s="38">
        <f t="shared" si="4"/>
        <v>36.90474379</v>
      </c>
      <c r="G64" s="38">
        <f t="shared" si="5"/>
        <v>-414.7992192</v>
      </c>
      <c r="H64" s="38">
        <f t="shared" si="6"/>
        <v>-373.5688083</v>
      </c>
      <c r="I64" s="39">
        <f t="shared" si="7"/>
        <v>558.2222199</v>
      </c>
      <c r="J64" s="38">
        <f t="shared" si="8"/>
        <v>-42.00624807</v>
      </c>
      <c r="K64" s="38" t="str">
        <f t="shared" si="9"/>
        <v/>
      </c>
      <c r="L64" s="38">
        <f t="shared" si="10"/>
        <v>1</v>
      </c>
      <c r="M64" s="38">
        <f t="shared" si="11"/>
        <v>137.9937519</v>
      </c>
      <c r="N64" s="39">
        <f t="shared" si="12"/>
        <v>87.99375193</v>
      </c>
      <c r="O64" s="39">
        <f t="shared" si="13"/>
        <v>19.5425111</v>
      </c>
      <c r="P64" s="39">
        <f t="shared" si="14"/>
        <v>-557.8800383</v>
      </c>
      <c r="Q64" s="38">
        <f t="shared" si="15"/>
        <v>300</v>
      </c>
      <c r="R64" s="38">
        <f t="shared" si="16"/>
        <v>519.6152423</v>
      </c>
      <c r="S64" s="40">
        <v>60.0</v>
      </c>
      <c r="T64" s="37">
        <f t="shared" si="17"/>
        <v>83.09525621</v>
      </c>
      <c r="U64" s="37">
        <f t="shared" si="18"/>
        <v>-36.90474379</v>
      </c>
      <c r="V64" s="37">
        <f t="shared" si="23"/>
        <v>0.6645447687</v>
      </c>
      <c r="W64" s="37">
        <f>'入力・結果'!$I$7/V64</f>
        <v>485294.6185</v>
      </c>
      <c r="X64" s="39">
        <f>(W64/I64*10)*'入力・結果'!$I$8</f>
        <v>5216.144408</v>
      </c>
      <c r="Y64" s="38">
        <f>DEGREES(ACOS(('入力・結果'!$G$3-('入力・結果'!$G$4*COS(RADIANS(S64))))/((('入力・結果'!$G$3^2)+('入力・結果'!$G$4^2)-(2*'入力・結果'!$G$3*'入力・結果'!$G$4*COS(RADIANS(S64))))^(1/2))))</f>
        <v>83.41322445</v>
      </c>
      <c r="Z64" s="38">
        <f>DEGREES(ACOS((('入力・結果'!$G$3^2)+('入力・結果'!$G$4^2)-('入力・結果'!$G$5^2)+('入力・結果'!$G$6^2)-(2*'入力・結果'!$G$3*'入力・結果'!$G$4*COS(RADIANS(S64))))/(2*'入力・結果'!$G$6*(('入力・結果'!$G$3^2)+('入力・結果'!$G$4^2)-(2*'入力・結果'!$G$3*'入力・結果'!$G$4*(COS(RADIANS(S64)))))^(1/2))))</f>
        <v>68.86845287</v>
      </c>
      <c r="AA64" s="38">
        <f>DEGREES(ACOS(('入力・結果'!$G$4-('入力・結果'!$G$3*COS(RADIANS(S64))))/((('入力・結果'!$G$3^2)+('入力・結果'!$G$4^2)-(2*'入力・結果'!$G$3*'入力・結果'!$G$4*COS(RADIANS(S64))))^(1/2))))</f>
        <v>36.58677555</v>
      </c>
      <c r="AB64" s="38">
        <f>DEGREES(ACOS((('入力・結果'!$G$3^2)+('入力・結果'!$G$4^2)+('入力・結果'!$G$5^2)-('入力・結果'!$G$6^2)-(2*'入力・結果'!$G$3*'入力・結果'!$G$4*COS(RADIANS(S64))))/(2*'入力・結果'!$G$5*(('入力・結果'!$G$3^2)+('入力・結果'!$G$4^2)-(2*'入力・結果'!$G$3*'入力・結果'!$G$4*(COS(RADIANS(S64)))))^(1/2))))</f>
        <v>46.50848065</v>
      </c>
      <c r="AC64" s="37">
        <f t="shared" si="19"/>
        <v>1916.144408</v>
      </c>
      <c r="AD64" s="37">
        <f t="shared" si="20"/>
        <v>1916.144408</v>
      </c>
      <c r="AE64" s="37" t="str">
        <f t="shared" si="21"/>
        <v/>
      </c>
      <c r="AF64" s="37" t="str">
        <f t="shared" si="22"/>
        <v/>
      </c>
      <c r="AG64" s="35"/>
      <c r="AH64" s="35"/>
      <c r="AI64" s="35"/>
      <c r="AJ64" s="35">
        <v>61.0</v>
      </c>
      <c r="AK64" s="35">
        <f t="shared" si="1"/>
        <v>1.540258224</v>
      </c>
    </row>
    <row r="65" ht="12.75" customHeight="1">
      <c r="A65" s="35"/>
      <c r="B65" s="37">
        <v>61.0</v>
      </c>
      <c r="C65" s="38">
        <f t="shared" si="2"/>
        <v>24.24048101</v>
      </c>
      <c r="D65" s="38">
        <f t="shared" si="3"/>
        <v>-43.73098536</v>
      </c>
      <c r="E65" s="38">
        <f>'演算'!U65</f>
        <v>-36.25550201</v>
      </c>
      <c r="F65" s="38">
        <f t="shared" si="4"/>
        <v>36.25550201</v>
      </c>
      <c r="G65" s="38">
        <f t="shared" si="5"/>
        <v>-419.272819</v>
      </c>
      <c r="H65" s="38">
        <f t="shared" si="6"/>
        <v>-368.9938832</v>
      </c>
      <c r="I65" s="39">
        <f t="shared" si="7"/>
        <v>558.5214254</v>
      </c>
      <c r="J65" s="38">
        <f t="shared" si="8"/>
        <v>-41.35038041</v>
      </c>
      <c r="K65" s="38" t="str">
        <f t="shared" si="9"/>
        <v/>
      </c>
      <c r="L65" s="38">
        <f t="shared" si="10"/>
        <v>1</v>
      </c>
      <c r="M65" s="38">
        <f t="shared" si="11"/>
        <v>138.6496196</v>
      </c>
      <c r="N65" s="39">
        <f t="shared" si="12"/>
        <v>88.64961959</v>
      </c>
      <c r="O65" s="39">
        <f t="shared" si="13"/>
        <v>13.16234064</v>
      </c>
      <c r="P65" s="39">
        <f t="shared" si="14"/>
        <v>-558.3663093</v>
      </c>
      <c r="Q65" s="38">
        <f t="shared" si="15"/>
        <v>290.8857721</v>
      </c>
      <c r="R65" s="38">
        <f t="shared" si="16"/>
        <v>524.7718243</v>
      </c>
      <c r="S65" s="40">
        <v>61.0</v>
      </c>
      <c r="T65" s="37">
        <f t="shared" si="17"/>
        <v>82.74449799</v>
      </c>
      <c r="U65" s="37">
        <f t="shared" si="18"/>
        <v>-36.25550201</v>
      </c>
      <c r="V65" s="37">
        <f t="shared" si="23"/>
        <v>0.649241786</v>
      </c>
      <c r="W65" s="37">
        <f>'入力・結果'!$I$7/V65</f>
        <v>496733.2771</v>
      </c>
      <c r="X65" s="39">
        <f>(W65/I65*10)*'入力・結果'!$I$8</f>
        <v>5336.23157</v>
      </c>
      <c r="Y65" s="38">
        <f>DEGREES(ACOS(('入力・結果'!$G$3-('入力・結果'!$G$4*COS(RADIANS(S65))))/((('入力・結果'!$G$3^2)+('入力・結果'!$G$4^2)-(2*'入力・結果'!$G$3*'入力・結果'!$G$4*COS(RADIANS(S65))))^(1/2))))</f>
        <v>82.49713382</v>
      </c>
      <c r="Z65" s="38">
        <f>DEGREES(ACOS((('入力・結果'!$G$3^2)+('入力・結果'!$G$4^2)-('入力・結果'!$G$5^2)+('入力・結果'!$G$6^2)-(2*'入力・結果'!$G$3*'入力・結果'!$G$4*COS(RADIANS(S65))))/(2*'入力・結果'!$G$6*(('入力・結果'!$G$3^2)+('入力・結果'!$G$4^2)-(2*'入力・結果'!$G$3*'入力・結果'!$G$4*(COS(RADIANS(S65)))))^(1/2))))</f>
        <v>68.22129714</v>
      </c>
      <c r="AA65" s="38">
        <f>DEGREES(ACOS(('入力・結果'!$G$4-('入力・結果'!$G$3*COS(RADIANS(S65))))/((('入力・結果'!$G$3^2)+('入力・結果'!$G$4^2)-(2*'入力・結果'!$G$3*'入力・結果'!$G$4*COS(RADIANS(S65))))^(1/2))))</f>
        <v>36.50286618</v>
      </c>
      <c r="AB65" s="38">
        <f>DEGREES(ACOS((('入力・結果'!$G$3^2)+('入力・結果'!$G$4^2)+('入力・結果'!$G$5^2)-('入力・結果'!$G$6^2)-(2*'入力・結果'!$G$3*'入力・結果'!$G$4*COS(RADIANS(S65))))/(2*'入力・結果'!$G$5*(('入力・結果'!$G$3^2)+('入力・結果'!$G$4^2)-(2*'入力・結果'!$G$3*'入力・結果'!$G$4*(COS(RADIANS(S65)))))^(1/2))))</f>
        <v>46.24163181</v>
      </c>
      <c r="AC65" s="37">
        <f t="shared" si="19"/>
        <v>2036.23157</v>
      </c>
      <c r="AD65" s="37">
        <f t="shared" si="20"/>
        <v>2036.23157</v>
      </c>
      <c r="AE65" s="37" t="str">
        <f t="shared" si="21"/>
        <v/>
      </c>
      <c r="AF65" s="37" t="str">
        <f t="shared" si="22"/>
        <v/>
      </c>
      <c r="AG65" s="35"/>
      <c r="AH65" s="35"/>
      <c r="AI65" s="35"/>
      <c r="AJ65" s="35">
        <v>62.0</v>
      </c>
      <c r="AK65" s="35">
        <f t="shared" si="1"/>
        <v>1.576084016</v>
      </c>
    </row>
    <row r="66" ht="12.75" customHeight="1">
      <c r="A66" s="35"/>
      <c r="B66" s="37">
        <v>62.0</v>
      </c>
      <c r="C66" s="38">
        <f t="shared" si="2"/>
        <v>23.47357814</v>
      </c>
      <c r="D66" s="38">
        <f t="shared" si="3"/>
        <v>-44.14737964</v>
      </c>
      <c r="E66" s="38">
        <f>'演算'!U66</f>
        <v>-35.62101806</v>
      </c>
      <c r="F66" s="38">
        <f t="shared" si="4"/>
        <v>35.62101806</v>
      </c>
      <c r="G66" s="38">
        <f t="shared" si="5"/>
        <v>-423.6143618</v>
      </c>
      <c r="H66" s="38">
        <f t="shared" si="6"/>
        <v>-364.479042</v>
      </c>
      <c r="I66" s="39">
        <f t="shared" si="7"/>
        <v>558.8328011</v>
      </c>
      <c r="J66" s="38">
        <f t="shared" si="8"/>
        <v>-40.70879967</v>
      </c>
      <c r="K66" s="38" t="str">
        <f t="shared" si="9"/>
        <v/>
      </c>
      <c r="L66" s="38">
        <f t="shared" si="10"/>
        <v>1</v>
      </c>
      <c r="M66" s="38">
        <f t="shared" si="11"/>
        <v>139.2912003</v>
      </c>
      <c r="N66" s="39">
        <f t="shared" si="12"/>
        <v>89.29120033</v>
      </c>
      <c r="O66" s="39">
        <f t="shared" si="13"/>
        <v>6.913081688</v>
      </c>
      <c r="P66" s="39">
        <f t="shared" si="14"/>
        <v>-558.7900401</v>
      </c>
      <c r="Q66" s="38">
        <f t="shared" si="15"/>
        <v>281.6829377</v>
      </c>
      <c r="R66" s="38">
        <f t="shared" si="16"/>
        <v>529.7685557</v>
      </c>
      <c r="S66" s="40">
        <v>62.0</v>
      </c>
      <c r="T66" s="37">
        <f t="shared" si="17"/>
        <v>82.37898194</v>
      </c>
      <c r="U66" s="37">
        <f t="shared" si="18"/>
        <v>-35.62101806</v>
      </c>
      <c r="V66" s="37">
        <f t="shared" si="23"/>
        <v>0.6344839426</v>
      </c>
      <c r="W66" s="37">
        <f>'入力・結果'!$I$7/V66</f>
        <v>508287.095</v>
      </c>
      <c r="X66" s="39">
        <f>(W66/I66*10)*'入力・結果'!$I$8</f>
        <v>5457.307738</v>
      </c>
      <c r="Y66" s="38">
        <f>DEGREES(ACOS(('入力・結果'!$G$3-('入力・結果'!$G$4*COS(RADIANS(S66))))/((('入力・結果'!$G$3^2)+('入力・結果'!$G$4^2)-(2*'入力・結果'!$G$3*'入力・結果'!$G$4*COS(RADIANS(S66))))^(1/2))))</f>
        <v>81.59072315</v>
      </c>
      <c r="Z66" s="38">
        <f>DEGREES(ACOS((('入力・結果'!$G$3^2)+('入力・結果'!$G$4^2)-('入力・結果'!$G$5^2)+('入力・結果'!$G$6^2)-(2*'入力・結果'!$G$3*'入力・結果'!$G$4*COS(RADIANS(S66))))/(2*'入力・結果'!$G$6*(('入力・結果'!$G$3^2)+('入力・結果'!$G$4^2)-(2*'入力・結果'!$G$3*'入力・結果'!$G$4*(COS(RADIANS(S66)))))^(1/2))))</f>
        <v>67.57701511</v>
      </c>
      <c r="AA66" s="38">
        <f>DEGREES(ACOS(('入力・結果'!$G$4-('入力・結果'!$G$3*COS(RADIANS(S66))))/((('入力・結果'!$G$3^2)+('入力・結果'!$G$4^2)-(2*'入力・結果'!$G$3*'入力・結果'!$G$4*COS(RADIANS(S66))))^(1/2))))</f>
        <v>36.40927685</v>
      </c>
      <c r="AB66" s="38">
        <f>DEGREES(ACOS((('入力・結果'!$G$3^2)+('入力・結果'!$G$4^2)+('入力・結果'!$G$5^2)-('入力・結果'!$G$6^2)-(2*'入力・結果'!$G$3*'入力・結果'!$G$4*COS(RADIANS(S66))))/(2*'入力・結果'!$G$5*(('入力・結果'!$G$3^2)+('入力・結果'!$G$4^2)-(2*'入力・結果'!$G$3*'入力・結果'!$G$4*(COS(RADIANS(S66)))))^(1/2))))</f>
        <v>45.96970509</v>
      </c>
      <c r="AC66" s="37">
        <f t="shared" si="19"/>
        <v>2157.307738</v>
      </c>
      <c r="AD66" s="37">
        <f t="shared" si="20"/>
        <v>2157.307738</v>
      </c>
      <c r="AE66" s="37" t="str">
        <f t="shared" si="21"/>
        <v/>
      </c>
      <c r="AF66" s="37" t="str">
        <f t="shared" si="22"/>
        <v/>
      </c>
      <c r="AG66" s="35"/>
      <c r="AH66" s="35"/>
      <c r="AI66" s="35"/>
      <c r="AJ66" s="35">
        <v>63.0</v>
      </c>
      <c r="AK66" s="35">
        <f t="shared" si="1"/>
        <v>1.612255724</v>
      </c>
    </row>
    <row r="67" ht="12.75" customHeight="1">
      <c r="A67" s="35"/>
      <c r="B67" s="37">
        <v>63.0</v>
      </c>
      <c r="C67" s="38">
        <f t="shared" si="2"/>
        <v>22.69952499</v>
      </c>
      <c r="D67" s="38">
        <f t="shared" si="3"/>
        <v>-44.55032621</v>
      </c>
      <c r="E67" s="38">
        <f>'演算'!U67</f>
        <v>-35.00076906</v>
      </c>
      <c r="F67" s="38">
        <f t="shared" si="4"/>
        <v>35.00076906</v>
      </c>
      <c r="G67" s="38">
        <f t="shared" si="5"/>
        <v>-427.8298649</v>
      </c>
      <c r="H67" s="38">
        <f t="shared" si="6"/>
        <v>-360.0234135</v>
      </c>
      <c r="I67" s="39">
        <f t="shared" si="7"/>
        <v>559.1558384</v>
      </c>
      <c r="J67" s="38">
        <f t="shared" si="8"/>
        <v>-40.08097043</v>
      </c>
      <c r="K67" s="38" t="str">
        <f t="shared" si="9"/>
        <v/>
      </c>
      <c r="L67" s="38">
        <f t="shared" si="10"/>
        <v>1</v>
      </c>
      <c r="M67" s="38">
        <f t="shared" si="11"/>
        <v>139.9190296</v>
      </c>
      <c r="N67" s="39">
        <f t="shared" si="12"/>
        <v>89.91902957</v>
      </c>
      <c r="O67" s="39">
        <f t="shared" si="13"/>
        <v>0.7901991184</v>
      </c>
      <c r="P67" s="39">
        <f t="shared" si="14"/>
        <v>-559.15528</v>
      </c>
      <c r="Q67" s="38">
        <f t="shared" si="15"/>
        <v>272.3942998</v>
      </c>
      <c r="R67" s="38">
        <f t="shared" si="16"/>
        <v>534.6039145</v>
      </c>
      <c r="S67" s="40">
        <v>63.0</v>
      </c>
      <c r="T67" s="37">
        <f t="shared" si="17"/>
        <v>81.99923094</v>
      </c>
      <c r="U67" s="37">
        <f t="shared" si="18"/>
        <v>-35.00076906</v>
      </c>
      <c r="V67" s="37">
        <f t="shared" si="23"/>
        <v>0.6202489995</v>
      </c>
      <c r="W67" s="37">
        <f>'入力・結果'!$I$7/V67</f>
        <v>519952.4711</v>
      </c>
      <c r="X67" s="39">
        <f>(W67/I67*10)*'入力・結果'!$I$8</f>
        <v>5579.32979</v>
      </c>
      <c r="Y67" s="38">
        <f>DEGREES(ACOS(('入力・結果'!$G$3-('入力・結果'!$G$4*COS(RADIANS(S67))))/((('入力・結果'!$G$3^2)+('入力・結果'!$G$4^2)-(2*'入力・結果'!$G$3*'入力・結果'!$G$4*COS(RADIANS(S67))))^(1/2))))</f>
        <v>80.69363825</v>
      </c>
      <c r="Z67" s="38">
        <f>DEGREES(ACOS((('入力・結果'!$G$3^2)+('入力・結果'!$G$4^2)-('入力・結果'!$G$5^2)+('入力・結果'!$G$6^2)-(2*'入力・結果'!$G$3*'入力・結果'!$G$4*COS(RADIANS(S67))))/(2*'入力・結果'!$G$6*(('入力・結果'!$G$3^2)+('入力・結果'!$G$4^2)-(2*'入力・結果'!$G$3*'入力・結果'!$G$4*(COS(RADIANS(S67)))))^(1/2))))</f>
        <v>66.93552899</v>
      </c>
      <c r="AA67" s="38">
        <f>DEGREES(ACOS(('入力・結果'!$G$4-('入力・結果'!$G$3*COS(RADIANS(S67))))/((('入力・結果'!$G$3^2)+('入力・結果'!$G$4^2)-(2*'入力・結果'!$G$3*'入力・結果'!$G$4*COS(RADIANS(S67))))^(1/2))))</f>
        <v>36.30636175</v>
      </c>
      <c r="AB67" s="38">
        <f>DEGREES(ACOS((('入力・結果'!$G$3^2)+('入力・結果'!$G$4^2)+('入力・結果'!$G$5^2)-('入力・結果'!$G$6^2)-(2*'入力・結果'!$G$3*'入力・結果'!$G$4*COS(RADIANS(S67))))/(2*'入力・結果'!$G$5*(('入力・結果'!$G$3^2)+('入力・結果'!$G$4^2)-(2*'入力・結果'!$G$3*'入力・結果'!$G$4*(COS(RADIANS(S67)))))^(1/2))))</f>
        <v>45.69286919</v>
      </c>
      <c r="AC67" s="37">
        <f t="shared" si="19"/>
        <v>2279.32979</v>
      </c>
      <c r="AD67" s="37">
        <f t="shared" si="20"/>
        <v>2279.32979</v>
      </c>
      <c r="AE67" s="37" t="str">
        <f t="shared" si="21"/>
        <v/>
      </c>
      <c r="AF67" s="37" t="str">
        <f t="shared" si="22"/>
        <v/>
      </c>
      <c r="AG67" s="35"/>
      <c r="AH67" s="35"/>
      <c r="AI67" s="35"/>
      <c r="AJ67" s="35">
        <v>64.0</v>
      </c>
      <c r="AK67" s="35">
        <f t="shared" si="1"/>
        <v>1.648762095</v>
      </c>
    </row>
    <row r="68" ht="12.75" customHeight="1">
      <c r="A68" s="35"/>
      <c r="B68" s="37">
        <v>64.0</v>
      </c>
      <c r="C68" s="38">
        <f t="shared" si="2"/>
        <v>21.91855734</v>
      </c>
      <c r="D68" s="38">
        <f t="shared" si="3"/>
        <v>-44.93970231</v>
      </c>
      <c r="E68" s="38">
        <f>'演算'!U68</f>
        <v>-34.39425342</v>
      </c>
      <c r="F68" s="38">
        <f t="shared" si="4"/>
        <v>34.39425342</v>
      </c>
      <c r="G68" s="38">
        <f t="shared" si="5"/>
        <v>-431.9250298</v>
      </c>
      <c r="H68" s="38">
        <f t="shared" si="6"/>
        <v>-355.6260367</v>
      </c>
      <c r="I68" s="39">
        <f t="shared" si="7"/>
        <v>559.490044</v>
      </c>
      <c r="J68" s="38">
        <f t="shared" si="8"/>
        <v>-39.46637852</v>
      </c>
      <c r="K68" s="38" t="str">
        <f t="shared" si="9"/>
        <v/>
      </c>
      <c r="L68" s="38">
        <f t="shared" si="10"/>
        <v>1</v>
      </c>
      <c r="M68" s="38">
        <f t="shared" si="11"/>
        <v>140.5336215</v>
      </c>
      <c r="N68" s="39">
        <f t="shared" si="12"/>
        <v>90.53362148</v>
      </c>
      <c r="O68" s="39">
        <f t="shared" si="13"/>
        <v>-5.210708205</v>
      </c>
      <c r="P68" s="39">
        <f t="shared" si="14"/>
        <v>-559.465779</v>
      </c>
      <c r="Q68" s="38">
        <f t="shared" si="15"/>
        <v>263.0226881</v>
      </c>
      <c r="R68" s="38">
        <f t="shared" si="16"/>
        <v>539.2764278</v>
      </c>
      <c r="S68" s="40">
        <v>64.0</v>
      </c>
      <c r="T68" s="37">
        <f t="shared" si="17"/>
        <v>81.60574658</v>
      </c>
      <c r="U68" s="37">
        <f t="shared" si="18"/>
        <v>-34.39425342</v>
      </c>
      <c r="V68" s="37">
        <f t="shared" si="23"/>
        <v>0.6065156418</v>
      </c>
      <c r="W68" s="37">
        <f>'入力・結果'!$I$7/V68</f>
        <v>531725.7755</v>
      </c>
      <c r="X68" s="39">
        <f>(W68/I68*10)*'入力・結果'!$I$8</f>
        <v>5702.254557</v>
      </c>
      <c r="Y68" s="38">
        <f>DEGREES(ACOS(('入力・結果'!$G$3-('入力・結果'!$G$4*COS(RADIANS(S68))))/((('入力・結果'!$G$3^2)+('入力・結果'!$G$4^2)-(2*'入力・結果'!$G$3*'入力・結果'!$G$4*COS(RADIANS(S68))))^(1/2))))</f>
        <v>79.80554021</v>
      </c>
      <c r="Z68" s="38">
        <f>DEGREES(ACOS((('入力・結果'!$G$3^2)+('入力・結果'!$G$4^2)-('入力・結果'!$G$5^2)+('入力・結果'!$G$6^2)-(2*'入力・結果'!$G$3*'入力・結果'!$G$4*COS(RADIANS(S68))))/(2*'入力・結果'!$G$6*(('入力・結果'!$G$3^2)+('入力・結果'!$G$4^2)-(2*'入力・結果'!$G$3*'入力・結果'!$G$4*(COS(RADIANS(S68)))))^(1/2))))</f>
        <v>66.2967624</v>
      </c>
      <c r="AA68" s="38">
        <f>DEGREES(ACOS(('入力・結果'!$G$4-('入力・結果'!$G$3*COS(RADIANS(S68))))/((('入力・結果'!$G$3^2)+('入力・結果'!$G$4^2)-(2*'入力・結果'!$G$3*'入力・結果'!$G$4*COS(RADIANS(S68))))^(1/2))))</f>
        <v>36.19445979</v>
      </c>
      <c r="AB68" s="38">
        <f>DEGREES(ACOS((('入力・結果'!$G$3^2)+('入力・結果'!$G$4^2)+('入力・結果'!$G$5^2)-('入力・結果'!$G$6^2)-(2*'入力・結果'!$G$3*'入力・結果'!$G$4*COS(RADIANS(S68))))/(2*'入力・結果'!$G$5*(('入力・結果'!$G$3^2)+('入力・結果'!$G$4^2)-(2*'入力・結果'!$G$3*'入力・結果'!$G$4*(COS(RADIANS(S68)))))^(1/2))))</f>
        <v>45.41128679</v>
      </c>
      <c r="AC68" s="37">
        <f t="shared" si="19"/>
        <v>2402.254557</v>
      </c>
      <c r="AD68" s="37">
        <f t="shared" si="20"/>
        <v>2402.254557</v>
      </c>
      <c r="AE68" s="37" t="str">
        <f t="shared" si="21"/>
        <v/>
      </c>
      <c r="AF68" s="37" t="str">
        <f t="shared" si="22"/>
        <v/>
      </c>
      <c r="AG68" s="35"/>
      <c r="AH68" s="35"/>
      <c r="AI68" s="35"/>
      <c r="AJ68" s="35">
        <v>65.0</v>
      </c>
      <c r="AK68" s="35">
        <f t="shared" si="1"/>
        <v>1.685591783</v>
      </c>
    </row>
    <row r="69" ht="12.75" customHeight="1">
      <c r="A69" s="35"/>
      <c r="B69" s="37">
        <v>65.0</v>
      </c>
      <c r="C69" s="38">
        <f t="shared" si="2"/>
        <v>21.13091309</v>
      </c>
      <c r="D69" s="38">
        <f t="shared" si="3"/>
        <v>-45.31538935</v>
      </c>
      <c r="E69" s="38">
        <f>'演算'!U69</f>
        <v>-33.80098997</v>
      </c>
      <c r="F69" s="38">
        <f t="shared" si="4"/>
        <v>33.80098997</v>
      </c>
      <c r="G69" s="38">
        <f t="shared" si="5"/>
        <v>-435.9052585</v>
      </c>
      <c r="H69" s="38">
        <f t="shared" si="6"/>
        <v>-351.2858747</v>
      </c>
      <c r="I69" s="39">
        <f t="shared" si="7"/>
        <v>559.8349401</v>
      </c>
      <c r="J69" s="38">
        <f t="shared" si="8"/>
        <v>-38.86453023</v>
      </c>
      <c r="K69" s="38" t="str">
        <f t="shared" si="9"/>
        <v/>
      </c>
      <c r="L69" s="38">
        <f t="shared" si="10"/>
        <v>1</v>
      </c>
      <c r="M69" s="38">
        <f t="shared" si="11"/>
        <v>141.1354698</v>
      </c>
      <c r="N69" s="39">
        <f t="shared" si="12"/>
        <v>91.13546977</v>
      </c>
      <c r="O69" s="39">
        <f t="shared" si="13"/>
        <v>-11.09390687</v>
      </c>
      <c r="P69" s="39">
        <f t="shared" si="14"/>
        <v>-559.7250087</v>
      </c>
      <c r="Q69" s="38">
        <f t="shared" si="15"/>
        <v>253.570957</v>
      </c>
      <c r="R69" s="38">
        <f t="shared" si="16"/>
        <v>543.7846722</v>
      </c>
      <c r="S69" s="40">
        <v>65.0</v>
      </c>
      <c r="T69" s="37">
        <f t="shared" si="17"/>
        <v>81.19901003</v>
      </c>
      <c r="U69" s="37">
        <f t="shared" si="18"/>
        <v>-33.80098997</v>
      </c>
      <c r="V69" s="37">
        <f t="shared" si="23"/>
        <v>0.5932634519</v>
      </c>
      <c r="W69" s="37">
        <f>'入力・結果'!$I$7/V69</f>
        <v>543603.3502</v>
      </c>
      <c r="X69" s="39">
        <f>(W69/I69*10)*'入力・結果'!$I$8</f>
        <v>5826.038833</v>
      </c>
      <c r="Y69" s="38">
        <f>DEGREES(ACOS(('入力・結果'!$G$3-('入力・結果'!$G$4*COS(RADIANS(S69))))/((('入力・結果'!$G$3^2)+('入力・結果'!$G$4^2)-(2*'入力・結果'!$G$3*'入力・結果'!$G$4*COS(RADIANS(S69))))^(1/2))))</f>
        <v>78.92610464</v>
      </c>
      <c r="Z69" s="38">
        <f>DEGREES(ACOS((('入力・結果'!$G$3^2)+('入力・結果'!$G$4^2)-('入力・結果'!$G$5^2)+('入力・結果'!$G$6^2)-(2*'入力・結果'!$G$3*'入力・結果'!$G$4*COS(RADIANS(S69))))/(2*'入力・結果'!$G$6*(('入力・結果'!$G$3^2)+('入力・結果'!$G$4^2)-(2*'入力・結果'!$G$3*'入力・結果'!$G$4*(COS(RADIANS(S69)))))^(1/2))))</f>
        <v>65.66064045</v>
      </c>
      <c r="AA69" s="38">
        <f>DEGREES(ACOS(('入力・結果'!$G$4-('入力・結果'!$G$3*COS(RADIANS(S69))))/((('入力・結果'!$G$3^2)+('入力・結果'!$G$4^2)-(2*'入力・結果'!$G$3*'入力・結果'!$G$4*COS(RADIANS(S69))))^(1/2))))</f>
        <v>36.07389536</v>
      </c>
      <c r="AB69" s="38">
        <f>DEGREES(ACOS((('入力・結果'!$G$3^2)+('入力・結果'!$G$4^2)+('入力・結果'!$G$5^2)-('入力・結果'!$G$6^2)-(2*'入力・結果'!$G$3*'入力・結果'!$G$4*COS(RADIANS(S69))))/(2*'入力・結果'!$G$5*(('入力・結果'!$G$3^2)+('入力・結果'!$G$4^2)-(2*'入力・結果'!$G$3*'入力・結果'!$G$4*(COS(RADIANS(S69)))))^(1/2))))</f>
        <v>45.12511467</v>
      </c>
      <c r="AC69" s="37">
        <f t="shared" si="19"/>
        <v>2526.038833</v>
      </c>
      <c r="AD69" s="37">
        <f t="shared" si="20"/>
        <v>2526.038833</v>
      </c>
      <c r="AE69" s="37" t="str">
        <f t="shared" si="21"/>
        <v/>
      </c>
      <c r="AF69" s="37" t="str">
        <f t="shared" si="22"/>
        <v/>
      </c>
      <c r="AG69" s="35"/>
      <c r="AH69" s="35"/>
      <c r="AI69" s="35"/>
      <c r="AJ69" s="35">
        <v>66.0</v>
      </c>
      <c r="AK69" s="35">
        <f t="shared" si="1"/>
        <v>1.722733363</v>
      </c>
    </row>
    <row r="70" ht="12.75" customHeight="1">
      <c r="A70" s="35"/>
      <c r="B70" s="37">
        <v>66.0</v>
      </c>
      <c r="C70" s="38">
        <f t="shared" si="2"/>
        <v>20.33683215</v>
      </c>
      <c r="D70" s="38">
        <f t="shared" si="3"/>
        <v>-45.67727288</v>
      </c>
      <c r="E70" s="38">
        <f>'演算'!U70</f>
        <v>-33.22051709</v>
      </c>
      <c r="F70" s="38">
        <f t="shared" si="4"/>
        <v>33.22051709</v>
      </c>
      <c r="G70" s="38">
        <f t="shared" si="5"/>
        <v>-439.7756682</v>
      </c>
      <c r="H70" s="38">
        <f t="shared" si="6"/>
        <v>-347.0018271</v>
      </c>
      <c r="I70" s="39">
        <f t="shared" si="7"/>
        <v>560.1900627</v>
      </c>
      <c r="J70" s="38">
        <f t="shared" si="8"/>
        <v>-38.27495148</v>
      </c>
      <c r="K70" s="38" t="str">
        <f t="shared" si="9"/>
        <v/>
      </c>
      <c r="L70" s="38">
        <f t="shared" si="10"/>
        <v>1</v>
      </c>
      <c r="M70" s="38">
        <f t="shared" si="11"/>
        <v>141.7250485</v>
      </c>
      <c r="N70" s="39">
        <f t="shared" si="12"/>
        <v>91.72504852</v>
      </c>
      <c r="O70" s="39">
        <f t="shared" si="13"/>
        <v>-16.86352914</v>
      </c>
      <c r="P70" s="39">
        <f t="shared" si="14"/>
        <v>-559.9361819</v>
      </c>
      <c r="Q70" s="38">
        <f t="shared" si="15"/>
        <v>244.0419858</v>
      </c>
      <c r="R70" s="38">
        <f t="shared" si="16"/>
        <v>548.1272746</v>
      </c>
      <c r="S70" s="40">
        <v>66.0</v>
      </c>
      <c r="T70" s="37">
        <f t="shared" si="17"/>
        <v>80.77948291</v>
      </c>
      <c r="U70" s="37">
        <f t="shared" si="18"/>
        <v>-33.22051709</v>
      </c>
      <c r="V70" s="37">
        <f t="shared" si="23"/>
        <v>0.5804728818</v>
      </c>
      <c r="W70" s="37">
        <f>'入力・結果'!$I$7/V70</f>
        <v>555581.5097</v>
      </c>
      <c r="X70" s="39">
        <f>(W70/I70*10)*'入力・結果'!$I$8</f>
        <v>5950.639398</v>
      </c>
      <c r="Y70" s="38">
        <f>DEGREES(ACOS(('入力・結果'!$G$3-('入力・結果'!$G$4*COS(RADIANS(S70))))/((('入力・結果'!$G$3^2)+('入力・結果'!$G$4^2)-(2*'入力・結果'!$G$3*'入力・結果'!$G$4*COS(RADIANS(S70))))^(1/2))))</f>
        <v>78.05502101</v>
      </c>
      <c r="Z70" s="38">
        <f>DEGREES(ACOS((('入力・結果'!$G$3^2)+('入力・結果'!$G$4^2)-('入力・結果'!$G$5^2)+('入力・結果'!$G$6^2)-(2*'入力・結果'!$G$3*'入力・結果'!$G$4*COS(RADIANS(S70))))/(2*'入力・結果'!$G$6*(('入力・結果'!$G$3^2)+('入力・結果'!$G$4^2)-(2*'入力・結果'!$G$3*'入力・結果'!$G$4*(COS(RADIANS(S70)))))^(1/2))))</f>
        <v>65.02708981</v>
      </c>
      <c r="AA70" s="38">
        <f>DEGREES(ACOS(('入力・結果'!$G$4-('入力・結果'!$G$3*COS(RADIANS(S70))))/((('入力・結果'!$G$3^2)+('入力・結果'!$G$4^2)-(2*'入力・結果'!$G$3*'入力・結果'!$G$4*COS(RADIANS(S70))))^(1/2))))</f>
        <v>35.94497899</v>
      </c>
      <c r="AB70" s="38">
        <f>DEGREES(ACOS((('入力・結果'!$G$3^2)+('入力・結果'!$G$4^2)+('入力・結果'!$G$5^2)-('入力・結果'!$G$6^2)-(2*'入力・結果'!$G$3*'入力・結果'!$G$4*COS(RADIANS(S70))))/(2*'入力・結果'!$G$5*(('入力・結果'!$G$3^2)+('入力・結果'!$G$4^2)-(2*'入力・結果'!$G$3*'入力・結果'!$G$4*(COS(RADIANS(S70)))))^(1/2))))</f>
        <v>44.83450393</v>
      </c>
      <c r="AC70" s="37">
        <f t="shared" si="19"/>
        <v>2650.639398</v>
      </c>
      <c r="AD70" s="37">
        <f t="shared" si="20"/>
        <v>2650.639398</v>
      </c>
      <c r="AE70" s="37" t="str">
        <f t="shared" si="21"/>
        <v/>
      </c>
      <c r="AF70" s="37" t="str">
        <f t="shared" si="22"/>
        <v/>
      </c>
      <c r="AG70" s="35"/>
      <c r="AH70" s="35"/>
      <c r="AI70" s="35"/>
      <c r="AJ70" s="35">
        <v>67.0</v>
      </c>
      <c r="AK70" s="35">
        <f t="shared" si="1"/>
        <v>1.760175324</v>
      </c>
    </row>
    <row r="71" ht="12.75" customHeight="1">
      <c r="A71" s="35"/>
      <c r="B71" s="37">
        <v>67.0</v>
      </c>
      <c r="C71" s="38">
        <f t="shared" si="2"/>
        <v>19.53655642</v>
      </c>
      <c r="D71" s="38">
        <f t="shared" si="3"/>
        <v>-46.02524267</v>
      </c>
      <c r="E71" s="38">
        <f>'演算'!U71</f>
        <v>-32.65239186</v>
      </c>
      <c r="F71" s="38">
        <f t="shared" si="4"/>
        <v>32.65239186</v>
      </c>
      <c r="G71" s="38">
        <f t="shared" si="5"/>
        <v>-443.5411065</v>
      </c>
      <c r="H71" s="38">
        <f t="shared" si="6"/>
        <v>-342.7727415</v>
      </c>
      <c r="I71" s="39">
        <f t="shared" si="7"/>
        <v>560.5549621</v>
      </c>
      <c r="J71" s="38">
        <f t="shared" si="8"/>
        <v>-37.69718706</v>
      </c>
      <c r="K71" s="38" t="str">
        <f t="shared" si="9"/>
        <v/>
      </c>
      <c r="L71" s="38">
        <f t="shared" si="10"/>
        <v>1</v>
      </c>
      <c r="M71" s="38">
        <f t="shared" si="11"/>
        <v>142.3028129</v>
      </c>
      <c r="N71" s="39">
        <f t="shared" si="12"/>
        <v>92.30281294</v>
      </c>
      <c r="O71" s="39">
        <f t="shared" si="13"/>
        <v>-22.52357377</v>
      </c>
      <c r="P71" s="39">
        <f t="shared" si="14"/>
        <v>-560.1022711</v>
      </c>
      <c r="Q71" s="38">
        <f t="shared" si="15"/>
        <v>234.4386771</v>
      </c>
      <c r="R71" s="38">
        <f t="shared" si="16"/>
        <v>552.3029121</v>
      </c>
      <c r="S71" s="40">
        <v>67.0</v>
      </c>
      <c r="T71" s="37">
        <f t="shared" si="17"/>
        <v>80.34760814</v>
      </c>
      <c r="U71" s="37">
        <f t="shared" si="18"/>
        <v>-32.65239186</v>
      </c>
      <c r="V71" s="37">
        <f t="shared" si="23"/>
        <v>0.5681252238</v>
      </c>
      <c r="W71" s="37">
        <f>'入力・結果'!$I$7/V71</f>
        <v>567656.5421</v>
      </c>
      <c r="X71" s="39">
        <f>(W71/I71*10)*'入力・結果'!$I$8</f>
        <v>6076.013028</v>
      </c>
      <c r="Y71" s="38">
        <f>DEGREES(ACOS(('入力・結果'!$G$3-('入力・結果'!$G$4*COS(RADIANS(S71))))/((('入力・結果'!$G$3^2)+('入力・結果'!$G$4^2)-(2*'入力・結果'!$G$3*'入力・結果'!$G$4*COS(RADIANS(S71))))^(1/2))))</f>
        <v>77.19199203</v>
      </c>
      <c r="Z71" s="38">
        <f>DEGREES(ACOS((('入力・結果'!$G$3^2)+('入力・結果'!$G$4^2)-('入力・結果'!$G$5^2)+('入力・結果'!$G$6^2)-(2*'入力・結果'!$G$3*'入力・結果'!$G$4*COS(RADIANS(S71))))/(2*'入力・結果'!$G$6*(('入力・結果'!$G$3^2)+('入力・結果'!$G$4^2)-(2*'入力・結果'!$G$3*'入力・結果'!$G$4*(COS(RADIANS(S71)))))^(1/2))))</f>
        <v>64.39603878</v>
      </c>
      <c r="AA71" s="38">
        <f>DEGREES(ACOS(('入力・結果'!$G$4-('入力・結果'!$G$3*COS(RADIANS(S71))))/((('入力・結果'!$G$3^2)+('入力・結果'!$G$4^2)-(2*'入力・結果'!$G$3*'入力・結果'!$G$4*COS(RADIANS(S71))))^(1/2))))</f>
        <v>35.80800797</v>
      </c>
      <c r="AB71" s="38">
        <f>DEGREES(ACOS((('入力・結果'!$G$3^2)+('入力・結果'!$G$4^2)+('入力・結果'!$G$5^2)-('入力・結果'!$G$6^2)-(2*'入力・結果'!$G$3*'入力・結果'!$G$4*COS(RADIANS(S71))))/(2*'入力・結果'!$G$5*(('入力・結果'!$G$3^2)+('入力・結果'!$G$4^2)-(2*'入力・結果'!$G$3*'入力・結果'!$G$4*(COS(RADIANS(S71)))))^(1/2))))</f>
        <v>44.53960017</v>
      </c>
      <c r="AC71" s="37">
        <f t="shared" si="19"/>
        <v>2776.013028</v>
      </c>
      <c r="AD71" s="37">
        <f t="shared" si="20"/>
        <v>2776.013028</v>
      </c>
      <c r="AE71" s="37" t="str">
        <f t="shared" si="21"/>
        <v/>
      </c>
      <c r="AF71" s="37" t="str">
        <f t="shared" si="22"/>
        <v/>
      </c>
      <c r="AG71" s="35"/>
      <c r="AH71" s="35"/>
      <c r="AI71" s="35"/>
      <c r="AJ71" s="35">
        <v>68.0</v>
      </c>
      <c r="AK71" s="35">
        <f t="shared" si="1"/>
        <v>1.797906077</v>
      </c>
    </row>
    <row r="72" ht="12.75" customHeight="1">
      <c r="A72" s="35"/>
      <c r="B72" s="37">
        <v>68.0</v>
      </c>
      <c r="C72" s="38">
        <f t="shared" si="2"/>
        <v>18.73032967</v>
      </c>
      <c r="D72" s="38">
        <f t="shared" si="3"/>
        <v>-46.35919273</v>
      </c>
      <c r="E72" s="38">
        <f>'演算'!U72</f>
        <v>-32.09618928</v>
      </c>
      <c r="F72" s="38">
        <f t="shared" si="4"/>
        <v>32.09618928</v>
      </c>
      <c r="G72" s="38">
        <f t="shared" si="5"/>
        <v>-447.2061648</v>
      </c>
      <c r="H72" s="38">
        <f t="shared" si="6"/>
        <v>-338.5974229</v>
      </c>
      <c r="I72" s="39">
        <f t="shared" si="7"/>
        <v>560.929201</v>
      </c>
      <c r="J72" s="38">
        <f t="shared" si="8"/>
        <v>-37.13079982</v>
      </c>
      <c r="K72" s="38" t="str">
        <f t="shared" si="9"/>
        <v/>
      </c>
      <c r="L72" s="38">
        <f t="shared" si="10"/>
        <v>1</v>
      </c>
      <c r="M72" s="38">
        <f t="shared" si="11"/>
        <v>142.8692002</v>
      </c>
      <c r="N72" s="39">
        <f t="shared" si="12"/>
        <v>92.86920018</v>
      </c>
      <c r="O72" s="39">
        <f t="shared" si="13"/>
        <v>-28.07790743</v>
      </c>
      <c r="P72" s="39">
        <f t="shared" si="14"/>
        <v>-560.2260255</v>
      </c>
      <c r="Q72" s="38">
        <f t="shared" si="15"/>
        <v>224.763956</v>
      </c>
      <c r="R72" s="38">
        <f t="shared" si="16"/>
        <v>556.3103127</v>
      </c>
      <c r="S72" s="40">
        <v>68.0</v>
      </c>
      <c r="T72" s="37">
        <f t="shared" si="17"/>
        <v>79.90381072</v>
      </c>
      <c r="U72" s="37">
        <f t="shared" si="18"/>
        <v>-32.09618928</v>
      </c>
      <c r="V72" s="37">
        <f t="shared" si="23"/>
        <v>0.5562025809</v>
      </c>
      <c r="W72" s="37">
        <f>'入力・結果'!$I$7/V72</f>
        <v>579824.7097</v>
      </c>
      <c r="X72" s="39">
        <f>(W72/I72*10)*'入力・結果'!$I$8</f>
        <v>6202.116509</v>
      </c>
      <c r="Y72" s="38">
        <f>DEGREES(ACOS(('入力・結果'!$G$3-('入力・結果'!$G$4*COS(RADIANS(S72))))/((('入力・結果'!$G$3^2)+('入力・結果'!$G$4^2)-(2*'入力・結果'!$G$3*'入力・結果'!$G$4*COS(RADIANS(S72))))^(1/2))))</f>
        <v>76.33673295</v>
      </c>
      <c r="Z72" s="38">
        <f>DEGREES(ACOS((('入力・結果'!$G$3^2)+('入力・結果'!$G$4^2)-('入力・結果'!$G$5^2)+('入力・結果'!$G$6^2)-(2*'入力・結果'!$G$3*'入力・結果'!$G$4*COS(RADIANS(S72))))/(2*'入力・結果'!$G$6*(('入力・結果'!$G$3^2)+('入力・結果'!$G$4^2)-(2*'入力・結果'!$G$3*'入力・結果'!$G$4*(COS(RADIANS(S72)))))^(1/2))))</f>
        <v>63.76741734</v>
      </c>
      <c r="AA72" s="38">
        <f>DEGREES(ACOS(('入力・結果'!$G$4-('入力・結果'!$G$3*COS(RADIANS(S72))))/((('入力・結果'!$G$3^2)+('入力・結果'!$G$4^2)-(2*'入力・結果'!$G$3*'入力・結果'!$G$4*COS(RADIANS(S72))))^(1/2))))</f>
        <v>35.66326705</v>
      </c>
      <c r="AB72" s="38">
        <f>DEGREES(ACOS((('入力・結果'!$G$3^2)+('入力・結果'!$G$4^2)+('入力・結果'!$G$5^2)-('入力・結果'!$G$6^2)-(2*'入力・結果'!$G$3*'入力・結果'!$G$4*COS(RADIANS(S72))))/(2*'入力・結果'!$G$5*(('入力・結果'!$G$3^2)+('入力・結果'!$G$4^2)-(2*'入力・結果'!$G$3*'入力・結果'!$G$4*(COS(RADIANS(S72)))))^(1/2))))</f>
        <v>44.24054366</v>
      </c>
      <c r="AC72" s="37">
        <f t="shared" si="19"/>
        <v>2902.116509</v>
      </c>
      <c r="AD72" s="37">
        <f t="shared" si="20"/>
        <v>2902.116509</v>
      </c>
      <c r="AE72" s="37" t="str">
        <f t="shared" si="21"/>
        <v/>
      </c>
      <c r="AF72" s="37" t="str">
        <f t="shared" si="22"/>
        <v/>
      </c>
      <c r="AG72" s="35"/>
      <c r="AH72" s="35"/>
      <c r="AI72" s="35"/>
      <c r="AJ72" s="35">
        <v>69.0</v>
      </c>
      <c r="AK72" s="35">
        <f t="shared" si="1"/>
        <v>1.835913953</v>
      </c>
    </row>
    <row r="73" ht="12.75" customHeight="1">
      <c r="A73" s="35"/>
      <c r="B73" s="37">
        <v>69.0</v>
      </c>
      <c r="C73" s="38">
        <f t="shared" si="2"/>
        <v>17.91839748</v>
      </c>
      <c r="D73" s="38">
        <f t="shared" si="3"/>
        <v>-46.67902132</v>
      </c>
      <c r="E73" s="38">
        <f>'演算'!U73</f>
        <v>-31.55150145</v>
      </c>
      <c r="F73" s="38">
        <f t="shared" si="4"/>
        <v>31.55150145</v>
      </c>
      <c r="G73" s="38">
        <f t="shared" si="5"/>
        <v>-450.7751915</v>
      </c>
      <c r="H73" s="38">
        <f t="shared" si="6"/>
        <v>-334.4746426</v>
      </c>
      <c r="I73" s="39">
        <f t="shared" si="7"/>
        <v>561.312355</v>
      </c>
      <c r="J73" s="38">
        <f t="shared" si="8"/>
        <v>-36.57536998</v>
      </c>
      <c r="K73" s="38" t="str">
        <f t="shared" si="9"/>
        <v/>
      </c>
      <c r="L73" s="38">
        <f t="shared" si="10"/>
        <v>1</v>
      </c>
      <c r="M73" s="38">
        <f t="shared" si="11"/>
        <v>143.42463</v>
      </c>
      <c r="N73" s="39">
        <f t="shared" si="12"/>
        <v>93.42463002</v>
      </c>
      <c r="O73" s="39">
        <f t="shared" si="13"/>
        <v>-33.53026649</v>
      </c>
      <c r="P73" s="39">
        <f t="shared" si="14"/>
        <v>-560.3099866</v>
      </c>
      <c r="Q73" s="38">
        <f t="shared" si="15"/>
        <v>215.0207697</v>
      </c>
      <c r="R73" s="38">
        <f t="shared" si="16"/>
        <v>560.1482559</v>
      </c>
      <c r="S73" s="40">
        <v>69.0</v>
      </c>
      <c r="T73" s="37">
        <f t="shared" si="17"/>
        <v>79.44849855</v>
      </c>
      <c r="U73" s="37">
        <f t="shared" si="18"/>
        <v>-31.55150145</v>
      </c>
      <c r="V73" s="37">
        <f t="shared" si="23"/>
        <v>0.5446878369</v>
      </c>
      <c r="W73" s="37">
        <f>'入力・結果'!$I$7/V73</f>
        <v>592082.25</v>
      </c>
      <c r="X73" s="39">
        <f>(W73/I73*10)*'入力・結果'!$I$8</f>
        <v>6328.906657</v>
      </c>
      <c r="Y73" s="38">
        <f>DEGREES(ACOS(('入力・結果'!$G$3-('入力・結果'!$G$4*COS(RADIANS(S73))))/((('入力・結果'!$G$3^2)+('入力・結果'!$G$4^2)-(2*'入力・結果'!$G$3*'入力・結果'!$G$4*COS(RADIANS(S73))))^(1/2))))</f>
        <v>75.48897101</v>
      </c>
      <c r="Z73" s="38">
        <f>DEGREES(ACOS((('入力・結果'!$G$3^2)+('入力・結果'!$G$4^2)-('入力・結果'!$G$5^2)+('入力・結果'!$G$6^2)-(2*'入力・結果'!$G$3*'入力・結果'!$G$4*COS(RADIANS(S73))))/(2*'入力・結果'!$G$6*(('入力・結果'!$G$3^2)+('入力・結果'!$G$4^2)-(2*'入力・結果'!$G$3*'入力・結果'!$G$4*(COS(RADIANS(S73)))))^(1/2))))</f>
        <v>63.14115716</v>
      </c>
      <c r="AA73" s="38">
        <f>DEGREES(ACOS(('入力・結果'!$G$4-('入力・結果'!$G$3*COS(RADIANS(S73))))/((('入力・結果'!$G$3^2)+('入力・結果'!$G$4^2)-(2*'入力・結果'!$G$3*'入力・結果'!$G$4*COS(RADIANS(S73))))^(1/2))))</f>
        <v>35.51102899</v>
      </c>
      <c r="AB73" s="38">
        <f>DEGREES(ACOS((('入力・結果'!$G$3^2)+('入力・結果'!$G$4^2)+('入力・結果'!$G$5^2)-('入力・結果'!$G$6^2)-(2*'入力・結果'!$G$3*'入力・結果'!$G$4*COS(RADIANS(S73))))/(2*'入力・結果'!$G$5*(('入力・結果'!$G$3^2)+('入力・結果'!$G$4^2)-(2*'入力・結果'!$G$3*'入力・結果'!$G$4*(COS(RADIANS(S73)))))^(1/2))))</f>
        <v>43.93746957</v>
      </c>
      <c r="AC73" s="37">
        <f t="shared" si="19"/>
        <v>3028.906657</v>
      </c>
      <c r="AD73" s="37">
        <f t="shared" si="20"/>
        <v>3028.906657</v>
      </c>
      <c r="AE73" s="37" t="str">
        <f t="shared" si="21"/>
        <v/>
      </c>
      <c r="AF73" s="37" t="str">
        <f t="shared" si="22"/>
        <v/>
      </c>
      <c r="AG73" s="35"/>
      <c r="AH73" s="35"/>
      <c r="AI73" s="35"/>
      <c r="AJ73" s="35">
        <v>70.0</v>
      </c>
      <c r="AK73" s="35">
        <f t="shared" si="1"/>
        <v>1.874187214</v>
      </c>
    </row>
    <row r="74" ht="12.75" customHeight="1">
      <c r="A74" s="35"/>
      <c r="B74" s="37">
        <v>70.0</v>
      </c>
      <c r="C74" s="38">
        <f t="shared" si="2"/>
        <v>17.10100717</v>
      </c>
      <c r="D74" s="38">
        <f t="shared" si="3"/>
        <v>-46.98463104</v>
      </c>
      <c r="E74" s="38">
        <f>'演算'!U74</f>
        <v>-31.01793682</v>
      </c>
      <c r="F74" s="38">
        <f t="shared" si="4"/>
        <v>31.01793682</v>
      </c>
      <c r="G74" s="38">
        <f t="shared" si="5"/>
        <v>-454.2523053</v>
      </c>
      <c r="H74" s="38">
        <f t="shared" si="6"/>
        <v>-330.4031464</v>
      </c>
      <c r="I74" s="39">
        <f t="shared" si="7"/>
        <v>561.704011</v>
      </c>
      <c r="J74" s="38">
        <f t="shared" si="8"/>
        <v>-36.03049441</v>
      </c>
      <c r="K74" s="38" t="str">
        <f t="shared" si="9"/>
        <v/>
      </c>
      <c r="L74" s="38">
        <f t="shared" si="10"/>
        <v>1</v>
      </c>
      <c r="M74" s="38">
        <f t="shared" si="11"/>
        <v>143.9695056</v>
      </c>
      <c r="N74" s="39">
        <f t="shared" si="12"/>
        <v>93.96950559</v>
      </c>
      <c r="O74" s="39">
        <f t="shared" si="13"/>
        <v>-38.88425924</v>
      </c>
      <c r="P74" s="39">
        <f t="shared" si="14"/>
        <v>-560.3565029</v>
      </c>
      <c r="Q74" s="38">
        <f t="shared" si="15"/>
        <v>205.212086</v>
      </c>
      <c r="R74" s="38">
        <f t="shared" si="16"/>
        <v>563.8155725</v>
      </c>
      <c r="S74" s="40">
        <v>70.0</v>
      </c>
      <c r="T74" s="37">
        <f t="shared" si="17"/>
        <v>78.98206318</v>
      </c>
      <c r="U74" s="37">
        <f t="shared" si="18"/>
        <v>-31.01793682</v>
      </c>
      <c r="V74" s="37">
        <f t="shared" si="23"/>
        <v>0.533564626</v>
      </c>
      <c r="W74" s="37">
        <f>'入力・結果'!$I$7/V74</f>
        <v>604425.3766</v>
      </c>
      <c r="X74" s="39">
        <f>(W74/I74*10)*'入力・結果'!$I$8</f>
        <v>6456.340329</v>
      </c>
      <c r="Y74" s="38">
        <f>DEGREES(ACOS(('入力・結果'!$G$3-('入力・結果'!$G$4*COS(RADIANS(S74))))/((('入力・結果'!$G$3^2)+('入力・結果'!$G$4^2)-(2*'入力・結果'!$G$3*'入力・結果'!$G$4*COS(RADIANS(S74))))^(1/2))))</f>
        <v>74.6484449</v>
      </c>
      <c r="Z74" s="38">
        <f>DEGREES(ACOS((('入力・結果'!$G$3^2)+('入力・結果'!$G$4^2)-('入力・結果'!$G$5^2)+('入力・結果'!$G$6^2)-(2*'入力・結果'!$G$3*'入力・結果'!$G$4*COS(RADIANS(S74))))/(2*'入力・結果'!$G$6*(('入力・結果'!$G$3^2)+('入力・結果'!$G$4^2)-(2*'入力・結果'!$G$3*'入力・結果'!$G$4*(COS(RADIANS(S74)))))^(1/2))))</f>
        <v>62.51719164</v>
      </c>
      <c r="AA74" s="38">
        <f>DEGREES(ACOS(('入力・結果'!$G$4-('入力・結果'!$G$3*COS(RADIANS(S74))))/((('入力・結果'!$G$3^2)+('入力・結果'!$G$4^2)-(2*'入力・結果'!$G$3*'入力・結果'!$G$4*COS(RADIANS(S74))))^(1/2))))</f>
        <v>35.3515551</v>
      </c>
      <c r="AB74" s="38">
        <f>DEGREES(ACOS((('入力・結果'!$G$3^2)+('入力・結果'!$G$4^2)+('入力・結果'!$G$5^2)-('入力・結果'!$G$6^2)-(2*'入力・結果'!$G$3*'入力・結果'!$G$4*COS(RADIANS(S74))))/(2*'入力・結果'!$G$5*(('入力・結果'!$G$3^2)+('入力・結果'!$G$4^2)-(2*'入力・結果'!$G$3*'入力・結果'!$G$4*(COS(RADIANS(S74)))))^(1/2))))</f>
        <v>43.63050808</v>
      </c>
      <c r="AC74" s="37">
        <f t="shared" si="19"/>
        <v>3156.340329</v>
      </c>
      <c r="AD74" s="37">
        <f t="shared" si="20"/>
        <v>3156.340329</v>
      </c>
      <c r="AE74" s="37" t="str">
        <f t="shared" si="21"/>
        <v/>
      </c>
      <c r="AF74" s="37" t="str">
        <f t="shared" si="22"/>
        <v/>
      </c>
      <c r="AG74" s="35"/>
      <c r="AH74" s="35"/>
      <c r="AI74" s="35"/>
      <c r="AJ74" s="35">
        <v>71.0</v>
      </c>
      <c r="AK74" s="35">
        <f t="shared" si="1"/>
        <v>1.912714046</v>
      </c>
    </row>
    <row r="75" ht="12.75" customHeight="1">
      <c r="A75" s="35"/>
      <c r="B75" s="37">
        <v>71.0</v>
      </c>
      <c r="C75" s="38">
        <f t="shared" si="2"/>
        <v>16.27840772</v>
      </c>
      <c r="D75" s="38">
        <f t="shared" si="3"/>
        <v>-47.27592878</v>
      </c>
      <c r="E75" s="38">
        <f>'演算'!U75</f>
        <v>-30.49511952</v>
      </c>
      <c r="F75" s="38">
        <f t="shared" si="4"/>
        <v>30.49511952</v>
      </c>
      <c r="G75" s="38">
        <f t="shared" si="5"/>
        <v>-457.6414066</v>
      </c>
      <c r="H75" s="38">
        <f t="shared" si="6"/>
        <v>-326.3816607</v>
      </c>
      <c r="I75" s="39">
        <f t="shared" si="7"/>
        <v>562.1037675</v>
      </c>
      <c r="J75" s="38">
        <f t="shared" si="8"/>
        <v>-35.49578591</v>
      </c>
      <c r="K75" s="38" t="str">
        <f t="shared" si="9"/>
        <v/>
      </c>
      <c r="L75" s="38">
        <f t="shared" si="10"/>
        <v>1</v>
      </c>
      <c r="M75" s="38">
        <f t="shared" si="11"/>
        <v>144.5042141</v>
      </c>
      <c r="N75" s="39">
        <f t="shared" si="12"/>
        <v>94.50421409</v>
      </c>
      <c r="O75" s="39">
        <f t="shared" si="13"/>
        <v>-44.14336834</v>
      </c>
      <c r="P75" s="39">
        <f t="shared" si="14"/>
        <v>-560.367744</v>
      </c>
      <c r="Q75" s="38">
        <f t="shared" si="15"/>
        <v>195.3408927</v>
      </c>
      <c r="R75" s="38">
        <f t="shared" si="16"/>
        <v>567.3111454</v>
      </c>
      <c r="S75" s="40">
        <v>71.0</v>
      </c>
      <c r="T75" s="37">
        <f t="shared" si="17"/>
        <v>78.50488048</v>
      </c>
      <c r="U75" s="37">
        <f t="shared" si="18"/>
        <v>-30.49511952</v>
      </c>
      <c r="V75" s="37">
        <f t="shared" si="23"/>
        <v>0.5228173035</v>
      </c>
      <c r="W75" s="37">
        <f>'入力・結果'!$I$7/V75</f>
        <v>616850.2799</v>
      </c>
      <c r="X75" s="39">
        <f>(W75/I75*10)*'入力・結果'!$I$8</f>
        <v>6584.37444</v>
      </c>
      <c r="Y75" s="38">
        <f>DEGREES(ACOS(('入力・結果'!$G$3-('入力・結果'!$G$4*COS(RADIANS(S75))))/((('入力・結果'!$G$3^2)+('入力・結果'!$G$4^2)-(2*'入力・結果'!$G$3*'入力・結果'!$G$4*COS(RADIANS(S75))))^(1/2))))</f>
        <v>73.81490415</v>
      </c>
      <c r="Z75" s="38">
        <f>DEGREES(ACOS((('入力・結果'!$G$3^2)+('入力・結果'!$G$4^2)-('入力・結果'!$G$5^2)+('入力・結果'!$G$6^2)-(2*'入力・結果'!$G$3*'入力・結果'!$G$4*COS(RADIANS(S75))))/(2*'入力・結果'!$G$6*(('入力・結果'!$G$3^2)+('入力・結果'!$G$4^2)-(2*'入力・結果'!$G$3*'入力・結果'!$G$4*(COS(RADIANS(S75)))))^(1/2))))</f>
        <v>61.89545591</v>
      </c>
      <c r="AA75" s="38">
        <f>DEGREES(ACOS(('入力・結果'!$G$4-('入力・結果'!$G$3*COS(RADIANS(S75))))/((('入力・結果'!$G$3^2)+('入力・結果'!$G$4^2)-(2*'入力・結果'!$G$3*'入力・結果'!$G$4*COS(RADIANS(S75))))^(1/2))))</f>
        <v>35.18509585</v>
      </c>
      <c r="AB75" s="38">
        <f>DEGREES(ACOS((('入力・結果'!$G$3^2)+('入力・結果'!$G$4^2)+('入力・結果'!$G$5^2)-('入力・結果'!$G$6^2)-(2*'入力・結果'!$G$3*'入力・結果'!$G$4*COS(RADIANS(S75))))/(2*'入力・結果'!$G$5*(('入力・結果'!$G$3^2)+('入力・結果'!$G$4^2)-(2*'入力・結果'!$G$3*'入力・結果'!$G$4*(COS(RADIANS(S75)))))^(1/2))))</f>
        <v>43.31978463</v>
      </c>
      <c r="AC75" s="37">
        <f t="shared" si="19"/>
        <v>3284.37444</v>
      </c>
      <c r="AD75" s="37">
        <f t="shared" si="20"/>
        <v>3284.37444</v>
      </c>
      <c r="AE75" s="37" t="str">
        <f t="shared" si="21"/>
        <v/>
      </c>
      <c r="AF75" s="37" t="str">
        <f t="shared" si="22"/>
        <v/>
      </c>
      <c r="AG75" s="35"/>
      <c r="AH75" s="35"/>
      <c r="AI75" s="35"/>
      <c r="AJ75" s="35">
        <v>72.0</v>
      </c>
      <c r="AK75" s="35">
        <f t="shared" si="1"/>
        <v>1.951482569</v>
      </c>
    </row>
    <row r="76" ht="12.75" customHeight="1">
      <c r="A76" s="35"/>
      <c r="B76" s="37">
        <v>72.0</v>
      </c>
      <c r="C76" s="38">
        <f t="shared" si="2"/>
        <v>15.45084972</v>
      </c>
      <c r="D76" s="38">
        <f t="shared" si="3"/>
        <v>-47.55282581</v>
      </c>
      <c r="E76" s="38">
        <f>'演算'!U76</f>
        <v>-29.9826886</v>
      </c>
      <c r="F76" s="38">
        <f t="shared" si="4"/>
        <v>29.9826886</v>
      </c>
      <c r="G76" s="38">
        <f t="shared" si="5"/>
        <v>-460.9461894</v>
      </c>
      <c r="H76" s="38">
        <f t="shared" si="6"/>
        <v>-322.4088993</v>
      </c>
      <c r="I76" s="39">
        <f t="shared" si="7"/>
        <v>562.5112335</v>
      </c>
      <c r="J76" s="38">
        <f t="shared" si="8"/>
        <v>-34.97087256</v>
      </c>
      <c r="K76" s="38" t="str">
        <f t="shared" si="9"/>
        <v/>
      </c>
      <c r="L76" s="38">
        <f t="shared" si="10"/>
        <v>1</v>
      </c>
      <c r="M76" s="38">
        <f t="shared" si="11"/>
        <v>145.0291274</v>
      </c>
      <c r="N76" s="39">
        <f t="shared" si="12"/>
        <v>95.02912744</v>
      </c>
      <c r="O76" s="39">
        <f t="shared" si="13"/>
        <v>-49.31095352</v>
      </c>
      <c r="P76" s="39">
        <f t="shared" si="14"/>
        <v>-560.3457127</v>
      </c>
      <c r="Q76" s="38">
        <f t="shared" si="15"/>
        <v>185.4101966</v>
      </c>
      <c r="R76" s="38">
        <f t="shared" si="16"/>
        <v>570.6339098</v>
      </c>
      <c r="S76" s="40">
        <v>72.0</v>
      </c>
      <c r="T76" s="37">
        <f t="shared" si="17"/>
        <v>78.0173114</v>
      </c>
      <c r="U76" s="37">
        <f t="shared" si="18"/>
        <v>-29.9826886</v>
      </c>
      <c r="V76" s="37">
        <f t="shared" si="23"/>
        <v>0.5124309157</v>
      </c>
      <c r="W76" s="37">
        <f>'入力・結果'!$I$7/V76</f>
        <v>629353.1286</v>
      </c>
      <c r="X76" s="39">
        <f>(W76/I76*10)*'入力・結果'!$I$8</f>
        <v>6712.965975</v>
      </c>
      <c r="Y76" s="38">
        <f>DEGREES(ACOS(('入力・結果'!$G$3-('入力・結果'!$G$4*COS(RADIANS(S76))))/((('入力・結果'!$G$3^2)+('入力・結果'!$G$4^2)-(2*'入力・結果'!$G$3*'入力・結果'!$G$4*COS(RADIANS(S76))))^(1/2))))</f>
        <v>72.98810865</v>
      </c>
      <c r="Z76" s="38">
        <f>DEGREES(ACOS((('入力・結果'!$G$3^2)+('入力・結果'!$G$4^2)-('入力・結果'!$G$5^2)+('入力・結果'!$G$6^2)-(2*'入力・結果'!$G$3*'入力・結果'!$G$4*COS(RADIANS(S76))))/(2*'入力・結果'!$G$6*(('入力・結果'!$G$3^2)+('入力・結果'!$G$4^2)-(2*'入力・結果'!$G$3*'入力・結果'!$G$4*(COS(RADIANS(S76)))))^(1/2))))</f>
        <v>61.27588682</v>
      </c>
      <c r="AA76" s="38">
        <f>DEGREES(ACOS(('入力・結果'!$G$4-('入力・結果'!$G$3*COS(RADIANS(S76))))/((('入力・結果'!$G$3^2)+('入力・結果'!$G$4^2)-(2*'入力・結果'!$G$3*'入力・結果'!$G$4*COS(RADIANS(S76))))^(1/2))))</f>
        <v>35.01189135</v>
      </c>
      <c r="AB76" s="38">
        <f>DEGREES(ACOS((('入力・結果'!$G$3^2)+('入力・結果'!$G$4^2)+('入力・結果'!$G$5^2)-('入力・結果'!$G$6^2)-(2*'入力・結果'!$G$3*'入力・結果'!$G$4*COS(RADIANS(S76))))/(2*'入力・結果'!$G$5*(('入力・結果'!$G$3^2)+('入力・結果'!$G$4^2)-(2*'入力・結果'!$G$3*'入力・結果'!$G$4*(COS(RADIANS(S76)))))^(1/2))))</f>
        <v>43.00542005</v>
      </c>
      <c r="AC76" s="37">
        <f t="shared" si="19"/>
        <v>3412.965975</v>
      </c>
      <c r="AD76" s="37">
        <f t="shared" si="20"/>
        <v>3412.965975</v>
      </c>
      <c r="AE76" s="37" t="str">
        <f t="shared" si="21"/>
        <v/>
      </c>
      <c r="AF76" s="37" t="str">
        <f t="shared" si="22"/>
        <v/>
      </c>
      <c r="AG76" s="35"/>
      <c r="AH76" s="35"/>
      <c r="AI76" s="35"/>
      <c r="AJ76" s="35">
        <v>73.0</v>
      </c>
      <c r="AK76" s="35">
        <f t="shared" si="1"/>
        <v>1.990480837</v>
      </c>
    </row>
    <row r="77" ht="12.75" customHeight="1">
      <c r="A77" s="35"/>
      <c r="B77" s="37">
        <v>73.0</v>
      </c>
      <c r="C77" s="38">
        <f t="shared" si="2"/>
        <v>14.61858524</v>
      </c>
      <c r="D77" s="38">
        <f t="shared" si="3"/>
        <v>-47.8152378</v>
      </c>
      <c r="E77" s="38">
        <f>'演算'!U77</f>
        <v>-29.48029743</v>
      </c>
      <c r="F77" s="38">
        <f t="shared" si="4"/>
        <v>29.48029743</v>
      </c>
      <c r="G77" s="38">
        <f t="shared" si="5"/>
        <v>-464.1701518</v>
      </c>
      <c r="H77" s="38">
        <f t="shared" si="6"/>
        <v>-318.4835685</v>
      </c>
      <c r="I77" s="39">
        <f t="shared" si="7"/>
        <v>562.9260282</v>
      </c>
      <c r="J77" s="38">
        <f t="shared" si="8"/>
        <v>-34.4553971</v>
      </c>
      <c r="K77" s="38" t="str">
        <f t="shared" si="9"/>
        <v/>
      </c>
      <c r="L77" s="38">
        <f t="shared" si="10"/>
        <v>1</v>
      </c>
      <c r="M77" s="38">
        <f t="shared" si="11"/>
        <v>145.5446029</v>
      </c>
      <c r="N77" s="39">
        <f t="shared" si="12"/>
        <v>95.5446029</v>
      </c>
      <c r="O77" s="39">
        <f t="shared" si="13"/>
        <v>-54.3902545</v>
      </c>
      <c r="P77" s="39">
        <f t="shared" si="14"/>
        <v>-560.2922572</v>
      </c>
      <c r="Q77" s="38">
        <f t="shared" si="15"/>
        <v>175.4230228</v>
      </c>
      <c r="R77" s="38">
        <f t="shared" si="16"/>
        <v>573.7828536</v>
      </c>
      <c r="S77" s="40">
        <v>73.0</v>
      </c>
      <c r="T77" s="37">
        <f t="shared" si="17"/>
        <v>77.51970257</v>
      </c>
      <c r="U77" s="37">
        <f t="shared" si="18"/>
        <v>-29.48029743</v>
      </c>
      <c r="V77" s="37">
        <f t="shared" si="23"/>
        <v>0.5023911718</v>
      </c>
      <c r="W77" s="37">
        <f>'入力・結果'!$I$7/V77</f>
        <v>641930.0699</v>
      </c>
      <c r="X77" s="39">
        <f>(W77/I77*10)*'入力・結果'!$I$8</f>
        <v>6842.072006</v>
      </c>
      <c r="Y77" s="38">
        <f>DEGREES(ACOS(('入力・結果'!$G$3-('入力・結果'!$G$4*COS(RADIANS(S77))))/((('入力・結果'!$G$3^2)+('入力・結果'!$G$4^2)-(2*'入力・結果'!$G$3*'入力・結果'!$G$4*COS(RADIANS(S77))))^(1/2))))</f>
        <v>72.1678282</v>
      </c>
      <c r="Z77" s="38">
        <f>DEGREES(ACOS((('入力・結果'!$G$3^2)+('入力・結果'!$G$4^2)-('入力・結果'!$G$5^2)+('入力・結果'!$G$6^2)-(2*'入力・結果'!$G$3*'入力・結果'!$G$4*COS(RADIANS(S77))))/(2*'入力・結果'!$G$6*(('入力・結果'!$G$3^2)+('入力・結果'!$G$4^2)-(2*'入力・結果'!$G$3*'入力・結果'!$G$4*(COS(RADIANS(S77)))))^(1/2))))</f>
        <v>60.65842294</v>
      </c>
      <c r="AA77" s="38">
        <f>DEGREES(ACOS(('入力・結果'!$G$4-('入力・結果'!$G$3*COS(RADIANS(S77))))/((('入力・結果'!$G$3^2)+('入力・結果'!$G$4^2)-(2*'入力・結果'!$G$3*'入力・結果'!$G$4*COS(RADIANS(S77))))^(1/2))))</f>
        <v>34.8321718</v>
      </c>
      <c r="AB77" s="38">
        <f>DEGREES(ACOS((('入力・結果'!$G$3^2)+('入力・結果'!$G$4^2)+('入力・結果'!$G$5^2)-('入力・結果'!$G$6^2)-(2*'入力・結果'!$G$3*'入力・結果'!$G$4*COS(RADIANS(S77))))/(2*'入力・結果'!$G$5*(('入力・結果'!$G$3^2)+('入力・結果'!$G$4^2)-(2*'入力・結果'!$G$3*'入力・結果'!$G$4*(COS(RADIANS(S77)))))^(1/2))))</f>
        <v>42.68753077</v>
      </c>
      <c r="AC77" s="37">
        <f t="shared" si="19"/>
        <v>3542.072006</v>
      </c>
      <c r="AD77" s="37">
        <f t="shared" si="20"/>
        <v>3542.072006</v>
      </c>
      <c r="AE77" s="37" t="str">
        <f t="shared" si="21"/>
        <v/>
      </c>
      <c r="AF77" s="37" t="str">
        <f t="shared" si="22"/>
        <v/>
      </c>
      <c r="AG77" s="35"/>
      <c r="AH77" s="35"/>
      <c r="AI77" s="35"/>
      <c r="AJ77" s="35">
        <v>74.0</v>
      </c>
      <c r="AK77" s="35">
        <f t="shared" si="1"/>
        <v>2.029696841</v>
      </c>
    </row>
    <row r="78" ht="12.75" customHeight="1">
      <c r="A78" s="35"/>
      <c r="B78" s="37">
        <v>74.0</v>
      </c>
      <c r="C78" s="38">
        <f t="shared" si="2"/>
        <v>13.78186779</v>
      </c>
      <c r="D78" s="38">
        <f t="shared" si="3"/>
        <v>-48.0630848</v>
      </c>
      <c r="E78" s="38">
        <f>'演算'!U78</f>
        <v>-28.98761301</v>
      </c>
      <c r="F78" s="38">
        <f t="shared" si="4"/>
        <v>28.98761301</v>
      </c>
      <c r="G78" s="38">
        <f t="shared" si="5"/>
        <v>-467.3166069</v>
      </c>
      <c r="H78" s="38">
        <f t="shared" si="6"/>
        <v>-314.6043717</v>
      </c>
      <c r="I78" s="39">
        <f t="shared" si="7"/>
        <v>563.3477805</v>
      </c>
      <c r="J78" s="38">
        <f t="shared" si="8"/>
        <v>-33.9490163</v>
      </c>
      <c r="K78" s="38" t="str">
        <f t="shared" si="9"/>
        <v/>
      </c>
      <c r="L78" s="38">
        <f t="shared" si="10"/>
        <v>1</v>
      </c>
      <c r="M78" s="38">
        <f t="shared" si="11"/>
        <v>146.0509837</v>
      </c>
      <c r="N78" s="39">
        <f t="shared" si="12"/>
        <v>96.0509837</v>
      </c>
      <c r="O78" s="39">
        <f t="shared" si="13"/>
        <v>-59.384394</v>
      </c>
      <c r="P78" s="39">
        <f t="shared" si="14"/>
        <v>-560.209082</v>
      </c>
      <c r="Q78" s="38">
        <f t="shared" si="15"/>
        <v>165.3824135</v>
      </c>
      <c r="R78" s="38">
        <f t="shared" si="16"/>
        <v>576.7570176</v>
      </c>
      <c r="S78" s="40">
        <v>74.0</v>
      </c>
      <c r="T78" s="37">
        <f t="shared" si="17"/>
        <v>77.01238699</v>
      </c>
      <c r="U78" s="37">
        <f t="shared" si="18"/>
        <v>-28.98761301</v>
      </c>
      <c r="V78" s="37">
        <f t="shared" si="23"/>
        <v>0.4926844147</v>
      </c>
      <c r="W78" s="37">
        <f>'入力・結果'!$I$7/V78</f>
        <v>654577.2311</v>
      </c>
      <c r="X78" s="39">
        <f>(W78/I78*10)*'入力・結果'!$I$8</f>
        <v>6971.649703</v>
      </c>
      <c r="Y78" s="38">
        <f>DEGREES(ACOS(('入力・結果'!$G$3-('入力・結果'!$G$4*COS(RADIANS(S78))))/((('入力・結果'!$G$3^2)+('入力・結果'!$G$4^2)-(2*'入力・結果'!$G$3*'入力・結果'!$G$4*COS(RADIANS(S78))))^(1/2))))</f>
        <v>71.35384196</v>
      </c>
      <c r="Z78" s="38">
        <f>DEGREES(ACOS((('入力・結果'!$G$3^2)+('入力・結果'!$G$4^2)-('入力・結果'!$G$5^2)+('入力・結果'!$G$6^2)-(2*'入力・結果'!$G$3*'入力・結果'!$G$4*COS(RADIANS(S78))))/(2*'入力・結果'!$G$6*(('入力・結果'!$G$3^2)+('入力・結果'!$G$4^2)-(2*'入力・結果'!$G$3*'入力・結果'!$G$4*(COS(RADIANS(S78)))))^(1/2))))</f>
        <v>60.04300455</v>
      </c>
      <c r="AA78" s="38">
        <f>DEGREES(ACOS(('入力・結果'!$G$4-('入力・結果'!$G$3*COS(RADIANS(S78))))/((('入力・結果'!$G$3^2)+('入力・結果'!$G$4^2)-(2*'入力・結果'!$G$3*'入力・結果'!$G$4*COS(RADIANS(S78))))^(1/2))))</f>
        <v>34.64615804</v>
      </c>
      <c r="AB78" s="38">
        <f>DEGREES(ACOS((('入力・結果'!$G$3^2)+('入力・結果'!$G$4^2)+('入力・結果'!$G$5^2)-('入力・結果'!$G$6^2)-(2*'入力・結果'!$G$3*'入力・結果'!$G$4*COS(RADIANS(S78))))/(2*'入力・結果'!$G$5*(('入力・結果'!$G$3^2)+('入力・結果'!$G$4^2)-(2*'入力・結果'!$G$3*'入力・結果'!$G$4*(COS(RADIANS(S78)))))^(1/2))))</f>
        <v>42.36622894</v>
      </c>
      <c r="AC78" s="37">
        <f t="shared" si="19"/>
        <v>3671.649703</v>
      </c>
      <c r="AD78" s="37">
        <f t="shared" si="20"/>
        <v>3671.649703</v>
      </c>
      <c r="AE78" s="37" t="str">
        <f t="shared" si="21"/>
        <v/>
      </c>
      <c r="AF78" s="37" t="str">
        <f t="shared" si="22"/>
        <v/>
      </c>
      <c r="AG78" s="35"/>
      <c r="AH78" s="35"/>
      <c r="AI78" s="35"/>
      <c r="AJ78" s="35">
        <v>75.0</v>
      </c>
      <c r="AK78" s="35">
        <f t="shared" si="1"/>
        <v>2.069118513</v>
      </c>
    </row>
    <row r="79" ht="12.75" customHeight="1">
      <c r="A79" s="35"/>
      <c r="B79" s="37">
        <v>75.0</v>
      </c>
      <c r="C79" s="38">
        <f t="shared" si="2"/>
        <v>12.94095226</v>
      </c>
      <c r="D79" s="38">
        <f t="shared" si="3"/>
        <v>-48.29629131</v>
      </c>
      <c r="E79" s="38">
        <f>'演算'!U79</f>
        <v>-28.50431542</v>
      </c>
      <c r="F79" s="38">
        <f t="shared" si="4"/>
        <v>28.50431542</v>
      </c>
      <c r="G79" s="38">
        <f t="shared" si="5"/>
        <v>-470.388692</v>
      </c>
      <c r="H79" s="38">
        <f t="shared" si="6"/>
        <v>-310.7700138</v>
      </c>
      <c r="I79" s="39">
        <f t="shared" si="7"/>
        <v>563.7761285</v>
      </c>
      <c r="J79" s="38">
        <f t="shared" si="8"/>
        <v>-33.45140036</v>
      </c>
      <c r="K79" s="38" t="str">
        <f t="shared" si="9"/>
        <v/>
      </c>
      <c r="L79" s="38">
        <f t="shared" si="10"/>
        <v>1</v>
      </c>
      <c r="M79" s="38">
        <f t="shared" si="11"/>
        <v>146.5485996</v>
      </c>
      <c r="N79" s="39">
        <f t="shared" si="12"/>
        <v>96.54859964</v>
      </c>
      <c r="O79" s="39">
        <f t="shared" si="13"/>
        <v>-64.29638083</v>
      </c>
      <c r="P79" s="39">
        <f t="shared" si="14"/>
        <v>-560.0977579</v>
      </c>
      <c r="Q79" s="38">
        <f t="shared" si="15"/>
        <v>155.2914271</v>
      </c>
      <c r="R79" s="38">
        <f t="shared" si="16"/>
        <v>579.5554958</v>
      </c>
      <c r="S79" s="40">
        <v>75.0</v>
      </c>
      <c r="T79" s="37">
        <f t="shared" si="17"/>
        <v>76.49568458</v>
      </c>
      <c r="U79" s="37">
        <f t="shared" si="18"/>
        <v>-28.50431542</v>
      </c>
      <c r="V79" s="37">
        <f t="shared" si="23"/>
        <v>0.4832975944</v>
      </c>
      <c r="W79" s="37">
        <f>'入力・結果'!$I$7/V79</f>
        <v>667290.7205</v>
      </c>
      <c r="X79" s="39">
        <f>(W79/I79*10)*'入力・結果'!$I$8</f>
        <v>7101.656351</v>
      </c>
      <c r="Y79" s="38">
        <f>DEGREES(ACOS(('入力・結果'!$G$3-('入力・結果'!$G$4*COS(RADIANS(S79))))/((('入力・結果'!$G$3^2)+('入力・結果'!$G$4^2)-(2*'入力・結果'!$G$3*'入力・結果'!$G$4*COS(RADIANS(S79))))^(1/2))))</f>
        <v>70.54593807</v>
      </c>
      <c r="Z79" s="38">
        <f>DEGREES(ACOS((('入力・結果'!$G$3^2)+('入力・結果'!$G$4^2)-('入力・結果'!$G$5^2)+('入力・結果'!$G$6^2)-(2*'入力・結果'!$G$3*'入力・結果'!$G$4*COS(RADIANS(S79))))/(2*'入力・結果'!$G$6*(('入力・結果'!$G$3^2)+('入力・結果'!$G$4^2)-(2*'入力・結果'!$G$3*'入力・結果'!$G$4*(COS(RADIANS(S79)))))^(1/2))))</f>
        <v>59.42957359</v>
      </c>
      <c r="AA79" s="38">
        <f>DEGREES(ACOS(('入力・結果'!$G$4-('入力・結果'!$G$3*COS(RADIANS(S79))))/((('入力・結果'!$G$3^2)+('入力・結果'!$G$4^2)-(2*'入力・結果'!$G$3*'入力・結果'!$G$4*COS(RADIANS(S79))))^(1/2))))</f>
        <v>34.45406193</v>
      </c>
      <c r="AB79" s="38">
        <f>DEGREES(ACOS((('入力・結果'!$G$3^2)+('入力・結果'!$G$4^2)+('入力・結果'!$G$5^2)-('入力・結果'!$G$6^2)-(2*'入力・結果'!$G$3*'入力・結果'!$G$4*COS(RADIANS(S79))))/(2*'入力・結果'!$G$5*(('入力・結果'!$G$3^2)+('入力・結果'!$G$4^2)-(2*'入力・結果'!$G$3*'入力・結果'!$G$4*(COS(RADIANS(S79)))))^(1/2))))</f>
        <v>42.04162265</v>
      </c>
      <c r="AC79" s="37">
        <f t="shared" si="19"/>
        <v>3801.656351</v>
      </c>
      <c r="AD79" s="37">
        <f t="shared" si="20"/>
        <v>3801.656351</v>
      </c>
      <c r="AE79" s="37" t="str">
        <f t="shared" si="21"/>
        <v/>
      </c>
      <c r="AF79" s="37" t="str">
        <f t="shared" si="22"/>
        <v/>
      </c>
      <c r="AG79" s="35"/>
      <c r="AH79" s="35"/>
      <c r="AI79" s="35"/>
      <c r="AJ79" s="35">
        <v>76.0</v>
      </c>
      <c r="AK79" s="35">
        <f t="shared" si="1"/>
        <v>2.108733731</v>
      </c>
    </row>
    <row r="80" ht="12.75" customHeight="1">
      <c r="A80" s="35"/>
      <c r="B80" s="37">
        <v>76.0</v>
      </c>
      <c r="C80" s="38">
        <f t="shared" si="2"/>
        <v>12.09609478</v>
      </c>
      <c r="D80" s="38">
        <f t="shared" si="3"/>
        <v>-48.51478631</v>
      </c>
      <c r="E80" s="38">
        <f>'演算'!U80</f>
        <v>-28.03009718</v>
      </c>
      <c r="F80" s="38">
        <f t="shared" si="4"/>
        <v>28.03009718</v>
      </c>
      <c r="G80" s="38">
        <f t="shared" si="5"/>
        <v>-473.3893782</v>
      </c>
      <c r="H80" s="38">
        <f t="shared" si="6"/>
        <v>-306.9792045</v>
      </c>
      <c r="I80" s="39">
        <f t="shared" si="7"/>
        <v>564.210719</v>
      </c>
      <c r="J80" s="38">
        <f t="shared" si="8"/>
        <v>-32.96223238</v>
      </c>
      <c r="K80" s="38" t="str">
        <f t="shared" si="9"/>
        <v/>
      </c>
      <c r="L80" s="38">
        <f t="shared" si="10"/>
        <v>1</v>
      </c>
      <c r="M80" s="38">
        <f t="shared" si="11"/>
        <v>147.0377676</v>
      </c>
      <c r="N80" s="39">
        <f t="shared" si="12"/>
        <v>97.03776762</v>
      </c>
      <c r="O80" s="39">
        <f t="shared" si="13"/>
        <v>-69.12911311</v>
      </c>
      <c r="P80" s="39">
        <f t="shared" si="14"/>
        <v>-559.9597317</v>
      </c>
      <c r="Q80" s="38">
        <f t="shared" si="15"/>
        <v>145.1531374</v>
      </c>
      <c r="R80" s="38">
        <f t="shared" si="16"/>
        <v>582.1774358</v>
      </c>
      <c r="S80" s="40">
        <v>76.0</v>
      </c>
      <c r="T80" s="37">
        <f t="shared" si="17"/>
        <v>75.96990282</v>
      </c>
      <c r="U80" s="37">
        <f t="shared" si="18"/>
        <v>-28.03009718</v>
      </c>
      <c r="V80" s="37">
        <f t="shared" si="23"/>
        <v>0.4742182406</v>
      </c>
      <c r="W80" s="37">
        <f>'入力・結果'!$I$7/V80</f>
        <v>680066.6283</v>
      </c>
      <c r="X80" s="39">
        <f>(W80/I80*10)*'入力・結果'!$I$8</f>
        <v>7232.049361</v>
      </c>
      <c r="Y80" s="38">
        <f>DEGREES(ACOS(('入力・結果'!$G$3-('入力・結果'!$G$4*COS(RADIANS(S80))))/((('入力・結果'!$G$3^2)+('入力・結果'!$G$4^2)-(2*'入力・結果'!$G$3*'入力・結果'!$G$4*COS(RADIANS(S80))))^(1/2))))</f>
        <v>69.74391322</v>
      </c>
      <c r="Z80" s="38">
        <f>DEGREES(ACOS((('入力・結果'!$G$3^2)+('入力・結果'!$G$4^2)-('入力・結果'!$G$5^2)+('入力・結果'!$G$6^2)-(2*'入力・結果'!$G$3*'入力・結果'!$G$4*COS(RADIANS(S80))))/(2*'入力・結果'!$G$6*(('入力・結果'!$G$3^2)+('入力・結果'!$G$4^2)-(2*'入力・結果'!$G$3*'入力・結果'!$G$4*(COS(RADIANS(S80)))))^(1/2))))</f>
        <v>58.81807367</v>
      </c>
      <c r="AA80" s="38">
        <f>DEGREES(ACOS(('入力・結果'!$G$4-('入力・結果'!$G$3*COS(RADIANS(S80))))/((('入力・結果'!$G$3^2)+('入力・結果'!$G$4^2)-(2*'入力・結果'!$G$3*'入力・結果'!$G$4*COS(RADIANS(S80))))^(1/2))))</f>
        <v>34.25608678</v>
      </c>
      <c r="AB80" s="38">
        <f>DEGREES(ACOS((('入力・結果'!$G$3^2)+('入力・結果'!$G$4^2)+('入力・結果'!$G$5^2)-('入力・結果'!$G$6^2)-(2*'入力・結果'!$G$3*'入力・結果'!$G$4*COS(RADIANS(S80))))/(2*'入力・結果'!$G$5*(('入力・結果'!$G$3^2)+('入力・結果'!$G$4^2)-(2*'入力・結果'!$G$3*'入力・結果'!$G$4*(COS(RADIANS(S80)))))^(1/2))))</f>
        <v>41.71381605</v>
      </c>
      <c r="AC80" s="37">
        <f t="shared" si="19"/>
        <v>3932.049361</v>
      </c>
      <c r="AD80" s="37">
        <f t="shared" si="20"/>
        <v>3932.049361</v>
      </c>
      <c r="AE80" s="37" t="str">
        <f t="shared" si="21"/>
        <v/>
      </c>
      <c r="AF80" s="37" t="str">
        <f t="shared" si="22"/>
        <v/>
      </c>
      <c r="AG80" s="35"/>
      <c r="AH80" s="35"/>
      <c r="AI80" s="35"/>
      <c r="AJ80" s="35">
        <v>77.0</v>
      </c>
      <c r="AK80" s="35">
        <f t="shared" si="1"/>
        <v>2.148530318</v>
      </c>
    </row>
    <row r="81" ht="12.75" customHeight="1">
      <c r="A81" s="35"/>
      <c r="B81" s="37">
        <v>77.0</v>
      </c>
      <c r="C81" s="38">
        <f t="shared" si="2"/>
        <v>11.24755272</v>
      </c>
      <c r="D81" s="38">
        <f t="shared" si="3"/>
        <v>-48.71850324</v>
      </c>
      <c r="E81" s="38">
        <f>'演算'!U81</f>
        <v>-27.56466274</v>
      </c>
      <c r="F81" s="38">
        <f t="shared" si="4"/>
        <v>27.56466274</v>
      </c>
      <c r="G81" s="38">
        <f t="shared" si="5"/>
        <v>-476.3214793</v>
      </c>
      <c r="H81" s="38">
        <f t="shared" si="6"/>
        <v>-303.230662</v>
      </c>
      <c r="I81" s="39">
        <f t="shared" si="7"/>
        <v>564.6512075</v>
      </c>
      <c r="J81" s="38">
        <f t="shared" si="8"/>
        <v>-32.48120777</v>
      </c>
      <c r="K81" s="38" t="str">
        <f t="shared" si="9"/>
        <v/>
      </c>
      <c r="L81" s="38">
        <f t="shared" si="10"/>
        <v>1</v>
      </c>
      <c r="M81" s="38">
        <f t="shared" si="11"/>
        <v>147.5187922</v>
      </c>
      <c r="N81" s="39">
        <f t="shared" si="12"/>
        <v>97.51879223</v>
      </c>
      <c r="O81" s="39">
        <f t="shared" si="13"/>
        <v>-73.8853815</v>
      </c>
      <c r="P81" s="39">
        <f t="shared" si="14"/>
        <v>-559.7963348</v>
      </c>
      <c r="Q81" s="38">
        <f t="shared" si="15"/>
        <v>134.9706326</v>
      </c>
      <c r="R81" s="38">
        <f t="shared" si="16"/>
        <v>584.6220389</v>
      </c>
      <c r="S81" s="40">
        <v>77.0</v>
      </c>
      <c r="T81" s="37">
        <f t="shared" si="17"/>
        <v>75.43533726</v>
      </c>
      <c r="U81" s="37">
        <f t="shared" si="18"/>
        <v>-27.56466274</v>
      </c>
      <c r="V81" s="37">
        <f t="shared" si="23"/>
        <v>0.4654344374</v>
      </c>
      <c r="W81" s="37">
        <f>'入力・結果'!$I$7/V81</f>
        <v>692901.0277</v>
      </c>
      <c r="X81" s="39">
        <f>(W81/I81*10)*'入力・結果'!$I$8</f>
        <v>7362.786285</v>
      </c>
      <c r="Y81" s="38">
        <f>DEGREES(ACOS(('入力・結果'!$G$3-('入力・結果'!$G$4*COS(RADIANS(S81))))/((('入力・結果'!$G$3^2)+('入力・結果'!$G$4^2)-(2*'入力・結果'!$G$3*'入力・結果'!$G$4*COS(RADIANS(S81))))^(1/2))))</f>
        <v>68.94757223</v>
      </c>
      <c r="Z81" s="38">
        <f>DEGREES(ACOS((('入力・結果'!$G$3^2)+('入力・結果'!$G$4^2)-('入力・結果'!$G$5^2)+('入力・結果'!$G$6^2)-(2*'入力・結果'!$G$3*'入力・結果'!$G$4*COS(RADIANS(S81))))/(2*'入力・結果'!$G$6*(('入力・結果'!$G$3^2)+('入力・結果'!$G$4^2)-(2*'入力・結果'!$G$3*'入力・結果'!$G$4*(COS(RADIANS(S81)))))^(1/2))))</f>
        <v>58.20845002</v>
      </c>
      <c r="AA81" s="38">
        <f>DEGREES(ACOS(('入力・結果'!$G$4-('入力・結果'!$G$3*COS(RADIANS(S81))))/((('入力・結果'!$G$3^2)+('入力・結果'!$G$4^2)-(2*'入力・結果'!$G$3*'入力・結果'!$G$4*COS(RADIANS(S81))))^(1/2))))</f>
        <v>34.05242777</v>
      </c>
      <c r="AB81" s="38">
        <f>DEGREES(ACOS((('入力・結果'!$G$3^2)+('入力・結果'!$G$4^2)+('入力・結果'!$G$5^2)-('入力・結果'!$G$6^2)-(2*'入力・結果'!$G$3*'入力・結果'!$G$4*COS(RADIANS(S81))))/(2*'入力・結果'!$G$5*(('入力・結果'!$G$3^2)+('入力・結果'!$G$4^2)-(2*'入力・結果'!$G$3*'入力・結果'!$G$4*(COS(RADIANS(S81)))))^(1/2))))</f>
        <v>41.38290949</v>
      </c>
      <c r="AC81" s="37">
        <f t="shared" si="19"/>
        <v>4062.786285</v>
      </c>
      <c r="AD81" s="37">
        <f t="shared" si="20"/>
        <v>4062.786285</v>
      </c>
      <c r="AE81" s="37" t="str">
        <f t="shared" si="21"/>
        <v/>
      </c>
      <c r="AF81" s="37" t="str">
        <f t="shared" si="22"/>
        <v/>
      </c>
      <c r="AG81" s="35"/>
      <c r="AH81" s="35"/>
      <c r="AI81" s="35"/>
      <c r="AJ81" s="35">
        <v>78.0</v>
      </c>
      <c r="AK81" s="35">
        <f t="shared" si="1"/>
        <v>2.188496049</v>
      </c>
    </row>
    <row r="82" ht="12.75" customHeight="1">
      <c r="A82" s="35"/>
      <c r="B82" s="37">
        <v>78.0</v>
      </c>
      <c r="C82" s="38">
        <f t="shared" si="2"/>
        <v>10.39558454</v>
      </c>
      <c r="D82" s="38">
        <f t="shared" si="3"/>
        <v>-48.90738004</v>
      </c>
      <c r="E82" s="38">
        <f>'演算'!U82</f>
        <v>-27.10772794</v>
      </c>
      <c r="F82" s="38">
        <f t="shared" si="4"/>
        <v>27.10772794</v>
      </c>
      <c r="G82" s="38">
        <f t="shared" si="5"/>
        <v>-479.1876599</v>
      </c>
      <c r="H82" s="38">
        <f t="shared" si="6"/>
        <v>-299.5231153</v>
      </c>
      <c r="I82" s="39">
        <f t="shared" si="7"/>
        <v>565.0972571</v>
      </c>
      <c r="J82" s="38">
        <f t="shared" si="8"/>
        <v>-32.00803377</v>
      </c>
      <c r="K82" s="38" t="str">
        <f t="shared" si="9"/>
        <v/>
      </c>
      <c r="L82" s="38">
        <f t="shared" si="10"/>
        <v>1</v>
      </c>
      <c r="M82" s="38">
        <f t="shared" si="11"/>
        <v>147.9919662</v>
      </c>
      <c r="N82" s="39">
        <f t="shared" si="12"/>
        <v>97.99196623</v>
      </c>
      <c r="O82" s="39">
        <f t="shared" si="13"/>
        <v>-78.5678724</v>
      </c>
      <c r="P82" s="39">
        <f t="shared" si="14"/>
        <v>-559.6087914</v>
      </c>
      <c r="Q82" s="38">
        <f t="shared" si="15"/>
        <v>124.7470145</v>
      </c>
      <c r="R82" s="38">
        <f t="shared" si="16"/>
        <v>586.8885604</v>
      </c>
      <c r="S82" s="40">
        <v>78.0</v>
      </c>
      <c r="T82" s="37">
        <f t="shared" si="17"/>
        <v>74.89227206</v>
      </c>
      <c r="U82" s="37">
        <f t="shared" si="18"/>
        <v>-27.10772794</v>
      </c>
      <c r="V82" s="37">
        <f t="shared" si="23"/>
        <v>0.4569347979</v>
      </c>
      <c r="W82" s="37">
        <f>'入力・結果'!$I$7/V82</f>
        <v>705789.9759</v>
      </c>
      <c r="X82" s="39">
        <f>(W82/I82*10)*'入力・結果'!$I$8</f>
        <v>7493.824827</v>
      </c>
      <c r="Y82" s="38">
        <f>DEGREES(ACOS(('入力・結果'!$G$3-('入力・結果'!$G$4*COS(RADIANS(S82))))/((('入力・結果'!$G$3^2)+('入力・結果'!$G$4^2)-(2*'入力・結果'!$G$3*'入力・結果'!$G$4*COS(RADIANS(S82))))^(1/2))))</f>
        <v>68.15672768</v>
      </c>
      <c r="Z82" s="38">
        <f>DEGREES(ACOS((('入力・結果'!$G$3^2)+('入力・結果'!$G$4^2)-('入力・結果'!$G$5^2)+('入力・結果'!$G$6^2)-(2*'入力・結果'!$G$3*'入力・結果'!$G$4*COS(RADIANS(S82))))/(2*'入力・結果'!$G$6*(('入力・結果'!$G$3^2)+('入力・結果'!$G$4^2)-(2*'入力・結果'!$G$3*'入力・結果'!$G$4*(COS(RADIANS(S82)))))^(1/2))))</f>
        <v>57.60064948</v>
      </c>
      <c r="AA82" s="38">
        <f>DEGREES(ACOS(('入力・結果'!$G$4-('入力・結果'!$G$3*COS(RADIANS(S82))))/((('入力・結果'!$G$3^2)+('入力・結果'!$G$4^2)-(2*'入力・結果'!$G$3*'入力・結果'!$G$4*COS(RADIANS(S82))))^(1/2))))</f>
        <v>33.84327232</v>
      </c>
      <c r="AB82" s="38">
        <f>DEGREES(ACOS((('入力・結果'!$G$3^2)+('入力・結果'!$G$4^2)+('入力・結果'!$G$5^2)-('入力・結果'!$G$6^2)-(2*'入力・結果'!$G$3*'入力・結果'!$G$4*COS(RADIANS(S82))))/(2*'入力・結果'!$G$5*(('入力・結果'!$G$3^2)+('入力・結果'!$G$4^2)-(2*'入力・結果'!$G$3*'入力・結果'!$G$4*(COS(RADIANS(S82)))))^(1/2))))</f>
        <v>41.04899974</v>
      </c>
      <c r="AC82" s="37">
        <f t="shared" si="19"/>
        <v>4193.824827</v>
      </c>
      <c r="AD82" s="37">
        <f t="shared" si="20"/>
        <v>4193.824827</v>
      </c>
      <c r="AE82" s="37" t="str">
        <f t="shared" si="21"/>
        <v/>
      </c>
      <c r="AF82" s="37" t="str">
        <f t="shared" si="22"/>
        <v/>
      </c>
      <c r="AG82" s="35"/>
      <c r="AH82" s="35"/>
      <c r="AI82" s="35"/>
      <c r="AJ82" s="35">
        <v>79.0</v>
      </c>
      <c r="AK82" s="35">
        <f t="shared" si="1"/>
        <v>2.228618652</v>
      </c>
    </row>
    <row r="83" ht="12.75" customHeight="1">
      <c r="A83" s="35"/>
      <c r="B83" s="37">
        <v>79.0</v>
      </c>
      <c r="C83" s="38">
        <f t="shared" si="2"/>
        <v>9.540449769</v>
      </c>
      <c r="D83" s="38">
        <f t="shared" si="3"/>
        <v>-49.08135917</v>
      </c>
      <c r="E83" s="38">
        <f>'演算'!U83</f>
        <v>-26.6590195</v>
      </c>
      <c r="F83" s="38">
        <f t="shared" si="4"/>
        <v>26.6590195</v>
      </c>
      <c r="G83" s="38">
        <f t="shared" si="5"/>
        <v>-481.9904433</v>
      </c>
      <c r="H83" s="38">
        <f t="shared" si="6"/>
        <v>-295.8553067</v>
      </c>
      <c r="I83" s="39">
        <f t="shared" si="7"/>
        <v>565.548539</v>
      </c>
      <c r="J83" s="38">
        <f t="shared" si="8"/>
        <v>-31.54242893</v>
      </c>
      <c r="K83" s="38" t="str">
        <f t="shared" si="9"/>
        <v/>
      </c>
      <c r="L83" s="38">
        <f t="shared" si="10"/>
        <v>1</v>
      </c>
      <c r="M83" s="38">
        <f t="shared" si="11"/>
        <v>148.4575711</v>
      </c>
      <c r="N83" s="39">
        <f t="shared" si="12"/>
        <v>98.45757107</v>
      </c>
      <c r="O83" s="39">
        <f t="shared" si="13"/>
        <v>-83.17917121</v>
      </c>
      <c r="P83" s="39">
        <f t="shared" si="14"/>
        <v>-559.3982261</v>
      </c>
      <c r="Q83" s="38">
        <f t="shared" si="15"/>
        <v>114.4853972</v>
      </c>
      <c r="R83" s="38">
        <f t="shared" si="16"/>
        <v>588.9763101</v>
      </c>
      <c r="S83" s="40">
        <v>79.0</v>
      </c>
      <c r="T83" s="37">
        <f t="shared" si="17"/>
        <v>74.3409805</v>
      </c>
      <c r="U83" s="37">
        <f t="shared" si="18"/>
        <v>-26.6590195</v>
      </c>
      <c r="V83" s="37">
        <f t="shared" si="23"/>
        <v>0.4487084406</v>
      </c>
      <c r="W83" s="37">
        <f>'入力・結果'!$I$7/V83</f>
        <v>718729.5153</v>
      </c>
      <c r="X83" s="39">
        <f>(W83/I83*10)*'入力・結果'!$I$8</f>
        <v>7625.122858</v>
      </c>
      <c r="Y83" s="38">
        <f>DEGREES(ACOS(('入力・結果'!$G$3-('入力・結果'!$G$4*COS(RADIANS(S83))))/((('入力・結果'!$G$3^2)+('入力・結果'!$G$4^2)-(2*'入力・結果'!$G$3*'入力・結果'!$G$4*COS(RADIANS(S83))))^(1/2))))</f>
        <v>67.37119955</v>
      </c>
      <c r="Z83" s="38">
        <f>DEGREES(ACOS((('入力・結果'!$G$3^2)+('入力・結果'!$G$4^2)-('入力・結果'!$G$5^2)+('入力・結果'!$G$6^2)-(2*'入力・結果'!$G$3*'入力・結果'!$G$4*COS(RADIANS(S83))))/(2*'入力・結果'!$G$6*(('入力・結果'!$G$3^2)+('入力・結果'!$G$4^2)-(2*'入力・結果'!$G$3*'入力・結果'!$G$4*(COS(RADIANS(S83)))))^(1/2))))</f>
        <v>56.99462044</v>
      </c>
      <c r="AA83" s="38">
        <f>DEGREES(ACOS(('入力・結果'!$G$4-('入力・結果'!$G$3*COS(RADIANS(S83))))/((('入力・結果'!$G$3^2)+('入力・結果'!$G$4^2)-(2*'入力・結果'!$G$3*'入力・結果'!$G$4*COS(RADIANS(S83))))^(1/2))))</f>
        <v>33.62880045</v>
      </c>
      <c r="AB83" s="38">
        <f>DEGREES(ACOS((('入力・結果'!$G$3^2)+('入力・結果'!$G$4^2)+('入力・結果'!$G$5^2)-('入力・結果'!$G$6^2)-(2*'入力・結果'!$G$3*'入力・結果'!$G$4*COS(RADIANS(S83))))/(2*'入力・結果'!$G$5*(('入力・結果'!$G$3^2)+('入力・結果'!$G$4^2)-(2*'入力・結果'!$G$3*'入力・結果'!$G$4*(COS(RADIANS(S83)))))^(1/2))))</f>
        <v>40.71218005</v>
      </c>
      <c r="AC83" s="37">
        <f t="shared" si="19"/>
        <v>4325.122858</v>
      </c>
      <c r="AD83" s="37">
        <f t="shared" si="20"/>
        <v>4325.122858</v>
      </c>
      <c r="AE83" s="37" t="str">
        <f t="shared" si="21"/>
        <v/>
      </c>
      <c r="AF83" s="37" t="str">
        <f t="shared" si="22"/>
        <v/>
      </c>
      <c r="AG83" s="35"/>
      <c r="AH83" s="35"/>
      <c r="AI83" s="35"/>
      <c r="AJ83" s="35">
        <v>80.0</v>
      </c>
      <c r="AK83" s="35">
        <f t="shared" si="1"/>
        <v>2.268885813</v>
      </c>
    </row>
    <row r="84" ht="12.75" customHeight="1">
      <c r="A84" s="35"/>
      <c r="B84" s="37">
        <v>80.0</v>
      </c>
      <c r="C84" s="38">
        <f t="shared" si="2"/>
        <v>8.682408883</v>
      </c>
      <c r="D84" s="38">
        <f t="shared" si="3"/>
        <v>-49.24038765</v>
      </c>
      <c r="E84" s="38">
        <f>'演算'!U84</f>
        <v>-26.21827454</v>
      </c>
      <c r="F84" s="38">
        <f t="shared" si="4"/>
        <v>26.21827454</v>
      </c>
      <c r="G84" s="38">
        <f t="shared" si="5"/>
        <v>-484.7322191</v>
      </c>
      <c r="H84" s="38">
        <f t="shared" si="6"/>
        <v>-292.2259941</v>
      </c>
      <c r="I84" s="39">
        <f t="shared" si="7"/>
        <v>566.0047313</v>
      </c>
      <c r="J84" s="38">
        <f t="shared" si="8"/>
        <v>-31.08412265</v>
      </c>
      <c r="K84" s="38" t="str">
        <f t="shared" si="9"/>
        <v/>
      </c>
      <c r="L84" s="38">
        <f t="shared" si="10"/>
        <v>1</v>
      </c>
      <c r="M84" s="38">
        <f t="shared" si="11"/>
        <v>148.9158774</v>
      </c>
      <c r="N84" s="39">
        <f t="shared" si="12"/>
        <v>98.91587735</v>
      </c>
      <c r="O84" s="39">
        <f t="shared" si="13"/>
        <v>-87.72176555</v>
      </c>
      <c r="P84" s="39">
        <f t="shared" si="14"/>
        <v>-559.165671</v>
      </c>
      <c r="Q84" s="38">
        <f t="shared" si="15"/>
        <v>104.1889066</v>
      </c>
      <c r="R84" s="38">
        <f t="shared" si="16"/>
        <v>590.8846518</v>
      </c>
      <c r="S84" s="40">
        <v>80.0</v>
      </c>
      <c r="T84" s="37">
        <f t="shared" si="17"/>
        <v>73.78172546</v>
      </c>
      <c r="U84" s="37">
        <f t="shared" si="18"/>
        <v>-26.21827454</v>
      </c>
      <c r="V84" s="37">
        <f t="shared" si="23"/>
        <v>0.4407449658</v>
      </c>
      <c r="W84" s="37">
        <f>'入力・結果'!$I$7/V84</f>
        <v>731715.6747</v>
      </c>
      <c r="X84" s="39">
        <f>(W84/I84*10)*'入力・結果'!$I$8</f>
        <v>7756.638427</v>
      </c>
      <c r="Y84" s="38">
        <f>DEGREES(ACOS(('入力・結果'!$G$3-('入力・結果'!$G$4*COS(RADIANS(S84))))/((('入力・結果'!$G$3^2)+('入力・結果'!$G$4^2)-(2*'入力・結果'!$G$3*'入力・結果'!$G$4*COS(RADIANS(S84))))^(1/2))))</f>
        <v>66.59081487</v>
      </c>
      <c r="Z84" s="38">
        <f>DEGREES(ACOS((('入力・結果'!$G$3^2)+('入力・結果'!$G$4^2)-('入力・結果'!$G$5^2)+('入力・結果'!$G$6^2)-(2*'入力・結果'!$G$3*'入力・結果'!$G$4*COS(RADIANS(S84))))/(2*'入力・結果'!$G$6*(('入力・結果'!$G$3^2)+('入力・結果'!$G$4^2)-(2*'入力・結果'!$G$3*'入力・結果'!$G$4*(COS(RADIANS(S84)))))^(1/2))))</f>
        <v>56.39031281</v>
      </c>
      <c r="AA84" s="38">
        <f>DEGREES(ACOS(('入力・結果'!$G$4-('入力・結果'!$G$3*COS(RADIANS(S84))))/((('入力・結果'!$G$3^2)+('入力・結果'!$G$4^2)-(2*'入力・結果'!$G$3*'入力・結果'!$G$4*COS(RADIANS(S84))))^(1/2))))</f>
        <v>33.40918513</v>
      </c>
      <c r="AB84" s="38">
        <f>DEGREES(ACOS((('入力・結果'!$G$3^2)+('入力・結果'!$G$4^2)+('入力・結果'!$G$5^2)-('入力・結果'!$G$6^2)-(2*'入力・結果'!$G$3*'入力・結果'!$G$4*COS(RADIANS(S84))))/(2*'入力・結果'!$G$5*(('入力・結果'!$G$3^2)+('入力・結果'!$G$4^2)-(2*'入力・結果'!$G$3*'入力・結果'!$G$4*(COS(RADIANS(S84)))))^(1/2))))</f>
        <v>40.37254033</v>
      </c>
      <c r="AC84" s="37">
        <f t="shared" si="19"/>
        <v>4456.638427</v>
      </c>
      <c r="AD84" s="37">
        <f t="shared" si="20"/>
        <v>4456.638427</v>
      </c>
      <c r="AE84" s="37" t="str">
        <f t="shared" si="21"/>
        <v/>
      </c>
      <c r="AF84" s="37" t="str">
        <f t="shared" si="22"/>
        <v/>
      </c>
      <c r="AG84" s="35"/>
      <c r="AH84" s="35"/>
      <c r="AI84" s="35"/>
      <c r="AJ84" s="35">
        <v>81.0</v>
      </c>
      <c r="AK84" s="35">
        <f t="shared" si="1"/>
        <v>2.309285178</v>
      </c>
    </row>
    <row r="85" ht="12.75" customHeight="1">
      <c r="A85" s="35"/>
      <c r="B85" s="37">
        <v>81.0</v>
      </c>
      <c r="C85" s="38">
        <f t="shared" si="2"/>
        <v>7.821723252</v>
      </c>
      <c r="D85" s="38">
        <f t="shared" si="3"/>
        <v>-49.38441703</v>
      </c>
      <c r="E85" s="38">
        <f>'演算'!U85</f>
        <v>-25.7852401</v>
      </c>
      <c r="F85" s="38">
        <f t="shared" si="4"/>
        <v>25.7852401</v>
      </c>
      <c r="G85" s="38">
        <f t="shared" si="5"/>
        <v>-487.4152502</v>
      </c>
      <c r="H85" s="38">
        <f t="shared" si="6"/>
        <v>-288.6339522</v>
      </c>
      <c r="I85" s="39">
        <f t="shared" si="7"/>
        <v>566.4655193</v>
      </c>
      <c r="J85" s="38">
        <f t="shared" si="8"/>
        <v>-30.63285469</v>
      </c>
      <c r="K85" s="38" t="str">
        <f t="shared" si="9"/>
        <v/>
      </c>
      <c r="L85" s="38">
        <f t="shared" si="10"/>
        <v>1</v>
      </c>
      <c r="M85" s="38">
        <f t="shared" si="11"/>
        <v>149.3671453</v>
      </c>
      <c r="N85" s="39">
        <f t="shared" si="12"/>
        <v>99.36714531</v>
      </c>
      <c r="O85" s="39">
        <f t="shared" si="13"/>
        <v>-92.19804842</v>
      </c>
      <c r="P85" s="39">
        <f t="shared" si="14"/>
        <v>-558.9120722</v>
      </c>
      <c r="Q85" s="38">
        <f t="shared" si="15"/>
        <v>93.86067902</v>
      </c>
      <c r="R85" s="38">
        <f t="shared" si="16"/>
        <v>592.6130044</v>
      </c>
      <c r="S85" s="40">
        <v>81.0</v>
      </c>
      <c r="T85" s="37">
        <f t="shared" si="17"/>
        <v>73.2147599</v>
      </c>
      <c r="U85" s="37">
        <f t="shared" si="18"/>
        <v>-25.7852401</v>
      </c>
      <c r="V85" s="37">
        <f t="shared" si="23"/>
        <v>0.4330344339</v>
      </c>
      <c r="W85" s="37">
        <f>'入力・結果'!$I$7/V85</f>
        <v>744744.47</v>
      </c>
      <c r="X85" s="39">
        <f>(W85/I85*10)*'入力・結果'!$I$8</f>
        <v>7888.329771</v>
      </c>
      <c r="Y85" s="38">
        <f>DEGREES(ACOS(('入力・結果'!$G$3-('入力・結果'!$G$4*COS(RADIANS(S85))))/((('入力・結果'!$G$3^2)+('入力・結果'!$G$4^2)-(2*'入力・結果'!$G$3*'入力・結果'!$G$4*COS(RADIANS(S85))))^(1/2))))</f>
        <v>65.81540741</v>
      </c>
      <c r="Z85" s="38">
        <f>DEGREES(ACOS((('入力・結果'!$G$3^2)+('入力・結果'!$G$4^2)-('入力・結果'!$G$5^2)+('入力・結果'!$G$6^2)-(2*'入力・結果'!$G$3*'入力・結果'!$G$4*COS(RADIANS(S85))))/(2*'入力・結果'!$G$6*(('入力・結果'!$G$3^2)+('入力・結果'!$G$4^2)-(2*'入力・結果'!$G$3*'入力・結果'!$G$4*(COS(RADIANS(S85)))))^(1/2))))</f>
        <v>55.787678</v>
      </c>
      <c r="AA85" s="38">
        <f>DEGREES(ACOS(('入力・結果'!$G$4-('入力・結果'!$G$3*COS(RADIANS(S85))))/((('入力・結果'!$G$3^2)+('入力・結果'!$G$4^2)-(2*'入力・結果'!$G$3*'入力・結果'!$G$4*COS(RADIANS(S85))))^(1/2))))</f>
        <v>33.18459259</v>
      </c>
      <c r="AB85" s="38">
        <f>DEGREES(ACOS((('入力・結果'!$G$3^2)+('入力・結果'!$G$4^2)+('入力・結果'!$G$5^2)-('入力・結果'!$G$6^2)-(2*'入力・結果'!$G$3*'入力・結果'!$G$4*COS(RADIANS(S85))))/(2*'入力・結果'!$G$5*(('入力・結果'!$G$3^2)+('入力・結果'!$G$4^2)-(2*'入力・結果'!$G$3*'入力・結果'!$G$4*(COS(RADIANS(S85)))))^(1/2))))</f>
        <v>40.03016731</v>
      </c>
      <c r="AC85" s="37">
        <f t="shared" si="19"/>
        <v>4588.329771</v>
      </c>
      <c r="AD85" s="37">
        <f t="shared" si="20"/>
        <v>4588.329771</v>
      </c>
      <c r="AE85" s="37" t="str">
        <f t="shared" si="21"/>
        <v/>
      </c>
      <c r="AF85" s="37" t="str">
        <f t="shared" si="22"/>
        <v/>
      </c>
      <c r="AG85" s="35"/>
      <c r="AH85" s="35"/>
      <c r="AI85" s="35"/>
      <c r="AJ85" s="35">
        <v>82.0</v>
      </c>
      <c r="AK85" s="35">
        <f t="shared" si="1"/>
        <v>2.349804359</v>
      </c>
    </row>
    <row r="86" ht="12.75" customHeight="1">
      <c r="A86" s="35"/>
      <c r="B86" s="37">
        <v>82.0</v>
      </c>
      <c r="C86" s="38">
        <f t="shared" si="2"/>
        <v>6.958655048</v>
      </c>
      <c r="D86" s="38">
        <f t="shared" si="3"/>
        <v>-49.51340344</v>
      </c>
      <c r="E86" s="38">
        <f>'演算'!U86</f>
        <v>-25.35967276</v>
      </c>
      <c r="F86" s="38">
        <f t="shared" si="4"/>
        <v>25.35967276</v>
      </c>
      <c r="G86" s="38">
        <f t="shared" si="5"/>
        <v>-490.0416796</v>
      </c>
      <c r="H86" s="38">
        <f t="shared" si="6"/>
        <v>-285.0779749</v>
      </c>
      <c r="I86" s="39">
        <f t="shared" si="7"/>
        <v>566.930595</v>
      </c>
      <c r="J86" s="38">
        <f t="shared" si="8"/>
        <v>-30.18837479</v>
      </c>
      <c r="K86" s="38" t="str">
        <f t="shared" si="9"/>
        <v/>
      </c>
      <c r="L86" s="38">
        <f t="shared" si="10"/>
        <v>1</v>
      </c>
      <c r="M86" s="38">
        <f t="shared" si="11"/>
        <v>149.8116252</v>
      </c>
      <c r="N86" s="39">
        <f t="shared" si="12"/>
        <v>99.81162521</v>
      </c>
      <c r="O86" s="39">
        <f t="shared" si="13"/>
        <v>-96.61032135</v>
      </c>
      <c r="P86" s="39">
        <f t="shared" si="14"/>
        <v>-558.6382956</v>
      </c>
      <c r="Q86" s="38">
        <f t="shared" si="15"/>
        <v>83.50386058</v>
      </c>
      <c r="R86" s="38">
        <f t="shared" si="16"/>
        <v>594.1608412</v>
      </c>
      <c r="S86" s="40">
        <v>82.0</v>
      </c>
      <c r="T86" s="37">
        <f t="shared" si="17"/>
        <v>72.64032724</v>
      </c>
      <c r="U86" s="37">
        <f t="shared" si="18"/>
        <v>-25.35967276</v>
      </c>
      <c r="V86" s="37">
        <f t="shared" si="23"/>
        <v>0.425567344</v>
      </c>
      <c r="W86" s="37">
        <f>'入力・結果'!$I$7/V86</f>
        <v>757811.9058</v>
      </c>
      <c r="X86" s="39">
        <f>(W86/I86*10)*'入力・結果'!$I$8</f>
        <v>8020.155333</v>
      </c>
      <c r="Y86" s="38">
        <f>DEGREES(ACOS(('入力・結果'!$G$3-('入力・結果'!$G$4*COS(RADIANS(S86))))/((('入力・結果'!$G$3^2)+('入力・結果'!$G$4^2)-(2*'入力・結果'!$G$3*'入力・結果'!$G$4*COS(RADIANS(S86))))^(1/2))))</f>
        <v>65.04481735</v>
      </c>
      <c r="Z86" s="38">
        <f>DEGREES(ACOS((('入力・結果'!$G$3^2)+('入力・結果'!$G$4^2)-('入力・結果'!$G$5^2)+('入力・結果'!$G$6^2)-(2*'入力・結果'!$G$3*'入力・結果'!$G$4*COS(RADIANS(S86))))/(2*'入力・結果'!$G$6*(('入力・結果'!$G$3^2)+('入力・結果'!$G$4^2)-(2*'入力・結果'!$G$3*'入力・結果'!$G$4*(COS(RADIANS(S86)))))^(1/2))))</f>
        <v>55.18666887</v>
      </c>
      <c r="AA86" s="38">
        <f>DEGREES(ACOS(('入力・結果'!$G$4-('入力・結果'!$G$3*COS(RADIANS(S86))))/((('入力・結果'!$G$3^2)+('入力・結果'!$G$4^2)-(2*'入力・結果'!$G$3*'入力・結果'!$G$4*COS(RADIANS(S86))))^(1/2))))</f>
        <v>32.95518265</v>
      </c>
      <c r="AB86" s="38">
        <f>DEGREES(ACOS((('入力・結果'!$G$3^2)+('入力・結果'!$G$4^2)+('入力・結果'!$G$5^2)-('入力・結果'!$G$6^2)-(2*'入力・結果'!$G$3*'入力・結果'!$G$4*COS(RADIANS(S86))))/(2*'入力・結果'!$G$5*(('入力・結果'!$G$3^2)+('入力・結果'!$G$4^2)-(2*'入力・結果'!$G$3*'入力・結果'!$G$4*(COS(RADIANS(S86)))))^(1/2))))</f>
        <v>39.68514459</v>
      </c>
      <c r="AC86" s="37">
        <f t="shared" si="19"/>
        <v>4720.155333</v>
      </c>
      <c r="AD86" s="37">
        <f t="shared" si="20"/>
        <v>4720.155333</v>
      </c>
      <c r="AE86" s="37" t="str">
        <f t="shared" si="21"/>
        <v/>
      </c>
      <c r="AF86" s="37" t="str">
        <f t="shared" si="22"/>
        <v/>
      </c>
      <c r="AG86" s="35"/>
      <c r="AH86" s="35"/>
      <c r="AI86" s="35"/>
      <c r="AJ86" s="35">
        <v>83.0</v>
      </c>
      <c r="AK86" s="35">
        <f t="shared" si="1"/>
        <v>2.390430934</v>
      </c>
    </row>
    <row r="87" ht="12.75" customHeight="1">
      <c r="A87" s="35"/>
      <c r="B87" s="37">
        <v>83.0</v>
      </c>
      <c r="C87" s="38">
        <f t="shared" si="2"/>
        <v>6.09346717</v>
      </c>
      <c r="D87" s="38">
        <f t="shared" si="3"/>
        <v>-49.62730758</v>
      </c>
      <c r="E87" s="38">
        <f>'演算'!U87</f>
        <v>-24.94133815</v>
      </c>
      <c r="F87" s="38">
        <f t="shared" si="4"/>
        <v>24.94133815</v>
      </c>
      <c r="G87" s="38">
        <f t="shared" si="5"/>
        <v>-492.6135364</v>
      </c>
      <c r="H87" s="38">
        <f t="shared" si="6"/>
        <v>-281.5568758</v>
      </c>
      <c r="I87" s="39">
        <f t="shared" si="7"/>
        <v>567.3996568</v>
      </c>
      <c r="J87" s="38">
        <f t="shared" si="8"/>
        <v>-29.7504422</v>
      </c>
      <c r="K87" s="38" t="str">
        <f t="shared" si="9"/>
        <v/>
      </c>
      <c r="L87" s="38">
        <f t="shared" si="10"/>
        <v>1</v>
      </c>
      <c r="M87" s="38">
        <f t="shared" si="11"/>
        <v>150.2495578</v>
      </c>
      <c r="N87" s="39">
        <f t="shared" si="12"/>
        <v>100.2495578</v>
      </c>
      <c r="O87" s="39">
        <f t="shared" si="13"/>
        <v>-100.9607974</v>
      </c>
      <c r="P87" s="39">
        <f t="shared" si="14"/>
        <v>-558.3451333</v>
      </c>
      <c r="Q87" s="38">
        <f t="shared" si="15"/>
        <v>73.12160604</v>
      </c>
      <c r="R87" s="38">
        <f t="shared" si="16"/>
        <v>595.527691</v>
      </c>
      <c r="S87" s="40">
        <v>83.0</v>
      </c>
      <c r="T87" s="37">
        <f t="shared" si="17"/>
        <v>72.05866185</v>
      </c>
      <c r="U87" s="37">
        <f t="shared" si="18"/>
        <v>-24.94133815</v>
      </c>
      <c r="V87" s="37">
        <f t="shared" si="23"/>
        <v>0.4183346132</v>
      </c>
      <c r="W87" s="37">
        <f>'入力・結果'!$I$7/V87</f>
        <v>770913.9761</v>
      </c>
      <c r="X87" s="39">
        <f>(W87/I87*10)*'入力・結果'!$I$8</f>
        <v>8152.073766</v>
      </c>
      <c r="Y87" s="38">
        <f>DEGREES(ACOS(('入力・結果'!$G$3-('入力・結果'!$G$4*COS(RADIANS(S87))))/((('入力・結果'!$G$3^2)+('入力・結果'!$G$4^2)-(2*'入力・結果'!$G$3*'入力・結果'!$G$4*COS(RADIANS(S87))))^(1/2))))</f>
        <v>64.278891</v>
      </c>
      <c r="Z87" s="38">
        <f>DEGREES(ACOS((('入力・結果'!$G$3^2)+('入力・結果'!$G$4^2)-('入力・結果'!$G$5^2)+('入力・結果'!$G$6^2)-(2*'入力・結果'!$G$3*'入力・結果'!$G$4*COS(RADIANS(S87))))/(2*'入力・結果'!$G$6*(('入力・結果'!$G$3^2)+('入力・結果'!$G$4^2)-(2*'入力・結果'!$G$3*'入力・結果'!$G$4*(COS(RADIANS(S87)))))^(1/2))))</f>
        <v>54.58723969</v>
      </c>
      <c r="AA87" s="38">
        <f>DEGREES(ACOS(('入力・結果'!$G$4-('入力・結果'!$G$3*COS(RADIANS(S87))))/((('入力・結果'!$G$3^2)+('入力・結果'!$G$4^2)-(2*'入力・結果'!$G$3*'入力・結果'!$G$4*COS(RADIANS(S87))))^(1/2))))</f>
        <v>32.721109</v>
      </c>
      <c r="AB87" s="38">
        <f>DEGREES(ACOS((('入力・結果'!$G$3^2)+('入力・結果'!$G$4^2)+('入力・結果'!$G$5^2)-('入力・結果'!$G$6^2)-(2*'入力・結果'!$G$3*'入力・結果'!$G$4*COS(RADIANS(S87))))/(2*'入力・結果'!$G$5*(('入力・結果'!$G$3^2)+('入力・結果'!$G$4^2)-(2*'入力・結果'!$G$3*'入力・結果'!$G$4*(COS(RADIANS(S87)))))^(1/2))))</f>
        <v>39.33755285</v>
      </c>
      <c r="AC87" s="37">
        <f t="shared" si="19"/>
        <v>4852.073766</v>
      </c>
      <c r="AD87" s="37">
        <f t="shared" si="20"/>
        <v>4852.073766</v>
      </c>
      <c r="AE87" s="37" t="str">
        <f t="shared" si="21"/>
        <v/>
      </c>
      <c r="AF87" s="37" t="str">
        <f t="shared" si="22"/>
        <v/>
      </c>
      <c r="AG87" s="35"/>
      <c r="AH87" s="35"/>
      <c r="AI87" s="35"/>
      <c r="AJ87" s="35">
        <v>84.0</v>
      </c>
      <c r="AK87" s="35">
        <f t="shared" si="1"/>
        <v>2.431152452</v>
      </c>
    </row>
    <row r="88" ht="12.75" customHeight="1">
      <c r="A88" s="35"/>
      <c r="B88" s="37">
        <v>84.0</v>
      </c>
      <c r="C88" s="38">
        <f t="shared" si="2"/>
        <v>5.226423163</v>
      </c>
      <c r="D88" s="38">
        <f t="shared" si="3"/>
        <v>-49.72609477</v>
      </c>
      <c r="E88" s="38">
        <f>'演算'!U88</f>
        <v>-24.53001059</v>
      </c>
      <c r="F88" s="38">
        <f t="shared" si="4"/>
        <v>24.53001059</v>
      </c>
      <c r="G88" s="38">
        <f t="shared" si="5"/>
        <v>-495.1327419</v>
      </c>
      <c r="H88" s="38">
        <f t="shared" si="6"/>
        <v>-278.0694895</v>
      </c>
      <c r="I88" s="39">
        <f t="shared" si="7"/>
        <v>567.8724092</v>
      </c>
      <c r="J88" s="38">
        <f t="shared" si="8"/>
        <v>-29.3188253</v>
      </c>
      <c r="K88" s="38" t="str">
        <f t="shared" si="9"/>
        <v/>
      </c>
      <c r="L88" s="38">
        <f t="shared" si="10"/>
        <v>1</v>
      </c>
      <c r="M88" s="38">
        <f t="shared" si="11"/>
        <v>150.6811747</v>
      </c>
      <c r="N88" s="39">
        <f t="shared" si="12"/>
        <v>100.6811747</v>
      </c>
      <c r="O88" s="39">
        <f t="shared" si="13"/>
        <v>-105.2516045</v>
      </c>
      <c r="P88" s="39">
        <f t="shared" si="14"/>
        <v>-558.033308</v>
      </c>
      <c r="Q88" s="38">
        <f t="shared" si="15"/>
        <v>62.71707796</v>
      </c>
      <c r="R88" s="38">
        <f t="shared" si="16"/>
        <v>596.7131372</v>
      </c>
      <c r="S88" s="40">
        <v>84.0</v>
      </c>
      <c r="T88" s="37">
        <f t="shared" si="17"/>
        <v>71.46998941</v>
      </c>
      <c r="U88" s="37">
        <f t="shared" si="18"/>
        <v>-24.53001059</v>
      </c>
      <c r="V88" s="37">
        <f t="shared" si="23"/>
        <v>0.4113275574</v>
      </c>
      <c r="W88" s="37">
        <f>'入力・結果'!$I$7/V88</f>
        <v>784046.6659</v>
      </c>
      <c r="X88" s="39">
        <f>(W88/I88*10)*'入力・結果'!$I$8</f>
        <v>8284.043949</v>
      </c>
      <c r="Y88" s="38">
        <f>DEGREES(ACOS(('入力・結果'!$G$3-('入力・結果'!$G$4*COS(RADIANS(S88))))/((('入力・結果'!$G$3^2)+('入力・結果'!$G$4^2)-(2*'入力・結果'!$G$3*'入力・結果'!$G$4*COS(RADIANS(S88))))^(1/2))))</f>
        <v>63.51748051</v>
      </c>
      <c r="Z88" s="38">
        <f>DEGREES(ACOS((('入力・結果'!$G$3^2)+('入力・結果'!$G$4^2)-('入力・結果'!$G$5^2)+('入力・結果'!$G$6^2)-(2*'入力・結果'!$G$3*'入力・結果'!$G$4*COS(RADIANS(S88))))/(2*'入力・結果'!$G$6*(('入力・結果'!$G$3^2)+('入力・結果'!$G$4^2)-(2*'入力・結果'!$G$3*'入力・結果'!$G$4*(COS(RADIANS(S88)))))^(1/2))))</f>
        <v>53.9893461</v>
      </c>
      <c r="AA88" s="38">
        <f>DEGREES(ACOS(('入力・結果'!$G$4-('入力・結果'!$G$3*COS(RADIANS(S88))))/((('入力・結果'!$G$3^2)+('入力・結果'!$G$4^2)-(2*'入力・結果'!$G$3*'入力・結果'!$G$4*COS(RADIANS(S88))))^(1/2))))</f>
        <v>32.48251949</v>
      </c>
      <c r="AB88" s="38">
        <f>DEGREES(ACOS((('入力・結果'!$G$3^2)+('入力・結果'!$G$4^2)+('入力・結果'!$G$5^2)-('入力・結果'!$G$6^2)-(2*'入力・結果'!$G$3*'入力・結果'!$G$4*COS(RADIANS(S88))))/(2*'入力・結果'!$G$5*(('入力・結果'!$G$3^2)+('入力・結果'!$G$4^2)-(2*'入力・結果'!$G$3*'入力・結果'!$G$4*(COS(RADIANS(S88)))))^(1/2))))</f>
        <v>38.98746992</v>
      </c>
      <c r="AC88" s="37">
        <f t="shared" si="19"/>
        <v>4984.043949</v>
      </c>
      <c r="AD88" s="37">
        <f t="shared" si="20"/>
        <v>4984.043949</v>
      </c>
      <c r="AE88" s="37" t="str">
        <f t="shared" si="21"/>
        <v/>
      </c>
      <c r="AF88" s="37" t="str">
        <f t="shared" si="22"/>
        <v/>
      </c>
      <c r="AG88" s="35"/>
      <c r="AH88" s="35"/>
      <c r="AI88" s="35"/>
      <c r="AJ88" s="35">
        <v>85.0</v>
      </c>
      <c r="AK88" s="35">
        <f t="shared" si="1"/>
        <v>2.47195644</v>
      </c>
    </row>
    <row r="89" ht="12.75" customHeight="1">
      <c r="A89" s="35"/>
      <c r="B89" s="37">
        <v>85.0</v>
      </c>
      <c r="C89" s="38">
        <f t="shared" si="2"/>
        <v>4.357787137</v>
      </c>
      <c r="D89" s="38">
        <f t="shared" si="3"/>
        <v>-49.8097349</v>
      </c>
      <c r="E89" s="38">
        <f>'演算'!U89</f>
        <v>-24.12547272</v>
      </c>
      <c r="F89" s="38">
        <f t="shared" si="4"/>
        <v>24.12547272</v>
      </c>
      <c r="G89" s="38">
        <f t="shared" si="5"/>
        <v>-497.6011155</v>
      </c>
      <c r="H89" s="38">
        <f t="shared" si="6"/>
        <v>-274.6146726</v>
      </c>
      <c r="I89" s="39">
        <f t="shared" si="7"/>
        <v>568.3485626</v>
      </c>
      <c r="J89" s="38">
        <f t="shared" si="8"/>
        <v>-28.89330125</v>
      </c>
      <c r="K89" s="38" t="str">
        <f t="shared" si="9"/>
        <v/>
      </c>
      <c r="L89" s="38">
        <f t="shared" si="10"/>
        <v>1</v>
      </c>
      <c r="M89" s="38">
        <f t="shared" si="11"/>
        <v>151.1066987</v>
      </c>
      <c r="N89" s="39">
        <f t="shared" si="12"/>
        <v>101.1066987</v>
      </c>
      <c r="O89" s="39">
        <f t="shared" si="13"/>
        <v>-109.4847877</v>
      </c>
      <c r="P89" s="39">
        <f t="shared" si="14"/>
        <v>-557.7034784</v>
      </c>
      <c r="Q89" s="38">
        <f t="shared" si="15"/>
        <v>52.29344565</v>
      </c>
      <c r="R89" s="38">
        <f t="shared" si="16"/>
        <v>597.7168189</v>
      </c>
      <c r="S89" s="40">
        <v>85.0</v>
      </c>
      <c r="T89" s="37">
        <f t="shared" si="17"/>
        <v>70.87452728</v>
      </c>
      <c r="U89" s="37">
        <f t="shared" si="18"/>
        <v>-24.12547272</v>
      </c>
      <c r="V89" s="37">
        <f t="shared" si="23"/>
        <v>0.4045378729</v>
      </c>
      <c r="W89" s="37">
        <f>'入力・結果'!$I$7/V89</f>
        <v>797205.9517</v>
      </c>
      <c r="X89" s="39">
        <f>(W89/I89*10)*'入力・結果'!$I$8</f>
        <v>8416.024998</v>
      </c>
      <c r="Y89" s="38">
        <f>DEGREES(ACOS(('入力・結果'!$G$3-('入力・結果'!$G$4*COS(RADIANS(S89))))/((('入力・結果'!$G$3^2)+('入力・結果'!$G$4^2)-(2*'入力・結果'!$G$3*'入力・結果'!$G$4*COS(RADIANS(S89))))^(1/2))))</f>
        <v>62.76044362</v>
      </c>
      <c r="Z89" s="38">
        <f>DEGREES(ACOS((('入力・結果'!$G$3^2)+('入力・結果'!$G$4^2)-('入力・結果'!$G$5^2)+('入力・結果'!$G$6^2)-(2*'入力・結果'!$G$3*'入力・結果'!$G$4*COS(RADIANS(S89))))/(2*'入力・結果'!$G$6*(('入力・結果'!$G$3^2)+('入力・結果'!$G$4^2)-(2*'入力・結果'!$G$3*'入力・結果'!$G$4*(COS(RADIANS(S89)))))^(1/2))))</f>
        <v>53.39294509</v>
      </c>
      <c r="AA89" s="38">
        <f>DEGREES(ACOS(('入力・結果'!$G$4-('入力・結果'!$G$3*COS(RADIANS(S89))))/((('入力・結果'!$G$3^2)+('入力・結果'!$G$4^2)-(2*'入力・結果'!$G$3*'入力・結果'!$G$4*COS(RADIANS(S89))))^(1/2))))</f>
        <v>32.23955638</v>
      </c>
      <c r="AB89" s="38">
        <f>DEGREES(ACOS((('入力・結果'!$G$3^2)+('入力・結果'!$G$4^2)+('入力・結果'!$G$5^2)-('入力・結果'!$G$6^2)-(2*'入力・結果'!$G$3*'入力・結果'!$G$4*COS(RADIANS(S89))))/(2*'入力・結果'!$G$5*(('入力・結果'!$G$3^2)+('入力・結果'!$G$4^2)-(2*'入力・結果'!$G$3*'入力・結果'!$G$4*(COS(RADIANS(S89)))))^(1/2))))</f>
        <v>38.6349709</v>
      </c>
      <c r="AC89" s="37">
        <f t="shared" si="19"/>
        <v>5116.024998</v>
      </c>
      <c r="AD89" s="37">
        <f t="shared" si="20"/>
        <v>5116.024998</v>
      </c>
      <c r="AE89" s="37" t="str">
        <f t="shared" si="21"/>
        <v/>
      </c>
      <c r="AF89" s="37" t="str">
        <f t="shared" si="22"/>
        <v/>
      </c>
      <c r="AG89" s="35"/>
      <c r="AH89" s="35"/>
      <c r="AI89" s="35"/>
      <c r="AJ89" s="35">
        <v>86.0</v>
      </c>
      <c r="AK89" s="35">
        <f t="shared" si="1"/>
        <v>2.512830398</v>
      </c>
    </row>
    <row r="90" ht="12.75" customHeight="1">
      <c r="A90" s="35"/>
      <c r="B90" s="37">
        <v>86.0</v>
      </c>
      <c r="C90" s="38">
        <f t="shared" si="2"/>
        <v>3.487823687</v>
      </c>
      <c r="D90" s="38">
        <f t="shared" si="3"/>
        <v>-49.87820251</v>
      </c>
      <c r="E90" s="38">
        <f>'演算'!U90</f>
        <v>-23.7275151</v>
      </c>
      <c r="F90" s="38">
        <f t="shared" si="4"/>
        <v>23.7275151</v>
      </c>
      <c r="G90" s="38">
        <f t="shared" si="5"/>
        <v>-500.0203797</v>
      </c>
      <c r="H90" s="38">
        <f t="shared" si="6"/>
        <v>-271.1913045</v>
      </c>
      <c r="I90" s="39">
        <f t="shared" si="7"/>
        <v>568.8278331</v>
      </c>
      <c r="J90" s="38">
        <f t="shared" si="8"/>
        <v>-28.47365557</v>
      </c>
      <c r="K90" s="38" t="str">
        <f t="shared" si="9"/>
        <v/>
      </c>
      <c r="L90" s="38">
        <f t="shared" si="10"/>
        <v>1</v>
      </c>
      <c r="M90" s="38">
        <f t="shared" si="11"/>
        <v>151.5263444</v>
      </c>
      <c r="N90" s="39">
        <f t="shared" si="12"/>
        <v>101.5263444</v>
      </c>
      <c r="O90" s="39">
        <f t="shared" si="13"/>
        <v>-113.6623129</v>
      </c>
      <c r="P90" s="39">
        <f t="shared" si="14"/>
        <v>-557.3562437</v>
      </c>
      <c r="Q90" s="38">
        <f t="shared" si="15"/>
        <v>41.85388425</v>
      </c>
      <c r="R90" s="38">
        <f t="shared" si="16"/>
        <v>598.5384302</v>
      </c>
      <c r="S90" s="40">
        <v>86.0</v>
      </c>
      <c r="T90" s="37">
        <f t="shared" si="17"/>
        <v>70.2724849</v>
      </c>
      <c r="U90" s="37">
        <f t="shared" si="18"/>
        <v>-23.7275151</v>
      </c>
      <c r="V90" s="37">
        <f t="shared" si="23"/>
        <v>0.3979576181</v>
      </c>
      <c r="W90" s="37">
        <f>'入力・結果'!$I$7/V90</f>
        <v>810387.8035</v>
      </c>
      <c r="X90" s="39">
        <f>(W90/I90*10)*'入力・結果'!$I$8</f>
        <v>8547.976273</v>
      </c>
      <c r="Y90" s="38">
        <f>DEGREES(ACOS(('入力・結果'!$G$3-('入力・結果'!$G$4*COS(RADIANS(S90))))/((('入力・結果'!$G$3^2)+('入力・結果'!$G$4^2)-(2*'入力・結果'!$G$3*'入力・結果'!$G$4*COS(RADIANS(S90))))^(1/2))))</f>
        <v>62.00764338</v>
      </c>
      <c r="Z90" s="38">
        <f>DEGREES(ACOS((('入力・結果'!$G$3^2)+('入力・結果'!$G$4^2)-('入力・結果'!$G$5^2)+('入力・結果'!$G$6^2)-(2*'入力・結果'!$G$3*'入力・結果'!$G$4*COS(RADIANS(S90))))/(2*'入力・結果'!$G$6*(('入力・結果'!$G$3^2)+('入力・結果'!$G$4^2)-(2*'入力・結果'!$G$3*'入力・結果'!$G$4*(COS(RADIANS(S90)))))^(1/2))))</f>
        <v>52.79799493</v>
      </c>
      <c r="AA90" s="38">
        <f>DEGREES(ACOS(('入力・結果'!$G$4-('入力・結果'!$G$3*COS(RADIANS(S90))))/((('入力・結果'!$G$3^2)+('入力・結果'!$G$4^2)-(2*'入力・結果'!$G$3*'入力・結果'!$G$4*COS(RADIANS(S90))))^(1/2))))</f>
        <v>31.99235662</v>
      </c>
      <c r="AB90" s="38">
        <f>DEGREES(ACOS((('入力・結果'!$G$3^2)+('入力・結果'!$G$4^2)+('入力・結果'!$G$5^2)-('入力・結果'!$G$6^2)-(2*'入力・結果'!$G$3*'入力・結果'!$G$4*COS(RADIANS(S90))))/(2*'入力・結果'!$G$5*(('入力・結果'!$G$3^2)+('入力・結果'!$G$4^2)-(2*'入力・結果'!$G$3*'入力・結果'!$G$4*(COS(RADIANS(S90)))))^(1/2))))</f>
        <v>38.28012828</v>
      </c>
      <c r="AC90" s="37">
        <f t="shared" si="19"/>
        <v>5247.976273</v>
      </c>
      <c r="AD90" s="37">
        <f t="shared" si="20"/>
        <v>5247.976273</v>
      </c>
      <c r="AE90" s="37" t="str">
        <f t="shared" si="21"/>
        <v/>
      </c>
      <c r="AF90" s="37" t="str">
        <f t="shared" si="22"/>
        <v/>
      </c>
      <c r="AG90" s="35"/>
      <c r="AH90" s="35"/>
      <c r="AI90" s="35"/>
      <c r="AJ90" s="35">
        <v>87.0</v>
      </c>
      <c r="AK90" s="35">
        <f t="shared" si="1"/>
        <v>2.553761814</v>
      </c>
    </row>
    <row r="91" ht="12.75" customHeight="1">
      <c r="A91" s="35"/>
      <c r="B91" s="37">
        <v>87.0</v>
      </c>
      <c r="C91" s="38">
        <f t="shared" si="2"/>
        <v>2.616797812</v>
      </c>
      <c r="D91" s="38">
        <f t="shared" si="3"/>
        <v>-49.93147674</v>
      </c>
      <c r="E91" s="38">
        <f>'演算'!U91</f>
        <v>-23.3359359</v>
      </c>
      <c r="F91" s="38">
        <f t="shared" si="4"/>
        <v>23.3359359</v>
      </c>
      <c r="G91" s="38">
        <f t="shared" si="5"/>
        <v>-502.3921652</v>
      </c>
      <c r="H91" s="38">
        <f t="shared" si="6"/>
        <v>-267.7982875</v>
      </c>
      <c r="I91" s="39">
        <f t="shared" si="7"/>
        <v>569.3099424</v>
      </c>
      <c r="J91" s="38">
        <f t="shared" si="8"/>
        <v>-28.05968182</v>
      </c>
      <c r="K91" s="38" t="str">
        <f t="shared" si="9"/>
        <v/>
      </c>
      <c r="L91" s="38">
        <f t="shared" si="10"/>
        <v>1</v>
      </c>
      <c r="M91" s="38">
        <f t="shared" si="11"/>
        <v>151.9403182</v>
      </c>
      <c r="N91" s="39">
        <f t="shared" si="12"/>
        <v>101.9403182</v>
      </c>
      <c r="O91" s="39">
        <f t="shared" si="13"/>
        <v>-117.786069</v>
      </c>
      <c r="P91" s="39">
        <f t="shared" si="14"/>
        <v>-556.9921476</v>
      </c>
      <c r="Q91" s="38">
        <f t="shared" si="15"/>
        <v>31.40157375</v>
      </c>
      <c r="R91" s="38">
        <f t="shared" si="16"/>
        <v>599.1777209</v>
      </c>
      <c r="S91" s="40">
        <v>87.0</v>
      </c>
      <c r="T91" s="37">
        <f t="shared" si="17"/>
        <v>69.6640641</v>
      </c>
      <c r="U91" s="37">
        <f t="shared" si="18"/>
        <v>-23.3359359</v>
      </c>
      <c r="V91" s="37">
        <f t="shared" si="23"/>
        <v>0.3915791968</v>
      </c>
      <c r="W91" s="37">
        <f>'入力・結果'!$I$7/V91</f>
        <v>823588.1851</v>
      </c>
      <c r="X91" s="39">
        <f>(W91/I91*10)*'入力・結果'!$I$8</f>
        <v>8679.85739</v>
      </c>
      <c r="Y91" s="38">
        <f>DEGREES(ACOS(('入力・結果'!$G$3-('入力・結果'!$G$4*COS(RADIANS(S91))))/((('入力・結果'!$G$3^2)+('入力・結果'!$G$4^2)-(2*'入力・結果'!$G$3*'入力・結果'!$G$4*COS(RADIANS(S91))))^(1/2))))</f>
        <v>61.25894794</v>
      </c>
      <c r="Z91" s="38">
        <f>DEGREES(ACOS((('入力・結果'!$G$3^2)+('入力・結果'!$G$4^2)-('入力・結果'!$G$5^2)+('入力・結果'!$G$6^2)-(2*'入力・結果'!$G$3*'入力・結果'!$G$4*COS(RADIANS(S91))))/(2*'入力・結果'!$G$6*(('入力・結果'!$G$3^2)+('入力・結果'!$G$4^2)-(2*'入力・結果'!$G$3*'入力・結果'!$G$4*(COS(RADIANS(S91)))))^(1/2))))</f>
        <v>52.20445515</v>
      </c>
      <c r="AA91" s="38">
        <f>DEGREES(ACOS(('入力・結果'!$G$4-('入力・結果'!$G$3*COS(RADIANS(S91))))/((('入力・結果'!$G$3^2)+('入力・結果'!$G$4^2)-(2*'入力・結果'!$G$3*'入力・結果'!$G$4*COS(RADIANS(S91))))^(1/2))))</f>
        <v>31.74105206</v>
      </c>
      <c r="AB91" s="38">
        <f>DEGREES(ACOS((('入力・結果'!$G$3^2)+('入力・結果'!$G$4^2)+('入力・結果'!$G$5^2)-('入力・結果'!$G$6^2)-(2*'入力・結果'!$G$3*'入力・結果'!$G$4*COS(RADIANS(S91))))/(2*'入力・結果'!$G$5*(('入力・結果'!$G$3^2)+('入力・結果'!$G$4^2)-(2*'入力・結果'!$G$3*'入力・結果'!$G$4*(COS(RADIANS(S91)))))^(1/2))))</f>
        <v>37.92301204</v>
      </c>
      <c r="AC91" s="37">
        <f t="shared" si="19"/>
        <v>5379.85739</v>
      </c>
      <c r="AD91" s="37">
        <f t="shared" si="20"/>
        <v>5379.85739</v>
      </c>
      <c r="AE91" s="37" t="str">
        <f t="shared" si="21"/>
        <v/>
      </c>
      <c r="AF91" s="37" t="str">
        <f t="shared" si="22"/>
        <v/>
      </c>
      <c r="AG91" s="35"/>
      <c r="AH91" s="35"/>
      <c r="AI91" s="35"/>
      <c r="AJ91" s="35">
        <v>88.0</v>
      </c>
      <c r="AK91" s="35">
        <f t="shared" si="1"/>
        <v>2.594738158</v>
      </c>
    </row>
    <row r="92" ht="12.75" customHeight="1">
      <c r="A92" s="35"/>
      <c r="B92" s="37">
        <v>88.0</v>
      </c>
      <c r="C92" s="38">
        <f t="shared" si="2"/>
        <v>1.744974835</v>
      </c>
      <c r="D92" s="38">
        <f t="shared" si="3"/>
        <v>-49.96954135</v>
      </c>
      <c r="E92" s="38">
        <f>'演算'!U92</f>
        <v>-22.95054056</v>
      </c>
      <c r="F92" s="38">
        <f t="shared" si="4"/>
        <v>22.95054056</v>
      </c>
      <c r="G92" s="38">
        <f t="shared" si="5"/>
        <v>-504.7180159</v>
      </c>
      <c r="H92" s="38">
        <f t="shared" si="6"/>
        <v>-264.4345479</v>
      </c>
      <c r="I92" s="39">
        <f t="shared" si="7"/>
        <v>569.7946171</v>
      </c>
      <c r="J92" s="38">
        <f t="shared" si="8"/>
        <v>-27.65118129</v>
      </c>
      <c r="K92" s="38" t="str">
        <f t="shared" si="9"/>
        <v/>
      </c>
      <c r="L92" s="38">
        <f t="shared" si="10"/>
        <v>1</v>
      </c>
      <c r="M92" s="38">
        <f t="shared" si="11"/>
        <v>152.3488187</v>
      </c>
      <c r="N92" s="39">
        <f t="shared" si="12"/>
        <v>102.3488187</v>
      </c>
      <c r="O92" s="39">
        <f t="shared" si="13"/>
        <v>-121.857871</v>
      </c>
      <c r="P92" s="39">
        <f t="shared" si="14"/>
        <v>-556.6116824</v>
      </c>
      <c r="Q92" s="38">
        <f t="shared" si="15"/>
        <v>20.93969802</v>
      </c>
      <c r="R92" s="38">
        <f t="shared" si="16"/>
        <v>599.6344962</v>
      </c>
      <c r="S92" s="40">
        <v>88.0</v>
      </c>
      <c r="T92" s="37">
        <f t="shared" si="17"/>
        <v>69.04945944</v>
      </c>
      <c r="U92" s="37">
        <f t="shared" si="18"/>
        <v>-22.95054056</v>
      </c>
      <c r="V92" s="37">
        <f t="shared" si="23"/>
        <v>0.3853953421</v>
      </c>
      <c r="W92" s="37">
        <f>'入力・結果'!$I$7/V92</f>
        <v>836803.0558</v>
      </c>
      <c r="X92" s="39">
        <f>(W92/I92*10)*'入力・結果'!$I$8</f>
        <v>8811.628233</v>
      </c>
      <c r="Y92" s="38">
        <f>DEGREES(ACOS(('入力・結果'!$G$3-('入力・結果'!$G$4*COS(RADIANS(S92))))/((('入力・結果'!$G$3^2)+('入力・結果'!$G$4^2)-(2*'入力・結果'!$G$3*'入力・結果'!$G$4*COS(RADIANS(S92))))^(1/2))))</f>
        <v>60.5142303</v>
      </c>
      <c r="Z92" s="38">
        <f>DEGREES(ACOS((('入力・結果'!$G$3^2)+('入力・結果'!$G$4^2)-('入力・結果'!$G$5^2)+('入力・結果'!$G$6^2)-(2*'入力・結果'!$G$3*'入力・結果'!$G$4*COS(RADIANS(S92))))/(2*'入力・結果'!$G$6*(('入力・結果'!$G$3^2)+('入力・結果'!$G$4^2)-(2*'入力・結果'!$G$3*'入力・結果'!$G$4*(COS(RADIANS(S92)))))^(1/2))))</f>
        <v>51.61228651</v>
      </c>
      <c r="AA92" s="38">
        <f>DEGREES(ACOS(('入力・結果'!$G$4-('入力・結果'!$G$3*COS(RADIANS(S92))))/((('入力・結果'!$G$3^2)+('入力・結果'!$G$4^2)-(2*'入力・結果'!$G$3*'入力・結果'!$G$4*COS(RADIANS(S92))))^(1/2))))</f>
        <v>31.4857697</v>
      </c>
      <c r="AB92" s="38">
        <f>DEGREES(ACOS((('入力・結果'!$G$3^2)+('入力・結果'!$G$4^2)+('入力・結果'!$G$5^2)-('入力・結果'!$G$6^2)-(2*'入力・結果'!$G$3*'入力・結果'!$G$4*COS(RADIANS(S92))))/(2*'入力・結果'!$G$5*(('入力・結果'!$G$3^2)+('入力・結果'!$G$4^2)-(2*'入力・結果'!$G$3*'入力・結果'!$G$4*(COS(RADIANS(S92)))))^(1/2))))</f>
        <v>37.56368974</v>
      </c>
      <c r="AC92" s="37">
        <f t="shared" si="19"/>
        <v>5511.628233</v>
      </c>
      <c r="AD92" s="37">
        <f t="shared" si="20"/>
        <v>5511.628233</v>
      </c>
      <c r="AE92" s="37" t="str">
        <f t="shared" si="21"/>
        <v/>
      </c>
      <c r="AF92" s="37" t="str">
        <f t="shared" si="22"/>
        <v/>
      </c>
      <c r="AG92" s="35"/>
      <c r="AH92" s="35"/>
      <c r="AI92" s="35"/>
      <c r="AJ92" s="35">
        <v>89.0</v>
      </c>
      <c r="AK92" s="35">
        <f t="shared" si="1"/>
        <v>2.635746889</v>
      </c>
    </row>
    <row r="93" ht="12.75" customHeight="1">
      <c r="A93" s="35"/>
      <c r="B93" s="37">
        <v>89.0</v>
      </c>
      <c r="C93" s="38">
        <f t="shared" si="2"/>
        <v>0.8726203219</v>
      </c>
      <c r="D93" s="38">
        <f t="shared" si="3"/>
        <v>-49.99238476</v>
      </c>
      <c r="E93" s="38">
        <f>'演算'!U93</f>
        <v>-22.57114146</v>
      </c>
      <c r="F93" s="38">
        <f t="shared" si="4"/>
        <v>22.57114146</v>
      </c>
      <c r="G93" s="38">
        <f t="shared" si="5"/>
        <v>-506.999393</v>
      </c>
      <c r="H93" s="38">
        <f t="shared" si="6"/>
        <v>-261.0990358</v>
      </c>
      <c r="I93" s="39">
        <f t="shared" si="7"/>
        <v>570.2815892</v>
      </c>
      <c r="J93" s="38">
        <f t="shared" si="8"/>
        <v>-27.24796262</v>
      </c>
      <c r="K93" s="38" t="str">
        <f t="shared" si="9"/>
        <v/>
      </c>
      <c r="L93" s="38">
        <f t="shared" si="10"/>
        <v>1</v>
      </c>
      <c r="M93" s="38">
        <f t="shared" si="11"/>
        <v>152.7520374</v>
      </c>
      <c r="N93" s="39">
        <f t="shared" si="12"/>
        <v>102.7520374</v>
      </c>
      <c r="O93" s="39">
        <f t="shared" si="13"/>
        <v>-125.8794625</v>
      </c>
      <c r="P93" s="39">
        <f t="shared" si="14"/>
        <v>-556.2152928</v>
      </c>
      <c r="Q93" s="38">
        <f t="shared" si="15"/>
        <v>10.47144386</v>
      </c>
      <c r="R93" s="38">
        <f t="shared" si="16"/>
        <v>599.9086171</v>
      </c>
      <c r="S93" s="40">
        <v>89.0</v>
      </c>
      <c r="T93" s="37">
        <f t="shared" si="17"/>
        <v>68.42885854</v>
      </c>
      <c r="U93" s="37">
        <f t="shared" si="18"/>
        <v>-22.57114146</v>
      </c>
      <c r="V93" s="37">
        <f t="shared" si="23"/>
        <v>0.379399101</v>
      </c>
      <c r="W93" s="37">
        <f>'入力・結果'!$I$7/V93</f>
        <v>850028.3716</v>
      </c>
      <c r="X93" s="39">
        <f>(W93/I93*10)*'入力・結果'!$I$8</f>
        <v>8943.24896</v>
      </c>
      <c r="Y93" s="38">
        <f>DEGREES(ACOS(('入力・結果'!$G$3-('入力・結果'!$G$4*COS(RADIANS(S93))))/((('入力・結果'!$G$3^2)+('入力・結果'!$G$4^2)-(2*'入力・結果'!$G$3*'入力・結果'!$G$4*COS(RADIANS(S93))))^(1/2))))</f>
        <v>59.77336812</v>
      </c>
      <c r="Z93" s="38">
        <f>DEGREES(ACOS((('入力・結果'!$G$3^2)+('入力・結果'!$G$4^2)-('入力・結果'!$G$5^2)+('入力・結果'!$G$6^2)-(2*'入力・結果'!$G$3*'入力・結果'!$G$4*COS(RADIANS(S93))))/(2*'入力・結果'!$G$6*(('入力・結果'!$G$3^2)+('入力・結果'!$G$4^2)-(2*'入力・結果'!$G$3*'入力・結果'!$G$4*(COS(RADIANS(S93)))))^(1/2))))</f>
        <v>51.02145095</v>
      </c>
      <c r="AA93" s="38">
        <f>DEGREES(ACOS(('入力・結果'!$G$4-('入力・結果'!$G$3*COS(RADIANS(S93))))/((('入力・結果'!$G$3^2)+('入力・結果'!$G$4^2)-(2*'入力・結果'!$G$3*'入力・結果'!$G$4*COS(RADIANS(S93))))^(1/2))))</f>
        <v>31.22663188</v>
      </c>
      <c r="AB93" s="38">
        <f>DEGREES(ACOS((('入力・結果'!$G$3^2)+('入力・結果'!$G$4^2)+('入力・結果'!$G$5^2)-('入力・結果'!$G$6^2)-(2*'入力・結果'!$G$3*'入力・結果'!$G$4*COS(RADIANS(S93))))/(2*'入力・結果'!$G$5*(('入力・結果'!$G$3^2)+('入力・結果'!$G$4^2)-(2*'入力・結果'!$G$3*'入力・結果'!$G$4*(COS(RADIANS(S93)))))^(1/2))))</f>
        <v>37.20222666</v>
      </c>
      <c r="AC93" s="37">
        <f t="shared" si="19"/>
        <v>5643.24896</v>
      </c>
      <c r="AD93" s="37">
        <f t="shared" si="20"/>
        <v>5643.24896</v>
      </c>
      <c r="AE93" s="37" t="str">
        <f t="shared" si="21"/>
        <v/>
      </c>
      <c r="AF93" s="37" t="str">
        <f t="shared" si="22"/>
        <v/>
      </c>
      <c r="AG93" s="35"/>
      <c r="AH93" s="35"/>
      <c r="AI93" s="35"/>
      <c r="AJ93" s="35">
        <v>90.0</v>
      </c>
      <c r="AK93" s="35">
        <f t="shared" si="1"/>
        <v>2.67677546</v>
      </c>
    </row>
    <row r="94" ht="12.75" customHeight="1">
      <c r="A94" s="35"/>
      <c r="B94" s="37">
        <v>90.0</v>
      </c>
      <c r="C94" s="38">
        <f t="shared" si="2"/>
        <v>0</v>
      </c>
      <c r="D94" s="38">
        <f t="shared" si="3"/>
        <v>-50</v>
      </c>
      <c r="E94" s="38">
        <f>'演算'!U94</f>
        <v>-22.19755764</v>
      </c>
      <c r="F94" s="38">
        <f t="shared" si="4"/>
        <v>22.19755764</v>
      </c>
      <c r="G94" s="38">
        <f t="shared" si="5"/>
        <v>-509.2376797</v>
      </c>
      <c r="H94" s="38">
        <f t="shared" si="6"/>
        <v>-257.7907255</v>
      </c>
      <c r="I94" s="39">
        <f t="shared" si="7"/>
        <v>570.7705954</v>
      </c>
      <c r="J94" s="38">
        <f t="shared" si="8"/>
        <v>-26.84984158</v>
      </c>
      <c r="K94" s="38" t="str">
        <f t="shared" si="9"/>
        <v/>
      </c>
      <c r="L94" s="38">
        <f t="shared" si="10"/>
        <v>1</v>
      </c>
      <c r="M94" s="38">
        <f t="shared" si="11"/>
        <v>153.1501584</v>
      </c>
      <c r="N94" s="39">
        <f t="shared" si="12"/>
        <v>103.1501584</v>
      </c>
      <c r="O94" s="39">
        <f t="shared" si="13"/>
        <v>-129.8525181</v>
      </c>
      <c r="P94" s="39">
        <f t="shared" si="14"/>
        <v>-555.803379</v>
      </c>
      <c r="Q94" s="38">
        <f t="shared" si="15"/>
        <v>0</v>
      </c>
      <c r="R94" s="38">
        <f t="shared" si="16"/>
        <v>600</v>
      </c>
      <c r="S94" s="40">
        <v>90.0</v>
      </c>
      <c r="T94" s="37">
        <f t="shared" si="17"/>
        <v>67.80244236</v>
      </c>
      <c r="U94" s="37">
        <f t="shared" si="18"/>
        <v>-22.19755764</v>
      </c>
      <c r="V94" s="37">
        <f t="shared" si="23"/>
        <v>0.3735838194</v>
      </c>
      <c r="W94" s="37">
        <f>'入力・結果'!$I$7/V94</f>
        <v>863260.0859</v>
      </c>
      <c r="X94" s="39">
        <f>(W94/I94*10)*'入力・結果'!$I$8</f>
        <v>9074.680016</v>
      </c>
      <c r="Y94" s="38">
        <f>DEGREES(ACOS(('入力・結果'!$G$3-('入力・結果'!$G$4*COS(RADIANS(S94))))/((('入力・結果'!$G$3^2)+('入力・結果'!$G$4^2)-(2*'入力・結果'!$G$3*'入力・結果'!$G$4*COS(RADIANS(S94))))^(1/2))))</f>
        <v>59.03624347</v>
      </c>
      <c r="Z94" s="38">
        <f>DEGREES(ACOS((('入力・結果'!$G$3^2)+('入力・結果'!$G$4^2)-('入力・結果'!$G$5^2)+('入力・結果'!$G$6^2)-(2*'入力・結果'!$G$3*'入力・結果'!$G$4*COS(RADIANS(S94))))/(2*'入力・結果'!$G$6*(('入力・結果'!$G$3^2)+('入力・結果'!$G$4^2)-(2*'入力・結果'!$G$3*'入力・結果'!$G$4*(COS(RADIANS(S94)))))^(1/2))))</f>
        <v>50.43191153</v>
      </c>
      <c r="AA94" s="38">
        <f>DEGREES(ACOS(('入力・結果'!$G$4-('入力・結果'!$G$3*COS(RADIANS(S94))))/((('入力・結果'!$G$3^2)+('入力・結果'!$G$4^2)-(2*'入力・結果'!$G$3*'入力・結果'!$G$4*COS(RADIANS(S94))))^(1/2))))</f>
        <v>30.96375653</v>
      </c>
      <c r="AB94" s="38">
        <f>DEGREES(ACOS((('入力・結果'!$G$3^2)+('入力・結果'!$G$4^2)+('入力・結果'!$G$5^2)-('入力・結果'!$G$6^2)-(2*'入力・結果'!$G$3*'入力・結果'!$G$4*COS(RADIANS(S94))))/(2*'入力・結果'!$G$5*(('入力・結果'!$G$3^2)+('入力・結果'!$G$4^2)-(2*'入力・結果'!$G$3*'入力・結果'!$G$4*(COS(RADIANS(S94)))))^(1/2))))</f>
        <v>36.83868583</v>
      </c>
      <c r="AC94" s="37">
        <f t="shared" si="19"/>
        <v>5774.680016</v>
      </c>
      <c r="AD94" s="37">
        <f t="shared" si="20"/>
        <v>5774.680016</v>
      </c>
      <c r="AE94" s="37" t="str">
        <f t="shared" si="21"/>
        <v/>
      </c>
      <c r="AF94" s="37" t="str">
        <f t="shared" si="22"/>
        <v/>
      </c>
      <c r="AG94" s="35"/>
      <c r="AH94" s="35"/>
      <c r="AI94" s="35"/>
      <c r="AJ94" s="35">
        <v>91.0</v>
      </c>
      <c r="AK94" s="35">
        <f t="shared" si="1"/>
        <v>2.717811322</v>
      </c>
    </row>
    <row r="95" ht="12.75" customHeight="1">
      <c r="A95" s="35"/>
      <c r="B95" s="37">
        <v>91.0</v>
      </c>
      <c r="C95" s="38">
        <f t="shared" si="2"/>
        <v>-0.8726203219</v>
      </c>
      <c r="D95" s="38">
        <f t="shared" si="3"/>
        <v>-49.99238476</v>
      </c>
      <c r="E95" s="38">
        <f>'演算'!U95</f>
        <v>-21.82961451</v>
      </c>
      <c r="F95" s="38">
        <f t="shared" si="4"/>
        <v>21.82961451</v>
      </c>
      <c r="G95" s="38">
        <f t="shared" si="5"/>
        <v>-511.4341849</v>
      </c>
      <c r="H95" s="38">
        <f t="shared" si="6"/>
        <v>-254.5086159</v>
      </c>
      <c r="I95" s="39">
        <f t="shared" si="7"/>
        <v>571.2613772</v>
      </c>
      <c r="J95" s="38">
        <f t="shared" si="8"/>
        <v>-26.45664071</v>
      </c>
      <c r="K95" s="38" t="str">
        <f t="shared" si="9"/>
        <v/>
      </c>
      <c r="L95" s="38">
        <f t="shared" si="10"/>
        <v>1</v>
      </c>
      <c r="M95" s="38">
        <f t="shared" si="11"/>
        <v>153.5433593</v>
      </c>
      <c r="N95" s="39">
        <f t="shared" si="12"/>
        <v>103.5433593</v>
      </c>
      <c r="O95" s="39">
        <f t="shared" si="13"/>
        <v>-133.7786462</v>
      </c>
      <c r="P95" s="39">
        <f t="shared" si="14"/>
        <v>-555.3763002</v>
      </c>
      <c r="Q95" s="38">
        <f t="shared" si="15"/>
        <v>-10.47144386</v>
      </c>
      <c r="R95" s="38">
        <f t="shared" si="16"/>
        <v>599.9086171</v>
      </c>
      <c r="S95" s="40">
        <v>91.0</v>
      </c>
      <c r="T95" s="37">
        <f t="shared" si="17"/>
        <v>67.17038549</v>
      </c>
      <c r="U95" s="37">
        <f t="shared" si="18"/>
        <v>-21.82961451</v>
      </c>
      <c r="V95" s="37">
        <f t="shared" si="23"/>
        <v>0.3679431283</v>
      </c>
      <c r="W95" s="37">
        <f>'入力・結果'!$I$7/V95</f>
        <v>876494.1513</v>
      </c>
      <c r="X95" s="39">
        <f>(W95/I95*10)*'入力・結果'!$I$8</f>
        <v>9205.882138</v>
      </c>
      <c r="Y95" s="38">
        <f>DEGREES(ACOS(('入力・結果'!$G$3-('入力・結果'!$G$4*COS(RADIANS(S95))))/((('入力・結果'!$G$3^2)+('入力・結果'!$G$4^2)-(2*'入力・結果'!$G$3*'入力・結果'!$G$4*COS(RADIANS(S95))))^(1/2))))</f>
        <v>58.30274268</v>
      </c>
      <c r="Z95" s="38">
        <f>DEGREES(ACOS((('入力・結果'!$G$3^2)+('入力・結果'!$G$4^2)-('入力・結果'!$G$5^2)+('入力・結果'!$G$6^2)-(2*'入力・結果'!$G$3*'入力・結果'!$G$4*COS(RADIANS(S95))))/(2*'入力・結果'!$G$6*(('入力・結果'!$G$3^2)+('入力・結果'!$G$4^2)-(2*'入力・結果'!$G$3*'入力・結果'!$G$4*(COS(RADIANS(S95)))))^(1/2))))</f>
        <v>49.84363246</v>
      </c>
      <c r="AA95" s="38">
        <f>DEGREES(ACOS(('入力・結果'!$G$4-('入力・結果'!$G$3*COS(RADIANS(S95))))/((('入力・結果'!$G$3^2)+('入力・結果'!$G$4^2)-(2*'入力・結果'!$G$3*'入力・結果'!$G$4*COS(RADIANS(S95))))^(1/2))))</f>
        <v>30.69725732</v>
      </c>
      <c r="AB95" s="38">
        <f>DEGREES(ACOS((('入力・結果'!$G$3^2)+('入力・結果'!$G$4^2)+('入力・結果'!$G$5^2)-('入力・結果'!$G$6^2)-(2*'入力・結果'!$G$3*'入力・結果'!$G$4*COS(RADIANS(S95))))/(2*'入力・結果'!$G$5*(('入力・結果'!$G$3^2)+('入力・結果'!$G$4^2)-(2*'入力・結果'!$G$3*'入力・結果'!$G$4*(COS(RADIANS(S95)))))^(1/2))))</f>
        <v>36.47312817</v>
      </c>
      <c r="AC95" s="37">
        <f t="shared" si="19"/>
        <v>5905.882138</v>
      </c>
      <c r="AD95" s="37">
        <f t="shared" si="20"/>
        <v>5905.882138</v>
      </c>
      <c r="AE95" s="37" t="str">
        <f t="shared" si="21"/>
        <v/>
      </c>
      <c r="AF95" s="37" t="str">
        <f t="shared" si="22"/>
        <v/>
      </c>
      <c r="AG95" s="35"/>
      <c r="AH95" s="35"/>
      <c r="AI95" s="35"/>
      <c r="AJ95" s="35">
        <v>92.0</v>
      </c>
      <c r="AK95" s="35">
        <f t="shared" si="1"/>
        <v>2.758841923</v>
      </c>
    </row>
    <row r="96" ht="12.75" customHeight="1">
      <c r="A96" s="35"/>
      <c r="B96" s="37">
        <v>92.0</v>
      </c>
      <c r="C96" s="38">
        <f t="shared" si="2"/>
        <v>-1.744974835</v>
      </c>
      <c r="D96" s="38">
        <f t="shared" si="3"/>
        <v>-49.96954135</v>
      </c>
      <c r="E96" s="38">
        <f>'演算'!U96</f>
        <v>-21.46714358</v>
      </c>
      <c r="F96" s="38">
        <f t="shared" si="4"/>
        <v>21.46714358</v>
      </c>
      <c r="G96" s="38">
        <f t="shared" si="5"/>
        <v>-513.5901472</v>
      </c>
      <c r="H96" s="38">
        <f t="shared" si="6"/>
        <v>-251.2517302</v>
      </c>
      <c r="I96" s="39">
        <f t="shared" si="7"/>
        <v>571.7536805</v>
      </c>
      <c r="J96" s="38">
        <f t="shared" si="8"/>
        <v>-26.06818906</v>
      </c>
      <c r="K96" s="38" t="str">
        <f t="shared" si="9"/>
        <v/>
      </c>
      <c r="L96" s="38">
        <f t="shared" si="10"/>
        <v>1</v>
      </c>
      <c r="M96" s="38">
        <f t="shared" si="11"/>
        <v>153.9318109</v>
      </c>
      <c r="N96" s="39">
        <f t="shared" si="12"/>
        <v>103.9318109</v>
      </c>
      <c r="O96" s="39">
        <f t="shared" si="13"/>
        <v>-137.6593914</v>
      </c>
      <c r="P96" s="39">
        <f t="shared" si="14"/>
        <v>-554.9343774</v>
      </c>
      <c r="Q96" s="38">
        <f t="shared" si="15"/>
        <v>-20.93969802</v>
      </c>
      <c r="R96" s="38">
        <f t="shared" si="16"/>
        <v>599.6344962</v>
      </c>
      <c r="S96" s="40">
        <v>92.0</v>
      </c>
      <c r="T96" s="37">
        <f t="shared" si="17"/>
        <v>66.53285642</v>
      </c>
      <c r="U96" s="37">
        <f t="shared" si="18"/>
        <v>-21.46714358</v>
      </c>
      <c r="V96" s="37">
        <f t="shared" si="23"/>
        <v>0.3624709308</v>
      </c>
      <c r="W96" s="37">
        <f>'入力・結果'!$I$7/V96</f>
        <v>889726.5203</v>
      </c>
      <c r="X96" s="39">
        <f>(W96/I96*10)*'入力・結果'!$I$8</f>
        <v>9336.816366</v>
      </c>
      <c r="Y96" s="38">
        <f>DEGREES(ACOS(('入力・結果'!$G$3-('入力・結果'!$G$4*COS(RADIANS(S96))))/((('入力・結果'!$G$3^2)+('入力・結果'!$G$4^2)-(2*'入力・結果'!$G$3*'入力・結果'!$G$4*COS(RADIANS(S96))))^(1/2))))</f>
        <v>57.57275612</v>
      </c>
      <c r="Z96" s="38">
        <f>DEGREES(ACOS((('入力・結果'!$G$3^2)+('入力・結果'!$G$4^2)-('入力・結果'!$G$5^2)+('入力・結果'!$G$6^2)-(2*'入力・結果'!$G$3*'入力・結果'!$G$4*COS(RADIANS(S96))))/(2*'入力・結果'!$G$6*(('入力・結果'!$G$3^2)+('入力・結果'!$G$4^2)-(2*'入力・結果'!$G$3*'入力・結果'!$G$4*(COS(RADIANS(S96)))))^(1/2))))</f>
        <v>49.25657899</v>
      </c>
      <c r="AA96" s="38">
        <f>DEGREES(ACOS(('入力・結果'!$G$4-('入力・結果'!$G$3*COS(RADIANS(S96))))/((('入力・結果'!$G$3^2)+('入力・結果'!$G$4^2)-(2*'入力・結果'!$G$3*'入力・結果'!$G$4*COS(RADIANS(S96))))^(1/2))))</f>
        <v>30.42724388</v>
      </c>
      <c r="AB96" s="38">
        <f>DEGREES(ACOS((('入力・結果'!$G$3^2)+('入力・結果'!$G$4^2)+('入力・結果'!$G$5^2)-('入力・結果'!$G$6^2)-(2*'入力・結果'!$G$3*'入力・結果'!$G$4*COS(RADIANS(S96))))/(2*'入力・結果'!$G$5*(('入力・結果'!$G$3^2)+('入力・結果'!$G$4^2)-(2*'入力・結果'!$G$3*'入力・結果'!$G$4*(COS(RADIANS(S96)))))^(1/2))))</f>
        <v>36.10561254</v>
      </c>
      <c r="AC96" s="37">
        <f t="shared" si="19"/>
        <v>6036.816366</v>
      </c>
      <c r="AD96" s="37">
        <f t="shared" si="20"/>
        <v>6036.816366</v>
      </c>
      <c r="AE96" s="37" t="str">
        <f t="shared" si="21"/>
        <v/>
      </c>
      <c r="AF96" s="37" t="str">
        <f t="shared" si="22"/>
        <v/>
      </c>
      <c r="AG96" s="35"/>
      <c r="AH96" s="35"/>
      <c r="AI96" s="35"/>
      <c r="AJ96" s="35">
        <v>93.0</v>
      </c>
      <c r="AK96" s="35">
        <f t="shared" si="1"/>
        <v>2.799854718</v>
      </c>
    </row>
    <row r="97" ht="12.75" customHeight="1">
      <c r="A97" s="35"/>
      <c r="B97" s="37">
        <v>93.0</v>
      </c>
      <c r="C97" s="38">
        <f t="shared" si="2"/>
        <v>-2.616797812</v>
      </c>
      <c r="D97" s="38">
        <f t="shared" si="3"/>
        <v>-49.93147674</v>
      </c>
      <c r="E97" s="38">
        <f>'演算'!U97</f>
        <v>-21.10998219</v>
      </c>
      <c r="F97" s="38">
        <f t="shared" si="4"/>
        <v>21.10998219</v>
      </c>
      <c r="G97" s="38">
        <f t="shared" si="5"/>
        <v>-515.7067385</v>
      </c>
      <c r="H97" s="38">
        <f t="shared" si="6"/>
        <v>-248.0191158</v>
      </c>
      <c r="I97" s="39">
        <f t="shared" si="7"/>
        <v>572.247256</v>
      </c>
      <c r="J97" s="38">
        <f t="shared" si="8"/>
        <v>-25.68432195</v>
      </c>
      <c r="K97" s="38" t="str">
        <f t="shared" si="9"/>
        <v/>
      </c>
      <c r="L97" s="38">
        <f t="shared" si="10"/>
        <v>1</v>
      </c>
      <c r="M97" s="38">
        <f t="shared" si="11"/>
        <v>154.315678</v>
      </c>
      <c r="N97" s="39">
        <f t="shared" si="12"/>
        <v>104.315678</v>
      </c>
      <c r="O97" s="39">
        <f t="shared" si="13"/>
        <v>-141.4962363</v>
      </c>
      <c r="P97" s="39">
        <f t="shared" si="14"/>
        <v>-554.4778959</v>
      </c>
      <c r="Q97" s="38">
        <f t="shared" si="15"/>
        <v>-31.40157375</v>
      </c>
      <c r="R97" s="38">
        <f t="shared" si="16"/>
        <v>599.1777209</v>
      </c>
      <c r="S97" s="40">
        <v>93.0</v>
      </c>
      <c r="T97" s="37">
        <f t="shared" si="17"/>
        <v>65.89001781</v>
      </c>
      <c r="U97" s="37">
        <f t="shared" si="18"/>
        <v>-21.10998219</v>
      </c>
      <c r="V97" s="37">
        <f t="shared" si="23"/>
        <v>0.3571613889</v>
      </c>
      <c r="W97" s="37">
        <f>'入力・結果'!$I$7/V97</f>
        <v>902953.1467</v>
      </c>
      <c r="X97" s="39">
        <f>(W97/I97*10)*'入力・結果'!$I$8</f>
        <v>9467.444053</v>
      </c>
      <c r="Y97" s="38">
        <f>DEGREES(ACOS(('入力・結果'!$G$3-('入力・結果'!$G$4*COS(RADIANS(S97))))/((('入力・結果'!$G$3^2)+('入力・結果'!$G$4^2)-(2*'入力・結果'!$G$3*'入力・結果'!$G$4*COS(RADIANS(S97))))^(1/2))))</f>
        <v>56.84617806</v>
      </c>
      <c r="Z97" s="38">
        <f>DEGREES(ACOS((('入力・結果'!$G$3^2)+('入力・結果'!$G$4^2)-('入力・結果'!$G$5^2)+('入力・結果'!$G$6^2)-(2*'入力・結果'!$G$3*'入力・結果'!$G$4*COS(RADIANS(S97))))/(2*'入力・結果'!$G$6*(('入力・結果'!$G$3^2)+('入力・結果'!$G$4^2)-(2*'入力・結果'!$G$3*'入力・結果'!$G$4*(COS(RADIANS(S97)))))^(1/2))))</f>
        <v>48.67071741</v>
      </c>
      <c r="AA97" s="38">
        <f>DEGREES(ACOS(('入力・結果'!$G$4-('入力・結果'!$G$3*COS(RADIANS(S97))))/((('入力・結果'!$G$3^2)+('入力・結果'!$G$4^2)-(2*'入力・結果'!$G$3*'入力・結果'!$G$4*COS(RADIANS(S97))))^(1/2))))</f>
        <v>30.15382194</v>
      </c>
      <c r="AB97" s="38">
        <f>DEGREES(ACOS((('入力・結果'!$G$3^2)+('入力・結果'!$G$4^2)+('入力・結果'!$G$5^2)-('入力・結果'!$G$6^2)-(2*'入力・結果'!$G$3*'入力・結果'!$G$4*COS(RADIANS(S97))))/(2*'入力・結果'!$G$5*(('入力・結果'!$G$3^2)+('入力・結果'!$G$4^2)-(2*'入力・結果'!$G$3*'入力・結果'!$G$4*(COS(RADIANS(S97)))))^(1/2))))</f>
        <v>35.73619587</v>
      </c>
      <c r="AC97" s="37">
        <f t="shared" si="19"/>
        <v>6167.444053</v>
      </c>
      <c r="AD97" s="37">
        <f t="shared" si="20"/>
        <v>6167.444053</v>
      </c>
      <c r="AE97" s="37" t="str">
        <f t="shared" si="21"/>
        <v/>
      </c>
      <c r="AF97" s="37" t="str">
        <f t="shared" si="22"/>
        <v/>
      </c>
      <c r="AG97" s="35"/>
      <c r="AH97" s="35"/>
      <c r="AI97" s="35"/>
      <c r="AJ97" s="35">
        <v>94.0</v>
      </c>
      <c r="AK97" s="35">
        <f t="shared" si="1"/>
        <v>2.840837168</v>
      </c>
    </row>
    <row r="98" ht="12.75" customHeight="1">
      <c r="A98" s="35"/>
      <c r="B98" s="37">
        <v>94.0</v>
      </c>
      <c r="C98" s="38">
        <f t="shared" si="2"/>
        <v>-3.487823687</v>
      </c>
      <c r="D98" s="38">
        <f t="shared" si="3"/>
        <v>-49.87820251</v>
      </c>
      <c r="E98" s="38">
        <f>'演算'!U98</f>
        <v>-20.75797328</v>
      </c>
      <c r="F98" s="38">
        <f t="shared" si="4"/>
        <v>20.75797328</v>
      </c>
      <c r="G98" s="38">
        <f t="shared" si="5"/>
        <v>-517.7850673</v>
      </c>
      <c r="H98" s="38">
        <f t="shared" si="6"/>
        <v>-244.8098449</v>
      </c>
      <c r="I98" s="39">
        <f t="shared" si="7"/>
        <v>572.7418582</v>
      </c>
      <c r="J98" s="38">
        <f t="shared" si="8"/>
        <v>-25.30488071</v>
      </c>
      <c r="K98" s="38" t="str">
        <f t="shared" si="9"/>
        <v/>
      </c>
      <c r="L98" s="38">
        <f t="shared" si="10"/>
        <v>1</v>
      </c>
      <c r="M98" s="38">
        <f t="shared" si="11"/>
        <v>154.6951193</v>
      </c>
      <c r="N98" s="39">
        <f t="shared" si="12"/>
        <v>104.6951193</v>
      </c>
      <c r="O98" s="39">
        <f t="shared" si="13"/>
        <v>-145.2906045</v>
      </c>
      <c r="P98" s="39">
        <f t="shared" si="14"/>
        <v>-554.0071086</v>
      </c>
      <c r="Q98" s="38">
        <f t="shared" si="15"/>
        <v>-41.85388425</v>
      </c>
      <c r="R98" s="38">
        <f t="shared" si="16"/>
        <v>598.5384302</v>
      </c>
      <c r="S98" s="40">
        <v>94.0</v>
      </c>
      <c r="T98" s="37">
        <f t="shared" si="17"/>
        <v>65.24202672</v>
      </c>
      <c r="U98" s="37">
        <f t="shared" si="18"/>
        <v>-20.75797328</v>
      </c>
      <c r="V98" s="37">
        <f t="shared" si="23"/>
        <v>0.3520089117</v>
      </c>
      <c r="W98" s="37">
        <f>'入力・結果'!$I$7/V98</f>
        <v>916169.9868</v>
      </c>
      <c r="X98" s="39">
        <f>(W98/I98*10)*'入力・結果'!$I$8</f>
        <v>9597.726868</v>
      </c>
      <c r="Y98" s="38">
        <f>DEGREES(ACOS(('入力・結果'!$G$3-('入力・結果'!$G$4*COS(RADIANS(S98))))/((('入力・結果'!$G$3^2)+('入力・結果'!$G$4^2)-(2*'入力・結果'!$G$3*'入力・結果'!$G$4*COS(RADIANS(S98))))^(1/2))))</f>
        <v>56.12290645</v>
      </c>
      <c r="Z98" s="38">
        <f>DEGREES(ACOS((('入力・結果'!$G$3^2)+('入力・結果'!$G$4^2)-('入力・結果'!$G$5^2)+('入力・結果'!$G$6^2)-(2*'入力・結果'!$G$3*'入力・結果'!$G$4*COS(RADIANS(S98))))/(2*'入力・結果'!$G$6*(('入力・結果'!$G$3^2)+('入力・結果'!$G$4^2)-(2*'入力・結果'!$G$3*'入力・結果'!$G$4*(COS(RADIANS(S98)))))^(1/2))))</f>
        <v>48.08601502</v>
      </c>
      <c r="AA98" s="38">
        <f>DEGREES(ACOS(('入力・結果'!$G$4-('入力・結果'!$G$3*COS(RADIANS(S98))))/((('入力・結果'!$G$3^2)+('入力・結果'!$G$4^2)-(2*'入力・結果'!$G$3*'入力・結果'!$G$4*COS(RADIANS(S98))))^(1/2))))</f>
        <v>29.87709355</v>
      </c>
      <c r="AB98" s="38">
        <f>DEGREES(ACOS((('入力・結果'!$G$3^2)+('入力・結果'!$G$4^2)+('入力・結果'!$G$5^2)-('入力・結果'!$G$6^2)-(2*'入力・結果'!$G$3*'入力・結果'!$G$4*COS(RADIANS(S98))))/(2*'入力・結果'!$G$5*(('入力・結果'!$G$3^2)+('入力・結果'!$G$4^2)-(2*'入力・結果'!$G$3*'入力・結果'!$G$4*(COS(RADIANS(S98)))))^(1/2))))</f>
        <v>35.36493317</v>
      </c>
      <c r="AC98" s="37">
        <f t="shared" si="19"/>
        <v>6297.726868</v>
      </c>
      <c r="AD98" s="37">
        <f t="shared" si="20"/>
        <v>6297.726868</v>
      </c>
      <c r="AE98" s="37" t="str">
        <f t="shared" si="21"/>
        <v/>
      </c>
      <c r="AF98" s="37" t="str">
        <f t="shared" si="22"/>
        <v/>
      </c>
      <c r="AG98" s="35"/>
      <c r="AH98" s="35"/>
      <c r="AI98" s="35"/>
      <c r="AJ98" s="35">
        <v>95.0</v>
      </c>
      <c r="AK98" s="35">
        <f t="shared" si="1"/>
        <v>2.881776746</v>
      </c>
    </row>
    <row r="99" ht="12.75" customHeight="1">
      <c r="A99" s="35"/>
      <c r="B99" s="37">
        <v>95.0</v>
      </c>
      <c r="C99" s="38">
        <f t="shared" si="2"/>
        <v>-4.357787137</v>
      </c>
      <c r="D99" s="38">
        <f t="shared" si="3"/>
        <v>-49.8097349</v>
      </c>
      <c r="E99" s="38">
        <f>'演算'!U99</f>
        <v>-20.41096514</v>
      </c>
      <c r="F99" s="38">
        <f t="shared" si="4"/>
        <v>20.41096514</v>
      </c>
      <c r="G99" s="38">
        <f t="shared" si="5"/>
        <v>-519.826182</v>
      </c>
      <c r="H99" s="38">
        <f t="shared" si="6"/>
        <v>-241.6230136</v>
      </c>
      <c r="I99" s="39">
        <f t="shared" si="7"/>
        <v>573.237246</v>
      </c>
      <c r="J99" s="38">
        <f t="shared" si="8"/>
        <v>-24.92971239</v>
      </c>
      <c r="K99" s="38" t="str">
        <f t="shared" si="9"/>
        <v/>
      </c>
      <c r="L99" s="38">
        <f t="shared" si="10"/>
        <v>1</v>
      </c>
      <c r="M99" s="38">
        <f t="shared" si="11"/>
        <v>155.0702876</v>
      </c>
      <c r="N99" s="39">
        <f t="shared" si="12"/>
        <v>105.0702876</v>
      </c>
      <c r="O99" s="39">
        <f t="shared" si="13"/>
        <v>-149.0438621</v>
      </c>
      <c r="P99" s="39">
        <f t="shared" si="14"/>
        <v>-553.5222375</v>
      </c>
      <c r="Q99" s="38">
        <f t="shared" si="15"/>
        <v>-52.29344565</v>
      </c>
      <c r="R99" s="38">
        <f t="shared" si="16"/>
        <v>597.7168189</v>
      </c>
      <c r="S99" s="40">
        <v>95.0</v>
      </c>
      <c r="T99" s="37">
        <f t="shared" si="17"/>
        <v>64.58903486</v>
      </c>
      <c r="U99" s="37">
        <f t="shared" si="18"/>
        <v>-20.41096514</v>
      </c>
      <c r="V99" s="37">
        <f t="shared" si="23"/>
        <v>0.347008144</v>
      </c>
      <c r="W99" s="37">
        <f>'入力・結果'!$I$7/V99</f>
        <v>929373.0005</v>
      </c>
      <c r="X99" s="39">
        <f>(W99/I99*10)*'入力・結果'!$I$8</f>
        <v>9727.62681</v>
      </c>
      <c r="Y99" s="38">
        <f>DEGREES(ACOS(('入力・結果'!$G$3-('入力・結果'!$G$4*COS(RADIANS(S99))))/((('入力・結果'!$G$3^2)+('入力・結果'!$G$4^2)-(2*'入力・結果'!$G$3*'入力・結果'!$G$4*COS(RADIANS(S99))))^(1/2))))</f>
        <v>55.40284279</v>
      </c>
      <c r="Z99" s="38">
        <f>DEGREES(ACOS((('入力・結果'!$G$3^2)+('入力・結果'!$G$4^2)-('入力・結果'!$G$5^2)+('入力・結果'!$G$6^2)-(2*'入力・結果'!$G$3*'入力・結果'!$G$4*COS(RADIANS(S99))))/(2*'入力・結果'!$G$6*(('入力・結果'!$G$3^2)+('入力・結果'!$G$4^2)-(2*'入力・結果'!$G$3*'入力・結果'!$G$4*(COS(RADIANS(S99)))))^(1/2))))</f>
        <v>47.5024401</v>
      </c>
      <c r="AA99" s="38">
        <f>DEGREES(ACOS(('入力・結果'!$G$4-('入力・結果'!$G$3*COS(RADIANS(S99))))/((('入力・結果'!$G$3^2)+('入力・結果'!$G$4^2)-(2*'入力・結果'!$G$3*'入力・結果'!$G$4*COS(RADIANS(S99))))^(1/2))))</f>
        <v>29.59715721</v>
      </c>
      <c r="AB99" s="38">
        <f>DEGREES(ACOS((('入力・結果'!$G$3^2)+('入力・結果'!$G$4^2)+('入力・結果'!$G$5^2)-('入力・結果'!$G$6^2)-(2*'入力・結果'!$G$3*'入力・結果'!$G$4*COS(RADIANS(S99))))/(2*'入力・結果'!$G$5*(('入力・結果'!$G$3^2)+('入力・結果'!$G$4^2)-(2*'入力・結果'!$G$3*'入力・結果'!$G$4*(COS(RADIANS(S99)))))^(1/2))))</f>
        <v>34.99187766</v>
      </c>
      <c r="AC99" s="37">
        <f t="shared" si="19"/>
        <v>6427.62681</v>
      </c>
      <c r="AD99" s="37">
        <f t="shared" si="20"/>
        <v>6427.62681</v>
      </c>
      <c r="AE99" s="37" t="str">
        <f t="shared" si="21"/>
        <v/>
      </c>
      <c r="AF99" s="37" t="str">
        <f t="shared" si="22"/>
        <v/>
      </c>
      <c r="AG99" s="35"/>
      <c r="AH99" s="35"/>
      <c r="AI99" s="35"/>
      <c r="AJ99" s="35">
        <v>96.0</v>
      </c>
      <c r="AK99" s="35">
        <f t="shared" si="1"/>
        <v>2.922660938</v>
      </c>
    </row>
    <row r="100" ht="12.75" customHeight="1">
      <c r="A100" s="35"/>
      <c r="B100" s="37">
        <v>96.0</v>
      </c>
      <c r="C100" s="38">
        <f t="shared" si="2"/>
        <v>-5.226423163</v>
      </c>
      <c r="D100" s="38">
        <f t="shared" si="3"/>
        <v>-49.72609477</v>
      </c>
      <c r="E100" s="38">
        <f>'演算'!U100</f>
        <v>-20.06881118</v>
      </c>
      <c r="F100" s="38">
        <f t="shared" si="4"/>
        <v>20.06881118</v>
      </c>
      <c r="G100" s="38">
        <f t="shared" si="5"/>
        <v>-521.831074</v>
      </c>
      <c r="H100" s="38">
        <f t="shared" si="6"/>
        <v>-238.4577423</v>
      </c>
      <c r="I100" s="39">
        <f t="shared" si="7"/>
        <v>573.7331824</v>
      </c>
      <c r="J100" s="38">
        <f t="shared" si="8"/>
        <v>-24.55866961</v>
      </c>
      <c r="K100" s="38" t="str">
        <f t="shared" si="9"/>
        <v/>
      </c>
      <c r="L100" s="38">
        <f t="shared" si="10"/>
        <v>1</v>
      </c>
      <c r="M100" s="38">
        <f t="shared" si="11"/>
        <v>155.4413304</v>
      </c>
      <c r="N100" s="39">
        <f t="shared" si="12"/>
        <v>105.4413304</v>
      </c>
      <c r="O100" s="39">
        <f t="shared" si="13"/>
        <v>-152.7573203</v>
      </c>
      <c r="P100" s="39">
        <f t="shared" si="14"/>
        <v>-553.0234766</v>
      </c>
      <c r="Q100" s="38">
        <f t="shared" si="15"/>
        <v>-62.71707796</v>
      </c>
      <c r="R100" s="38">
        <f t="shared" si="16"/>
        <v>596.7131372</v>
      </c>
      <c r="S100" s="40">
        <v>96.0</v>
      </c>
      <c r="T100" s="37">
        <f t="shared" si="17"/>
        <v>63.93118882</v>
      </c>
      <c r="U100" s="37">
        <f t="shared" si="18"/>
        <v>-20.06881118</v>
      </c>
      <c r="V100" s="37">
        <f t="shared" si="23"/>
        <v>0.3421539553</v>
      </c>
      <c r="W100" s="37">
        <f>'入力・結果'!$I$7/V100</f>
        <v>942558.1526</v>
      </c>
      <c r="X100" s="39">
        <f>(W100/I100*10)*'入力・結果'!$I$8</f>
        <v>9857.10621</v>
      </c>
      <c r="Y100" s="38">
        <f>DEGREES(ACOS(('入力・結果'!$G$3-('入力・結果'!$G$4*COS(RADIANS(S100))))/((('入力・結果'!$G$3^2)+('入力・結果'!$G$4^2)-(2*'入力・結果'!$G$3*'入力・結果'!$G$4*COS(RADIANS(S100))))^(1/2))))</f>
        <v>54.68589201</v>
      </c>
      <c r="Z100" s="38">
        <f>DEGREES(ACOS((('入力・結果'!$G$3^2)+('入力・結果'!$G$4^2)-('入力・結果'!$G$5^2)+('入力・結果'!$G$6^2)-(2*'入力・結果'!$G$3*'入力・結果'!$G$4*COS(RADIANS(S100))))/(2*'入力・結果'!$G$6*(('入力・結果'!$G$3^2)+('入力・結果'!$G$4^2)-(2*'入力・結果'!$G$3*'入力・結果'!$G$4*(COS(RADIANS(S100)))))^(1/2))))</f>
        <v>46.91996185</v>
      </c>
      <c r="AA100" s="38">
        <f>DEGREES(ACOS(('入力・結果'!$G$4-('入力・結果'!$G$3*COS(RADIANS(S100))))/((('入力・結果'!$G$3^2)+('入力・結果'!$G$4^2)-(2*'入力・結果'!$G$3*'入力・結果'!$G$4*COS(RADIANS(S100))))^(1/2))))</f>
        <v>29.31410799</v>
      </c>
      <c r="AB100" s="38">
        <f>DEGREES(ACOS((('入力・結果'!$G$3^2)+('入力・結果'!$G$4^2)+('入力・結果'!$G$5^2)-('入力・結果'!$G$6^2)-(2*'入力・結果'!$G$3*'入力・結果'!$G$4*COS(RADIANS(S100))))/(2*'入力・結果'!$G$5*(('入力・結果'!$G$3^2)+('入力・結果'!$G$4^2)-(2*'入力・結果'!$G$3*'入力・結果'!$G$4*(COS(RADIANS(S100)))))^(1/2))))</f>
        <v>34.61708083</v>
      </c>
      <c r="AC100" s="37">
        <f t="shared" si="19"/>
        <v>6557.10621</v>
      </c>
      <c r="AD100" s="37">
        <f t="shared" si="20"/>
        <v>6557.10621</v>
      </c>
      <c r="AE100" s="37" t="str">
        <f t="shared" si="21"/>
        <v/>
      </c>
      <c r="AF100" s="37" t="str">
        <f t="shared" si="22"/>
        <v/>
      </c>
      <c r="AG100" s="35"/>
      <c r="AH100" s="35"/>
      <c r="AI100" s="35"/>
      <c r="AJ100" s="35">
        <v>97.0</v>
      </c>
      <c r="AK100" s="35">
        <f t="shared" si="1"/>
        <v>2.963477252</v>
      </c>
    </row>
    <row r="101" ht="12.75" customHeight="1">
      <c r="A101" s="35"/>
      <c r="B101" s="37">
        <v>97.0</v>
      </c>
      <c r="C101" s="38">
        <f t="shared" si="2"/>
        <v>-6.09346717</v>
      </c>
      <c r="D101" s="38">
        <f t="shared" si="3"/>
        <v>-49.62730758</v>
      </c>
      <c r="E101" s="38">
        <f>'演算'!U101</f>
        <v>-19.73136975</v>
      </c>
      <c r="F101" s="38">
        <f t="shared" si="4"/>
        <v>19.73136975</v>
      </c>
      <c r="G101" s="38">
        <f t="shared" si="5"/>
        <v>-523.8006804</v>
      </c>
      <c r="H101" s="38">
        <f t="shared" si="6"/>
        <v>-235.313175</v>
      </c>
      <c r="I101" s="39">
        <f t="shared" si="7"/>
        <v>574.2294342</v>
      </c>
      <c r="J101" s="38">
        <f t="shared" si="8"/>
        <v>-24.19161027</v>
      </c>
      <c r="K101" s="38" t="str">
        <f t="shared" si="9"/>
        <v/>
      </c>
      <c r="L101" s="38">
        <f t="shared" si="10"/>
        <v>1</v>
      </c>
      <c r="M101" s="38">
        <f t="shared" si="11"/>
        <v>155.8083897</v>
      </c>
      <c r="N101" s="39">
        <f t="shared" si="12"/>
        <v>105.8083897</v>
      </c>
      <c r="O101" s="39">
        <f t="shared" si="13"/>
        <v>-156.4322372</v>
      </c>
      <c r="P101" s="39">
        <f t="shared" si="14"/>
        <v>-552.5109938</v>
      </c>
      <c r="Q101" s="38">
        <f t="shared" si="15"/>
        <v>-73.12160604</v>
      </c>
      <c r="R101" s="38">
        <f t="shared" si="16"/>
        <v>595.527691</v>
      </c>
      <c r="S101" s="40">
        <v>97.0</v>
      </c>
      <c r="T101" s="37">
        <f t="shared" si="17"/>
        <v>63.26863025</v>
      </c>
      <c r="U101" s="37">
        <f t="shared" si="18"/>
        <v>-19.73136975</v>
      </c>
      <c r="V101" s="37">
        <f t="shared" si="23"/>
        <v>0.3374414294</v>
      </c>
      <c r="W101" s="37">
        <f>'入力・結果'!$I$7/V101</f>
        <v>955721.4139</v>
      </c>
      <c r="X101" s="39">
        <f>(W101/I101*10)*'入力・結果'!$I$8</f>
        <v>9986.127742</v>
      </c>
      <c r="Y101" s="38">
        <f>DEGREES(ACOS(('入力・結果'!$G$3-('入力・結果'!$G$4*COS(RADIANS(S101))))/((('入力・結果'!$G$3^2)+('入力・結果'!$G$4^2)-(2*'入力・結果'!$G$3*'入力・結果'!$G$4*COS(RADIANS(S101))))^(1/2))))</f>
        <v>53.97196224</v>
      </c>
      <c r="Z101" s="38">
        <f>DEGREES(ACOS((('入力・結果'!$G$3^2)+('入力・結果'!$G$4^2)-('入力・結果'!$G$5^2)+('入力・結果'!$G$6^2)-(2*'入力・結果'!$G$3*'入力・結果'!$G$4*COS(RADIANS(S101))))/(2*'入力・結果'!$G$6*(('入力・結果'!$G$3^2)+('入力・結果'!$G$4^2)-(2*'入力・結果'!$G$3*'入力・結果'!$G$4*(COS(RADIANS(S101)))))^(1/2))))</f>
        <v>46.33855038</v>
      </c>
      <c r="AA101" s="38">
        <f>DEGREES(ACOS(('入力・結果'!$G$4-('入力・結果'!$G$3*COS(RADIANS(S101))))/((('入力・結果'!$G$3^2)+('入力・結果'!$G$4^2)-(2*'入力・結果'!$G$3*'入力・結果'!$G$4*COS(RADIANS(S101))))^(1/2))))</f>
        <v>29.02803776</v>
      </c>
      <c r="AB101" s="38">
        <f>DEGREES(ACOS((('入力・結果'!$G$3^2)+('入力・結果'!$G$4^2)+('入力・結果'!$G$5^2)-('入力・結果'!$G$6^2)-(2*'入力・結果'!$G$3*'入力・結果'!$G$4*COS(RADIANS(S101))))/(2*'入力・結果'!$G$5*(('入力・結果'!$G$3^2)+('入力・結果'!$G$4^2)-(2*'入力・結果'!$G$3*'入力・結果'!$G$4*(COS(RADIANS(S101)))))^(1/2))))</f>
        <v>34.24059249</v>
      </c>
      <c r="AC101" s="37">
        <f t="shared" si="19"/>
        <v>6686.127742</v>
      </c>
      <c r="AD101" s="37">
        <f t="shared" si="20"/>
        <v>6686.127742</v>
      </c>
      <c r="AE101" s="37" t="str">
        <f t="shared" si="21"/>
        <v/>
      </c>
      <c r="AF101" s="37" t="str">
        <f t="shared" si="22"/>
        <v/>
      </c>
      <c r="AG101" s="35"/>
      <c r="AH101" s="35"/>
      <c r="AI101" s="35"/>
      <c r="AJ101" s="35">
        <v>98.0</v>
      </c>
      <c r="AK101" s="35">
        <f t="shared" si="1"/>
        <v>3.004213217</v>
      </c>
    </row>
    <row r="102" ht="12.75" customHeight="1">
      <c r="A102" s="35"/>
      <c r="B102" s="37">
        <v>98.0</v>
      </c>
      <c r="C102" s="38">
        <f t="shared" si="2"/>
        <v>-6.958655048</v>
      </c>
      <c r="D102" s="38">
        <f t="shared" si="3"/>
        <v>-49.51340344</v>
      </c>
      <c r="E102" s="38">
        <f>'演算'!U102</f>
        <v>-19.3985039</v>
      </c>
      <c r="F102" s="38">
        <f t="shared" si="4"/>
        <v>19.3985039</v>
      </c>
      <c r="G102" s="38">
        <f t="shared" si="5"/>
        <v>-525.7358871</v>
      </c>
      <c r="H102" s="38">
        <f t="shared" si="6"/>
        <v>-232.1884798</v>
      </c>
      <c r="I102" s="39">
        <f t="shared" si="7"/>
        <v>574.7257721</v>
      </c>
      <c r="J102" s="38">
        <f t="shared" si="8"/>
        <v>-23.82839737</v>
      </c>
      <c r="K102" s="38" t="str">
        <f t="shared" si="9"/>
        <v/>
      </c>
      <c r="L102" s="38">
        <f t="shared" si="10"/>
        <v>1</v>
      </c>
      <c r="M102" s="38">
        <f t="shared" si="11"/>
        <v>156.1716026</v>
      </c>
      <c r="N102" s="39">
        <f t="shared" si="12"/>
        <v>106.1716026</v>
      </c>
      <c r="O102" s="39">
        <f t="shared" si="13"/>
        <v>-160.0698195</v>
      </c>
      <c r="P102" s="39">
        <f t="shared" si="14"/>
        <v>-551.9849328</v>
      </c>
      <c r="Q102" s="38">
        <f t="shared" si="15"/>
        <v>-83.50386058</v>
      </c>
      <c r="R102" s="38">
        <f t="shared" si="16"/>
        <v>594.1608412</v>
      </c>
      <c r="S102" s="40">
        <v>98.0</v>
      </c>
      <c r="T102" s="37">
        <f t="shared" si="17"/>
        <v>62.6014961</v>
      </c>
      <c r="U102" s="37">
        <f t="shared" si="18"/>
        <v>-19.3985039</v>
      </c>
      <c r="V102" s="37">
        <f t="shared" si="23"/>
        <v>0.3328658546</v>
      </c>
      <c r="W102" s="37">
        <f>'入力・結果'!$I$7/V102</f>
        <v>968858.7625</v>
      </c>
      <c r="X102" s="39">
        <f>(W102/I102*10)*'入力・結果'!$I$8</f>
        <v>10114.65443</v>
      </c>
      <c r="Y102" s="38">
        <f>DEGREES(ACOS(('入力・結果'!$G$3-('入力・結果'!$G$4*COS(RADIANS(S102))))/((('入力・結果'!$G$3^2)+('入力・結果'!$G$4^2)-(2*'入力・結果'!$G$3*'入力・結果'!$G$4*COS(RADIANS(S102))))^(1/2))))</f>
        <v>53.26096475</v>
      </c>
      <c r="Z102" s="38">
        <f>DEGREES(ACOS((('入力・結果'!$G$3^2)+('入力・結果'!$G$4^2)-('入力・結果'!$G$5^2)+('入力・結果'!$G$6^2)-(2*'入力・結果'!$G$3*'入力・結果'!$G$4*COS(RADIANS(S102))))/(2*'入力・結果'!$G$6*(('入力・結果'!$G$3^2)+('入力・結果'!$G$4^2)-(2*'入力・結果'!$G$3*'入力・結果'!$G$4*(COS(RADIANS(S102)))))^(1/2))))</f>
        <v>45.75817668</v>
      </c>
      <c r="AA102" s="38">
        <f>DEGREES(ACOS(('入力・結果'!$G$4-('入力・結果'!$G$3*COS(RADIANS(S102))))/((('入力・結果'!$G$3^2)+('入力・結果'!$G$4^2)-(2*'入力・結果'!$G$3*'入力・結果'!$G$4*COS(RADIANS(S102))))^(1/2))))</f>
        <v>28.73903525</v>
      </c>
      <c r="AB102" s="38">
        <f>DEGREES(ACOS((('入力・結果'!$G$3^2)+('入力・結果'!$G$4^2)+('入力・結果'!$G$5^2)-('入力・結果'!$G$6^2)-(2*'入力・結果'!$G$3*'入力・結果'!$G$4*COS(RADIANS(S102))))/(2*'入力・結果'!$G$5*(('入力・結果'!$G$3^2)+('入力・結果'!$G$4^2)-(2*'入力・結果'!$G$3*'入力・結果'!$G$4*(COS(RADIANS(S102)))))^(1/2))))</f>
        <v>33.86246086</v>
      </c>
      <c r="AC102" s="37">
        <f t="shared" si="19"/>
        <v>6814.654427</v>
      </c>
      <c r="AD102" s="37">
        <f t="shared" si="20"/>
        <v>6814.654427</v>
      </c>
      <c r="AE102" s="37" t="str">
        <f t="shared" si="21"/>
        <v/>
      </c>
      <c r="AF102" s="37" t="str">
        <f t="shared" si="22"/>
        <v/>
      </c>
      <c r="AG102" s="35"/>
      <c r="AH102" s="35"/>
      <c r="AI102" s="35"/>
      <c r="AJ102" s="35">
        <v>99.0</v>
      </c>
      <c r="AK102" s="35">
        <f t="shared" si="1"/>
        <v>3.044856387</v>
      </c>
    </row>
    <row r="103" ht="12.75" customHeight="1">
      <c r="A103" s="35"/>
      <c r="B103" s="37">
        <v>99.0</v>
      </c>
      <c r="C103" s="38">
        <f t="shared" si="2"/>
        <v>-7.821723252</v>
      </c>
      <c r="D103" s="38">
        <f t="shared" si="3"/>
        <v>-49.38441703</v>
      </c>
      <c r="E103" s="38">
        <f>'演算'!U103</f>
        <v>-19.07008118</v>
      </c>
      <c r="F103" s="38">
        <f t="shared" si="4"/>
        <v>19.07008118</v>
      </c>
      <c r="G103" s="38">
        <f t="shared" si="5"/>
        <v>-527.6375311</v>
      </c>
      <c r="H103" s="38">
        <f t="shared" si="6"/>
        <v>-229.0828476</v>
      </c>
      <c r="I103" s="39">
        <f t="shared" si="7"/>
        <v>575.2219704</v>
      </c>
      <c r="J103" s="38">
        <f t="shared" si="8"/>
        <v>-23.4688988</v>
      </c>
      <c r="K103" s="38" t="str">
        <f t="shared" si="9"/>
        <v/>
      </c>
      <c r="L103" s="38">
        <f t="shared" si="10"/>
        <v>1</v>
      </c>
      <c r="M103" s="38">
        <f t="shared" si="11"/>
        <v>156.5311012</v>
      </c>
      <c r="N103" s="39">
        <f t="shared" si="12"/>
        <v>106.5311012</v>
      </c>
      <c r="O103" s="39">
        <f t="shared" si="13"/>
        <v>-163.671225</v>
      </c>
      <c r="P103" s="39">
        <f t="shared" si="14"/>
        <v>-551.4454147</v>
      </c>
      <c r="Q103" s="38">
        <f t="shared" si="15"/>
        <v>-93.86067902</v>
      </c>
      <c r="R103" s="38">
        <f t="shared" si="16"/>
        <v>592.6130044</v>
      </c>
      <c r="S103" s="40">
        <v>99.0</v>
      </c>
      <c r="T103" s="37">
        <f t="shared" si="17"/>
        <v>61.92991882</v>
      </c>
      <c r="U103" s="37">
        <f t="shared" si="18"/>
        <v>-19.07008118</v>
      </c>
      <c r="V103" s="37">
        <f t="shared" si="23"/>
        <v>0.3284227145</v>
      </c>
      <c r="W103" s="37">
        <f>'入力・結果'!$I$7/V103</f>
        <v>981966.1848</v>
      </c>
      <c r="X103" s="39">
        <f>(W103/I103*10)*'入力・結果'!$I$8</f>
        <v>10242.64964</v>
      </c>
      <c r="Y103" s="38">
        <f>DEGREES(ACOS(('入力・結果'!$G$3-('入力・結果'!$G$4*COS(RADIANS(S103))))/((('入力・結果'!$G$3^2)+('入力・結果'!$G$4^2)-(2*'入力・結果'!$G$3*'入力・結果'!$G$4*COS(RADIANS(S103))))^(1/2))))</f>
        <v>52.55281379</v>
      </c>
      <c r="Z103" s="38">
        <f>DEGREES(ACOS((('入力・結果'!$G$3^2)+('入力・結果'!$G$4^2)-('入力・結果'!$G$5^2)+('入力・結果'!$G$6^2)-(2*'入力・結果'!$G$3*'入力・結果'!$G$4*COS(RADIANS(S103))))/(2*'入力・結果'!$G$6*(('入力・結果'!$G$3^2)+('入力・結果'!$G$4^2)-(2*'入力・結果'!$G$3*'入力・結果'!$G$4*(COS(RADIANS(S103)))))^(1/2))))</f>
        <v>45.17881258</v>
      </c>
      <c r="AA103" s="38">
        <f>DEGREES(ACOS(('入力・結果'!$G$4-('入力・結果'!$G$3*COS(RADIANS(S103))))/((('入力・結果'!$G$3^2)+('入力・結果'!$G$4^2)-(2*'入力・結果'!$G$3*'入力・結果'!$G$4*COS(RADIANS(S103))))^(1/2))))</f>
        <v>28.44718621</v>
      </c>
      <c r="AB103" s="38">
        <f>DEGREES(ACOS((('入力・結果'!$G$3^2)+('入力・結果'!$G$4^2)+('入力・結果'!$G$5^2)-('入力・結果'!$G$6^2)-(2*'入力・結果'!$G$3*'入力・結果'!$G$4*COS(RADIANS(S103))))/(2*'入力・結果'!$G$5*(('入力・結果'!$G$3^2)+('入力・結果'!$G$4^2)-(2*'入力・結果'!$G$3*'入力・結果'!$G$4*(COS(RADIANS(S103)))))^(1/2))))</f>
        <v>33.48273261</v>
      </c>
      <c r="AC103" s="37">
        <f t="shared" si="19"/>
        <v>6942.649642</v>
      </c>
      <c r="AD103" s="37">
        <f t="shared" si="20"/>
        <v>6942.649642</v>
      </c>
      <c r="AE103" s="37" t="str">
        <f t="shared" si="21"/>
        <v/>
      </c>
      <c r="AF103" s="37" t="str">
        <f t="shared" si="22"/>
        <v/>
      </c>
      <c r="AG103" s="35"/>
      <c r="AH103" s="35"/>
      <c r="AI103" s="35"/>
      <c r="AJ103" s="35">
        <v>100.0</v>
      </c>
      <c r="AK103" s="35">
        <f t="shared" si="1"/>
        <v>3.085394348</v>
      </c>
    </row>
    <row r="104" ht="12.75" customHeight="1">
      <c r="A104" s="35"/>
      <c r="B104" s="37">
        <v>100.0</v>
      </c>
      <c r="C104" s="38">
        <f t="shared" si="2"/>
        <v>-8.682408883</v>
      </c>
      <c r="D104" s="38">
        <f t="shared" si="3"/>
        <v>-49.24038765</v>
      </c>
      <c r="E104" s="38">
        <f>'演算'!U104</f>
        <v>-18.7459735</v>
      </c>
      <c r="F104" s="38">
        <f t="shared" si="4"/>
        <v>18.7459735</v>
      </c>
      <c r="G104" s="38">
        <f t="shared" si="5"/>
        <v>-529.506403</v>
      </c>
      <c r="H104" s="38">
        <f t="shared" si="6"/>
        <v>-225.9954928</v>
      </c>
      <c r="I104" s="39">
        <f t="shared" si="7"/>
        <v>575.7178072</v>
      </c>
      <c r="J104" s="38">
        <f t="shared" si="8"/>
        <v>-23.11298716</v>
      </c>
      <c r="K104" s="38" t="str">
        <f t="shared" si="9"/>
        <v/>
      </c>
      <c r="L104" s="38">
        <f t="shared" si="10"/>
        <v>1</v>
      </c>
      <c r="M104" s="38">
        <f t="shared" si="11"/>
        <v>156.8870128</v>
      </c>
      <c r="N104" s="39">
        <f t="shared" si="12"/>
        <v>106.8870128</v>
      </c>
      <c r="O104" s="39">
        <f t="shared" si="13"/>
        <v>-167.2375637</v>
      </c>
      <c r="P104" s="39">
        <f t="shared" si="14"/>
        <v>-550.8925402</v>
      </c>
      <c r="Q104" s="38">
        <f t="shared" si="15"/>
        <v>-104.1889066</v>
      </c>
      <c r="R104" s="38">
        <f t="shared" si="16"/>
        <v>590.8846518</v>
      </c>
      <c r="S104" s="40">
        <v>100.0</v>
      </c>
      <c r="T104" s="37">
        <f t="shared" si="17"/>
        <v>61.2540265</v>
      </c>
      <c r="U104" s="37">
        <f t="shared" si="18"/>
        <v>-18.7459735</v>
      </c>
      <c r="V104" s="37">
        <f t="shared" si="23"/>
        <v>0.3241076787</v>
      </c>
      <c r="W104" s="37">
        <f>'入力・結果'!$I$7/V104</f>
        <v>995039.6771</v>
      </c>
      <c r="X104" s="39">
        <f>(W104/I104*10)*'入力・結果'!$I$8</f>
        <v>10370.07712</v>
      </c>
      <c r="Y104" s="38">
        <f>DEGREES(ACOS(('入力・結果'!$G$3-('入力・結果'!$G$4*COS(RADIANS(S104))))/((('入力・結果'!$G$3^2)+('入力・結果'!$G$4^2)-(2*'入力・結果'!$G$3*'入力・結果'!$G$4*COS(RADIANS(S104))))^(1/2))))</f>
        <v>51.84742646</v>
      </c>
      <c r="Z104" s="38">
        <f>DEGREES(ACOS((('入力・結果'!$G$3^2)+('入力・結果'!$G$4^2)-('入力・結果'!$G$5^2)+('入力・結果'!$G$6^2)-(2*'入力・結果'!$G$3*'入力・結果'!$G$4*COS(RADIANS(S104))))/(2*'入力・結果'!$G$6*(('入力・結果'!$G$3^2)+('入力・結果'!$G$4^2)-(2*'入力・結果'!$G$3*'入力・結果'!$G$4*(COS(RADIANS(S104)))))^(1/2))))</f>
        <v>44.60043072</v>
      </c>
      <c r="AA104" s="38">
        <f>DEGREES(ACOS(('入力・結果'!$G$4-('入力・結果'!$G$3*COS(RADIANS(S104))))/((('入力・結果'!$G$3^2)+('入力・結果'!$G$4^2)-(2*'入力・結果'!$G$3*'入力・結果'!$G$4*COS(RADIANS(S104))))^(1/2))))</f>
        <v>28.15257354</v>
      </c>
      <c r="AB104" s="38">
        <f>DEGREES(ACOS((('入力・結果'!$G$3^2)+('入力・結果'!$G$4^2)+('入力・結果'!$G$5^2)-('入力・結果'!$G$6^2)-(2*'入力・結果'!$G$3*'入力・結果'!$G$4*COS(RADIANS(S104))))/(2*'入力・結果'!$G$5*(('入力・結果'!$G$3^2)+('入力・結果'!$G$4^2)-(2*'入力・結果'!$G$3*'入力・結果'!$G$4*(COS(RADIANS(S104)))))^(1/2))))</f>
        <v>33.10145295</v>
      </c>
      <c r="AC104" s="37">
        <f t="shared" si="19"/>
        <v>7070.077124</v>
      </c>
      <c r="AD104" s="37">
        <f t="shared" si="20"/>
        <v>7070.077124</v>
      </c>
      <c r="AE104" s="37" t="str">
        <f t="shared" si="21"/>
        <v/>
      </c>
      <c r="AF104" s="37" t="str">
        <f t="shared" si="22"/>
        <v/>
      </c>
      <c r="AG104" s="35"/>
      <c r="AH104" s="35"/>
      <c r="AI104" s="35"/>
      <c r="AJ104" s="35">
        <v>101.0</v>
      </c>
      <c r="AK104" s="35">
        <f t="shared" si="1"/>
        <v>3.125814717</v>
      </c>
    </row>
    <row r="105" ht="12.75" customHeight="1">
      <c r="A105" s="35"/>
      <c r="B105" s="37">
        <v>101.0</v>
      </c>
      <c r="C105" s="38">
        <f t="shared" si="2"/>
        <v>-9.540449769</v>
      </c>
      <c r="D105" s="38">
        <f t="shared" si="3"/>
        <v>-49.08135917</v>
      </c>
      <c r="E105" s="38">
        <f>'演算'!U105</f>
        <v>-18.42605691</v>
      </c>
      <c r="F105" s="38">
        <f t="shared" si="4"/>
        <v>18.42605691</v>
      </c>
      <c r="G105" s="38">
        <f t="shared" si="5"/>
        <v>-531.3432494</v>
      </c>
      <c r="H105" s="38">
        <f t="shared" si="6"/>
        <v>-222.9256523</v>
      </c>
      <c r="I105" s="39">
        <f t="shared" si="7"/>
        <v>576.2130641</v>
      </c>
      <c r="J105" s="38">
        <f t="shared" si="8"/>
        <v>-22.76053954</v>
      </c>
      <c r="K105" s="38" t="str">
        <f t="shared" si="9"/>
        <v/>
      </c>
      <c r="L105" s="38">
        <f t="shared" si="10"/>
        <v>1</v>
      </c>
      <c r="M105" s="38">
        <f t="shared" si="11"/>
        <v>157.2394605</v>
      </c>
      <c r="N105" s="39">
        <f t="shared" si="12"/>
        <v>107.2394605</v>
      </c>
      <c r="O105" s="39">
        <f t="shared" si="13"/>
        <v>-170.7699</v>
      </c>
      <c r="P105" s="39">
        <f t="shared" si="14"/>
        <v>-550.3263908</v>
      </c>
      <c r="Q105" s="38">
        <f t="shared" si="15"/>
        <v>-114.4853972</v>
      </c>
      <c r="R105" s="38">
        <f t="shared" si="16"/>
        <v>588.9763101</v>
      </c>
      <c r="S105" s="40">
        <v>101.0</v>
      </c>
      <c r="T105" s="37">
        <f t="shared" si="17"/>
        <v>60.57394309</v>
      </c>
      <c r="U105" s="37">
        <f t="shared" si="18"/>
        <v>-18.42605691</v>
      </c>
      <c r="V105" s="37">
        <f t="shared" si="23"/>
        <v>0.3199165947</v>
      </c>
      <c r="W105" s="37">
        <f>'入力・結果'!$I$7/V105</f>
        <v>1008075.246</v>
      </c>
      <c r="X105" s="39">
        <f>(W105/I105*10)*'入力・結果'!$I$8</f>
        <v>10496.90098</v>
      </c>
      <c r="Y105" s="38">
        <f>DEGREES(ACOS(('入力・結果'!$G$3-('入力・結果'!$G$4*COS(RADIANS(S105))))/((('入力・結果'!$G$3^2)+('入力・結果'!$G$4^2)-(2*'入力・結果'!$G$3*'入力・結果'!$G$4*COS(RADIANS(S105))))^(1/2))))</f>
        <v>51.14472257</v>
      </c>
      <c r="Z105" s="38">
        <f>DEGREES(ACOS((('入力・結果'!$G$3^2)+('入力・結果'!$G$4^2)-('入力・結果'!$G$5^2)+('入力・結果'!$G$6^2)-(2*'入力・結果'!$G$3*'入力・結果'!$G$4*COS(RADIANS(S105))))/(2*'入力・結果'!$G$6*(('入力・結果'!$G$3^2)+('入力・結果'!$G$4^2)-(2*'入力・結果'!$G$3*'入力・結果'!$G$4*(COS(RADIANS(S105)))))^(1/2))))</f>
        <v>44.02300456</v>
      </c>
      <c r="AA105" s="38">
        <f>DEGREES(ACOS(('入力・結果'!$G$4-('入力・結果'!$G$3*COS(RADIANS(S105))))/((('入力・結果'!$G$3^2)+('入力・結果'!$G$4^2)-(2*'入力・結果'!$G$3*'入力・結果'!$G$4*COS(RADIANS(S105))))^(1/2))))</f>
        <v>27.85527743</v>
      </c>
      <c r="AB105" s="38">
        <f>DEGREES(ACOS((('入力・結果'!$G$3^2)+('入力・結果'!$G$4^2)+('入力・結果'!$G$5^2)-('入力・結果'!$G$6^2)-(2*'入力・結果'!$G$3*'入力・結果'!$G$4*COS(RADIANS(S105))))/(2*'入力・結果'!$G$5*(('入力・結果'!$G$3^2)+('入力・結果'!$G$4^2)-(2*'入力・結果'!$G$3*'入力・結果'!$G$4*(COS(RADIANS(S105)))))^(1/2))))</f>
        <v>32.71866566</v>
      </c>
      <c r="AC105" s="37">
        <f t="shared" si="19"/>
        <v>7196.900981</v>
      </c>
      <c r="AD105" s="37">
        <f t="shared" si="20"/>
        <v>7196.900981</v>
      </c>
      <c r="AE105" s="37" t="str">
        <f t="shared" si="21"/>
        <v/>
      </c>
      <c r="AF105" s="37" t="str">
        <f t="shared" si="22"/>
        <v/>
      </c>
      <c r="AG105" s="35"/>
      <c r="AH105" s="35"/>
      <c r="AI105" s="35"/>
      <c r="AJ105" s="35">
        <v>102.0</v>
      </c>
      <c r="AK105" s="35">
        <f t="shared" si="1"/>
        <v>3.166105151</v>
      </c>
    </row>
    <row r="106" ht="12.75" customHeight="1">
      <c r="A106" s="35"/>
      <c r="B106" s="37">
        <v>102.0</v>
      </c>
      <c r="C106" s="38">
        <f t="shared" si="2"/>
        <v>-10.39558454</v>
      </c>
      <c r="D106" s="38">
        <f t="shared" si="3"/>
        <v>-48.90738004</v>
      </c>
      <c r="E106" s="38">
        <f>'演算'!U106</f>
        <v>-18.11021143</v>
      </c>
      <c r="F106" s="38">
        <f t="shared" si="4"/>
        <v>18.11021143</v>
      </c>
      <c r="G106" s="38">
        <f t="shared" si="5"/>
        <v>-533.1487753</v>
      </c>
      <c r="H106" s="38">
        <f t="shared" si="6"/>
        <v>-219.8725857</v>
      </c>
      <c r="I106" s="39">
        <f t="shared" si="7"/>
        <v>576.707526</v>
      </c>
      <c r="J106" s="38">
        <f t="shared" si="8"/>
        <v>-22.4114374</v>
      </c>
      <c r="K106" s="38" t="str">
        <f t="shared" si="9"/>
        <v/>
      </c>
      <c r="L106" s="38">
        <f t="shared" si="10"/>
        <v>1</v>
      </c>
      <c r="M106" s="38">
        <f t="shared" si="11"/>
        <v>157.5885626</v>
      </c>
      <c r="N106" s="39">
        <f t="shared" si="12"/>
        <v>107.5885626</v>
      </c>
      <c r="O106" s="39">
        <f t="shared" si="13"/>
        <v>-174.2692544</v>
      </c>
      <c r="P106" s="39">
        <f t="shared" si="14"/>
        <v>-549.7470305</v>
      </c>
      <c r="Q106" s="38">
        <f t="shared" si="15"/>
        <v>-124.7470145</v>
      </c>
      <c r="R106" s="38">
        <f t="shared" si="16"/>
        <v>586.8885604</v>
      </c>
      <c r="S106" s="40">
        <v>102.0</v>
      </c>
      <c r="T106" s="37">
        <f t="shared" si="17"/>
        <v>59.88978857</v>
      </c>
      <c r="U106" s="37">
        <f t="shared" si="18"/>
        <v>-18.11021143</v>
      </c>
      <c r="V106" s="37">
        <f t="shared" si="23"/>
        <v>0.3158454797</v>
      </c>
      <c r="W106" s="37">
        <f>'入力・結果'!$I$7/V106</f>
        <v>1021068.911</v>
      </c>
      <c r="X106" s="39">
        <f>(W106/I106*10)*'入力・結果'!$I$8</f>
        <v>10623.08569</v>
      </c>
      <c r="Y106" s="38">
        <f>DEGREES(ACOS(('入力・結果'!$G$3-('入力・結果'!$G$4*COS(RADIANS(S106))))/((('入力・結果'!$G$3^2)+('入力・結果'!$G$4^2)-(2*'入力・結果'!$G$3*'入力・結果'!$G$4*COS(RADIANS(S106))))^(1/2))))</f>
        <v>50.44462459</v>
      </c>
      <c r="Z106" s="38">
        <f>DEGREES(ACOS((('入力・結果'!$G$3^2)+('入力・結果'!$G$4^2)-('入力・結果'!$G$5^2)+('入力・結果'!$G$6^2)-(2*'入力・結果'!$G$3*'入力・結果'!$G$4*COS(RADIANS(S106))))/(2*'入力・結果'!$G$6*(('入力・結果'!$G$3^2)+('入力・結果'!$G$4^2)-(2*'入力・結果'!$G$3*'入力・結果'!$G$4*(COS(RADIANS(S106)))))^(1/2))))</f>
        <v>43.44650828</v>
      </c>
      <c r="AA106" s="38">
        <f>DEGREES(ACOS(('入力・結果'!$G$4-('入力・結果'!$G$3*COS(RADIANS(S106))))/((('入力・結果'!$G$3^2)+('入力・結果'!$G$4^2)-(2*'入力・結果'!$G$3*'入力・結果'!$G$4*COS(RADIANS(S106))))^(1/2))))</f>
        <v>27.55537541</v>
      </c>
      <c r="AB106" s="38">
        <f>DEGREES(ACOS((('入力・結果'!$G$3^2)+('入力・結果'!$G$4^2)+('入力・結果'!$G$5^2)-('入力・結果'!$G$6^2)-(2*'入力・結果'!$G$3*'入力・結果'!$G$4*COS(RADIANS(S106))))/(2*'入力・結果'!$G$5*(('入力・結果'!$G$3^2)+('入力・結果'!$G$4^2)-(2*'入力・結果'!$G$3*'入力・結果'!$G$4*(COS(RADIANS(S106)))))^(1/2))))</f>
        <v>32.33441316</v>
      </c>
      <c r="AC106" s="37">
        <f t="shared" si="19"/>
        <v>7323.08569</v>
      </c>
      <c r="AD106" s="37">
        <f t="shared" si="20"/>
        <v>7323.08569</v>
      </c>
      <c r="AE106" s="37" t="str">
        <f t="shared" si="21"/>
        <v/>
      </c>
      <c r="AF106" s="37" t="str">
        <f t="shared" si="22"/>
        <v/>
      </c>
      <c r="AG106" s="35"/>
      <c r="AH106" s="35"/>
      <c r="AI106" s="35"/>
      <c r="AJ106" s="35">
        <v>103.0</v>
      </c>
      <c r="AK106" s="35">
        <f t="shared" si="1"/>
        <v>3.206253346</v>
      </c>
    </row>
    <row r="107" ht="12.75" customHeight="1">
      <c r="A107" s="35"/>
      <c r="B107" s="37">
        <v>103.0</v>
      </c>
      <c r="C107" s="38">
        <f t="shared" si="2"/>
        <v>-11.24755272</v>
      </c>
      <c r="D107" s="38">
        <f t="shared" si="3"/>
        <v>-48.71850324</v>
      </c>
      <c r="E107" s="38">
        <f>'演算'!U107</f>
        <v>-17.79832092</v>
      </c>
      <c r="F107" s="38">
        <f t="shared" si="4"/>
        <v>17.79832092</v>
      </c>
      <c r="G107" s="38">
        <f t="shared" si="5"/>
        <v>-534.9236457</v>
      </c>
      <c r="H107" s="38">
        <f t="shared" si="6"/>
        <v>-216.8355744</v>
      </c>
      <c r="I107" s="39">
        <f t="shared" si="7"/>
        <v>577.2009815</v>
      </c>
      <c r="J107" s="38">
        <f t="shared" si="8"/>
        <v>-22.06556635</v>
      </c>
      <c r="K107" s="38" t="str">
        <f t="shared" si="9"/>
        <v/>
      </c>
      <c r="L107" s="38">
        <f t="shared" si="10"/>
        <v>1</v>
      </c>
      <c r="M107" s="38">
        <f t="shared" si="11"/>
        <v>157.9344336</v>
      </c>
      <c r="N107" s="39">
        <f t="shared" si="12"/>
        <v>107.9344336</v>
      </c>
      <c r="O107" s="39">
        <f t="shared" si="13"/>
        <v>-177.7366047</v>
      </c>
      <c r="P107" s="39">
        <f t="shared" si="14"/>
        <v>-549.1545069</v>
      </c>
      <c r="Q107" s="38">
        <f t="shared" si="15"/>
        <v>-134.9706326</v>
      </c>
      <c r="R107" s="38">
        <f t="shared" si="16"/>
        <v>584.6220389</v>
      </c>
      <c r="S107" s="40">
        <v>103.0</v>
      </c>
      <c r="T107" s="37">
        <f t="shared" si="17"/>
        <v>59.20167908</v>
      </c>
      <c r="U107" s="37">
        <f t="shared" si="18"/>
        <v>-17.79832092</v>
      </c>
      <c r="V107" s="37">
        <f t="shared" si="23"/>
        <v>0.3118905128</v>
      </c>
      <c r="W107" s="37">
        <f>'入力・結果'!$I$7/V107</f>
        <v>1034016.704</v>
      </c>
      <c r="X107" s="39">
        <f>(W107/I107*10)*'入力・結果'!$I$8</f>
        <v>10748.59611</v>
      </c>
      <c r="Y107" s="38">
        <f>DEGREES(ACOS(('入力・結果'!$G$3-('入力・結果'!$G$4*COS(RADIANS(S107))))/((('入力・結果'!$G$3^2)+('入力・結果'!$G$4^2)-(2*'入力・結果'!$G$3*'入力・結果'!$G$4*COS(RADIANS(S107))))^(1/2))))</f>
        <v>49.74705747</v>
      </c>
      <c r="Z107" s="38">
        <f>DEGREES(ACOS((('入力・結果'!$G$3^2)+('入力・結果'!$G$4^2)-('入力・結果'!$G$5^2)+('入力・結果'!$G$6^2)-(2*'入力・結果'!$G$3*'入力・結果'!$G$4*COS(RADIANS(S107))))/(2*'入力・結果'!$G$6*(('入力・結果'!$G$3^2)+('入力・結果'!$G$4^2)-(2*'入力・結果'!$G$3*'入力・結果'!$G$4*(COS(RADIANS(S107)))))^(1/2))))</f>
        <v>42.87091682</v>
      </c>
      <c r="AA107" s="38">
        <f>DEGREES(ACOS(('入力・結果'!$G$4-('入力・結果'!$G$3*COS(RADIANS(S107))))/((('入力・結果'!$G$3^2)+('入力・結果'!$G$4^2)-(2*'入力・結果'!$G$3*'入力・結果'!$G$4*COS(RADIANS(S107))))^(1/2))))</f>
        <v>27.25294253</v>
      </c>
      <c r="AB107" s="38">
        <f>DEGREES(ACOS((('入力・結果'!$G$3^2)+('入力・結果'!$G$4^2)+('入力・結果'!$G$5^2)-('入力・結果'!$G$6^2)-(2*'入力・結果'!$G$3*'入力・結果'!$G$4*COS(RADIANS(S107))))/(2*'入力・結果'!$G$5*(('入力・結果'!$G$3^2)+('入力・結果'!$G$4^2)-(2*'入力・結果'!$G$3*'入力・結果'!$G$4*(COS(RADIANS(S107)))))^(1/2))))</f>
        <v>31.94873656</v>
      </c>
      <c r="AC107" s="37">
        <f t="shared" si="19"/>
        <v>7448.596108</v>
      </c>
      <c r="AD107" s="37">
        <f t="shared" si="20"/>
        <v>7448.596108</v>
      </c>
      <c r="AE107" s="37" t="str">
        <f t="shared" si="21"/>
        <v/>
      </c>
      <c r="AF107" s="37" t="str">
        <f t="shared" si="22"/>
        <v/>
      </c>
      <c r="AG107" s="35"/>
      <c r="AH107" s="35"/>
      <c r="AI107" s="35"/>
      <c r="AJ107" s="35">
        <v>104.0</v>
      </c>
      <c r="AK107" s="35">
        <f t="shared" si="1"/>
        <v>3.246247043</v>
      </c>
    </row>
    <row r="108" ht="12.75" customHeight="1">
      <c r="A108" s="35"/>
      <c r="B108" s="37">
        <v>104.0</v>
      </c>
      <c r="C108" s="38">
        <f t="shared" si="2"/>
        <v>-12.09609478</v>
      </c>
      <c r="D108" s="38">
        <f t="shared" si="3"/>
        <v>-48.51478631</v>
      </c>
      <c r="E108" s="38">
        <f>'演算'!U108</f>
        <v>-17.49027289</v>
      </c>
      <c r="F108" s="38">
        <f t="shared" si="4"/>
        <v>17.49027289</v>
      </c>
      <c r="G108" s="38">
        <f t="shared" si="5"/>
        <v>-536.6684881</v>
      </c>
      <c r="H108" s="38">
        <f t="shared" si="6"/>
        <v>-213.8139217</v>
      </c>
      <c r="I108" s="39">
        <f t="shared" si="7"/>
        <v>577.6932224</v>
      </c>
      <c r="J108" s="38">
        <f t="shared" si="8"/>
        <v>-21.722816</v>
      </c>
      <c r="K108" s="38" t="str">
        <f t="shared" si="9"/>
        <v/>
      </c>
      <c r="L108" s="38">
        <f t="shared" si="10"/>
        <v>1</v>
      </c>
      <c r="M108" s="38">
        <f t="shared" si="11"/>
        <v>158.277184</v>
      </c>
      <c r="N108" s="39">
        <f t="shared" si="12"/>
        <v>108.277184</v>
      </c>
      <c r="O108" s="39">
        <f t="shared" si="13"/>
        <v>-181.1728881</v>
      </c>
      <c r="P108" s="39">
        <f t="shared" si="14"/>
        <v>-548.5488528</v>
      </c>
      <c r="Q108" s="38">
        <f t="shared" si="15"/>
        <v>-145.1531374</v>
      </c>
      <c r="R108" s="38">
        <f t="shared" si="16"/>
        <v>582.1774358</v>
      </c>
      <c r="S108" s="40">
        <v>104.0</v>
      </c>
      <c r="T108" s="37">
        <f t="shared" si="17"/>
        <v>58.50972711</v>
      </c>
      <c r="U108" s="37">
        <f t="shared" si="18"/>
        <v>-17.49027289</v>
      </c>
      <c r="V108" s="37">
        <f t="shared" si="23"/>
        <v>0.308048028</v>
      </c>
      <c r="W108" s="37">
        <f>'入力・結果'!$I$7/V108</f>
        <v>1046914.671</v>
      </c>
      <c r="X108" s="39">
        <f>(W108/I108*10)*'入力・結果'!$I$8</f>
        <v>10873.39748</v>
      </c>
      <c r="Y108" s="38">
        <f>DEGREES(ACOS(('入力・結果'!$G$3-('入力・結果'!$G$4*COS(RADIANS(S108))))/((('入力・結果'!$G$3^2)+('入力・結果'!$G$4^2)-(2*'入力・結果'!$G$3*'入力・結果'!$G$4*COS(RADIANS(S108))))^(1/2))))</f>
        <v>49.05194859</v>
      </c>
      <c r="Z108" s="38">
        <f>DEGREES(ACOS((('入力・結果'!$G$3^2)+('入力・結果'!$G$4^2)-('入力・結果'!$G$5^2)+('入力・結果'!$G$6^2)-(2*'入力・結果'!$G$3*'入力・結果'!$G$4*COS(RADIANS(S108))))/(2*'入力・結果'!$G$6*(('入力・結果'!$G$3^2)+('入力・結果'!$G$4^2)-(2*'入力・結果'!$G$3*'入力・結果'!$G$4*(COS(RADIANS(S108)))))^(1/2))))</f>
        <v>42.29620582</v>
      </c>
      <c r="AA108" s="38">
        <f>DEGREES(ACOS(('入力・結果'!$G$4-('入力・結果'!$G$3*COS(RADIANS(S108))))/((('入力・結果'!$G$3^2)+('入力・結果'!$G$4^2)-(2*'入力・結果'!$G$3*'入力・結果'!$G$4*COS(RADIANS(S108))))^(1/2))))</f>
        <v>26.94805141</v>
      </c>
      <c r="AB108" s="38">
        <f>DEGREES(ACOS((('入力・結果'!$G$3^2)+('入力・結果'!$G$4^2)+('入力・結果'!$G$5^2)-('入力・結果'!$G$6^2)-(2*'入力・結果'!$G$3*'入力・結果'!$G$4*COS(RADIANS(S108))))/(2*'入力・結果'!$G$5*(('入力・結果'!$G$3^2)+('入力・結果'!$G$4^2)-(2*'入力・結果'!$G$3*'入力・結果'!$G$4*(COS(RADIANS(S108)))))^(1/2))))</f>
        <v>31.5616757</v>
      </c>
      <c r="AC108" s="37">
        <f t="shared" si="19"/>
        <v>7573.397478</v>
      </c>
      <c r="AD108" s="37">
        <f t="shared" si="20"/>
        <v>7573.397478</v>
      </c>
      <c r="AE108" s="37" t="str">
        <f t="shared" si="21"/>
        <v/>
      </c>
      <c r="AF108" s="37" t="str">
        <f t="shared" si="22"/>
        <v/>
      </c>
      <c r="AG108" s="35"/>
      <c r="AH108" s="35"/>
      <c r="AI108" s="35"/>
      <c r="AJ108" s="35">
        <v>105.0</v>
      </c>
      <c r="AK108" s="35">
        <f t="shared" si="1"/>
        <v>3.286074032</v>
      </c>
    </row>
    <row r="109" ht="12.75" customHeight="1">
      <c r="A109" s="35"/>
      <c r="B109" s="37">
        <v>105.0</v>
      </c>
      <c r="C109" s="38">
        <f t="shared" si="2"/>
        <v>-12.94095226</v>
      </c>
      <c r="D109" s="38">
        <f t="shared" si="3"/>
        <v>-48.29629131</v>
      </c>
      <c r="E109" s="38">
        <f>'演算'!U109</f>
        <v>-17.18595838</v>
      </c>
      <c r="F109" s="38">
        <f t="shared" si="4"/>
        <v>17.18595838</v>
      </c>
      <c r="G109" s="38">
        <f t="shared" si="5"/>
        <v>-538.3838941</v>
      </c>
      <c r="H109" s="38">
        <f t="shared" si="6"/>
        <v>-210.8069521</v>
      </c>
      <c r="I109" s="39">
        <f t="shared" si="7"/>
        <v>578.1840438</v>
      </c>
      <c r="J109" s="38">
        <f t="shared" si="8"/>
        <v>-21.38307981</v>
      </c>
      <c r="K109" s="38" t="str">
        <f t="shared" si="9"/>
        <v/>
      </c>
      <c r="L109" s="38">
        <f t="shared" si="10"/>
        <v>1</v>
      </c>
      <c r="M109" s="38">
        <f t="shared" si="11"/>
        <v>158.6169202</v>
      </c>
      <c r="N109" s="39">
        <f t="shared" si="12"/>
        <v>108.6169202</v>
      </c>
      <c r="O109" s="39">
        <f t="shared" si="13"/>
        <v>-184.5790021</v>
      </c>
      <c r="P109" s="39">
        <f t="shared" si="14"/>
        <v>-547.9300872</v>
      </c>
      <c r="Q109" s="38">
        <f t="shared" si="15"/>
        <v>-155.2914271</v>
      </c>
      <c r="R109" s="38">
        <f t="shared" si="16"/>
        <v>579.5554958</v>
      </c>
      <c r="S109" s="40">
        <v>105.0</v>
      </c>
      <c r="T109" s="37">
        <f t="shared" si="17"/>
        <v>57.81404162</v>
      </c>
      <c r="U109" s="37">
        <f t="shared" si="18"/>
        <v>-17.18595838</v>
      </c>
      <c r="V109" s="37">
        <f t="shared" si="23"/>
        <v>0.3043145073</v>
      </c>
      <c r="W109" s="37">
        <f>'入力・結果'!$I$7/V109</f>
        <v>1059758.875</v>
      </c>
      <c r="X109" s="39">
        <f>(W109/I109*10)*'入力・結果'!$I$8</f>
        <v>10997.45543</v>
      </c>
      <c r="Y109" s="38">
        <f>DEGREES(ACOS(('入力・結果'!$G$3-('入力・結果'!$G$4*COS(RADIANS(S109))))/((('入力・結果'!$G$3^2)+('入力・結果'!$G$4^2)-(2*'入力・結果'!$G$3*'入力・結果'!$G$4*COS(RADIANS(S109))))^(1/2))))</f>
        <v>48.3592276</v>
      </c>
      <c r="Z109" s="38">
        <f>DEGREES(ACOS((('入力・結果'!$G$3^2)+('入力・結果'!$G$4^2)-('入力・結果'!$G$5^2)+('入力・結果'!$G$6^2)-(2*'入力・結果'!$G$3*'入力・結果'!$G$4*COS(RADIANS(S109))))/(2*'入力・結果'!$G$6*(('入力・結果'!$G$3^2)+('入力・結果'!$G$4^2)-(2*'入力・結果'!$G$3*'入力・結果'!$G$4*(COS(RADIANS(S109)))))^(1/2))))</f>
        <v>41.72235162</v>
      </c>
      <c r="AA109" s="38">
        <f>DEGREES(ACOS(('入力・結果'!$G$4-('入力・結果'!$G$3*COS(RADIANS(S109))))/((('入力・結果'!$G$3^2)+('入力・結果'!$G$4^2)-(2*'入力・結果'!$G$3*'入力・結果'!$G$4*COS(RADIANS(S109))))^(1/2))))</f>
        <v>26.6407724</v>
      </c>
      <c r="AB109" s="38">
        <f>DEGREES(ACOS((('入力・結果'!$G$3^2)+('入力・結果'!$G$4^2)+('入力・結果'!$G$5^2)-('入力・結果'!$G$6^2)-(2*'入力・結果'!$G$3*'入力・結果'!$G$4*COS(RADIANS(S109))))/(2*'入力・結果'!$G$5*(('入力・結果'!$G$3^2)+('入力・結果'!$G$4^2)-(2*'入力・結果'!$G$3*'入力・結果'!$G$4*(COS(RADIANS(S109)))))^(1/2))))</f>
        <v>31.17326922</v>
      </c>
      <c r="AC109" s="37">
        <f t="shared" si="19"/>
        <v>7697.455429</v>
      </c>
      <c r="AD109" s="37">
        <f t="shared" si="20"/>
        <v>7697.455429</v>
      </c>
      <c r="AE109" s="37" t="str">
        <f t="shared" si="21"/>
        <v/>
      </c>
      <c r="AF109" s="37" t="str">
        <f t="shared" si="22"/>
        <v/>
      </c>
      <c r="AG109" s="35"/>
      <c r="AH109" s="35"/>
      <c r="AI109" s="35"/>
      <c r="AJ109" s="35">
        <v>106.0</v>
      </c>
      <c r="AK109" s="35">
        <f t="shared" si="1"/>
        <v>3.325722154</v>
      </c>
    </row>
    <row r="110" ht="12.75" customHeight="1">
      <c r="A110" s="35"/>
      <c r="B110" s="37">
        <v>106.0</v>
      </c>
      <c r="C110" s="38">
        <f t="shared" si="2"/>
        <v>-13.78186779</v>
      </c>
      <c r="D110" s="38">
        <f t="shared" si="3"/>
        <v>-48.0630848</v>
      </c>
      <c r="E110" s="38">
        <f>'演算'!U110</f>
        <v>-16.88527181</v>
      </c>
      <c r="F110" s="38">
        <f t="shared" si="4"/>
        <v>16.88527181</v>
      </c>
      <c r="G110" s="38">
        <f t="shared" si="5"/>
        <v>-540.0704213</v>
      </c>
      <c r="H110" s="38">
        <f t="shared" si="6"/>
        <v>-207.8140112</v>
      </c>
      <c r="I110" s="39">
        <f t="shared" si="7"/>
        <v>578.6732439</v>
      </c>
      <c r="J110" s="38">
        <f t="shared" si="8"/>
        <v>-21.04625497</v>
      </c>
      <c r="K110" s="38" t="str">
        <f t="shared" si="9"/>
        <v/>
      </c>
      <c r="L110" s="38">
        <f t="shared" si="10"/>
        <v>1</v>
      </c>
      <c r="M110" s="38">
        <f t="shared" si="11"/>
        <v>158.953745</v>
      </c>
      <c r="N110" s="39">
        <f t="shared" si="12"/>
        <v>108.953745</v>
      </c>
      <c r="O110" s="39">
        <f t="shared" si="13"/>
        <v>-187.9558067</v>
      </c>
      <c r="P110" s="39">
        <f t="shared" si="14"/>
        <v>-547.2982166</v>
      </c>
      <c r="Q110" s="38">
        <f t="shared" si="15"/>
        <v>-165.3824135</v>
      </c>
      <c r="R110" s="38">
        <f t="shared" si="16"/>
        <v>576.7570176</v>
      </c>
      <c r="S110" s="40">
        <v>106.0</v>
      </c>
      <c r="T110" s="37">
        <f t="shared" si="17"/>
        <v>57.11472819</v>
      </c>
      <c r="U110" s="37">
        <f t="shared" si="18"/>
        <v>-16.88527181</v>
      </c>
      <c r="V110" s="37">
        <f t="shared" si="23"/>
        <v>0.3006865738</v>
      </c>
      <c r="W110" s="37">
        <f>'入力・結果'!$I$7/V110</f>
        <v>1072545.395</v>
      </c>
      <c r="X110" s="39">
        <f>(W110/I110*10)*'入力・結果'!$I$8</f>
        <v>11120.73599</v>
      </c>
      <c r="Y110" s="38">
        <f>DEGREES(ACOS(('入力・結果'!$G$3-('入力・結果'!$G$4*COS(RADIANS(S110))))/((('入力・結果'!$G$3^2)+('入力・結果'!$G$4^2)-(2*'入力・結果'!$G$3*'入力・結果'!$G$4*COS(RADIANS(S110))))^(1/2))))</f>
        <v>47.66882642</v>
      </c>
      <c r="Z110" s="38">
        <f>DEGREES(ACOS((('入力・結果'!$G$3^2)+('入力・結果'!$G$4^2)-('入力・結果'!$G$5^2)+('入力・結果'!$G$6^2)-(2*'入力・結果'!$G$3*'入力・結果'!$G$4*COS(RADIANS(S110))))/(2*'入力・結果'!$G$6*(('入力・結果'!$G$3^2)+('入力・結果'!$G$4^2)-(2*'入力・結果'!$G$3*'入力・結果'!$G$4*(COS(RADIANS(S110)))))^(1/2))))</f>
        <v>41.1493312</v>
      </c>
      <c r="AA110" s="38">
        <f>DEGREES(ACOS(('入力・結果'!$G$4-('入力・結果'!$G$3*COS(RADIANS(S110))))/((('入力・結果'!$G$3^2)+('入力・結果'!$G$4^2)-(2*'入力・結果'!$G$3*'入力・結果'!$G$4*COS(RADIANS(S110))))^(1/2))))</f>
        <v>26.33117358</v>
      </c>
      <c r="AB110" s="38">
        <f>DEGREES(ACOS((('入力・結果'!$G$3^2)+('入力・結果'!$G$4^2)+('入力・結果'!$G$5^2)-('入力・結果'!$G$6^2)-(2*'入力・結果'!$G$3*'入力・結果'!$G$4*COS(RADIANS(S110))))/(2*'入力・結果'!$G$5*(('入力・結果'!$G$3^2)+('入力・結果'!$G$4^2)-(2*'入力・結果'!$G$3*'入力・結果'!$G$4*(COS(RADIANS(S110)))))^(1/2))))</f>
        <v>30.78355461</v>
      </c>
      <c r="AC110" s="37">
        <f t="shared" si="19"/>
        <v>7820.735987</v>
      </c>
      <c r="AD110" s="37">
        <f t="shared" si="20"/>
        <v>7820.735987</v>
      </c>
      <c r="AE110" s="37" t="str">
        <f t="shared" si="21"/>
        <v/>
      </c>
      <c r="AF110" s="37" t="str">
        <f t="shared" si="22"/>
        <v/>
      </c>
      <c r="AG110" s="35"/>
      <c r="AH110" s="35"/>
      <c r="AI110" s="35"/>
      <c r="AJ110" s="35">
        <v>107.0</v>
      </c>
      <c r="AK110" s="35">
        <f t="shared" si="1"/>
        <v>3.365179306</v>
      </c>
    </row>
    <row r="111" ht="12.75" customHeight="1">
      <c r="A111" s="35"/>
      <c r="B111" s="37">
        <v>107.0</v>
      </c>
      <c r="C111" s="38">
        <f t="shared" si="2"/>
        <v>-14.61858524</v>
      </c>
      <c r="D111" s="38">
        <f t="shared" si="3"/>
        <v>-47.8152378</v>
      </c>
      <c r="E111" s="38">
        <f>'演算'!U111</f>
        <v>-16.58811082</v>
      </c>
      <c r="F111" s="38">
        <f t="shared" si="4"/>
        <v>16.58811082</v>
      </c>
      <c r="G111" s="38">
        <f t="shared" si="5"/>
        <v>-541.7285949</v>
      </c>
      <c r="H111" s="38">
        <f t="shared" si="6"/>
        <v>-204.8344651</v>
      </c>
      <c r="I111" s="39">
        <f t="shared" si="7"/>
        <v>579.1606242</v>
      </c>
      <c r="J111" s="38">
        <f t="shared" si="8"/>
        <v>-20.71224219</v>
      </c>
      <c r="K111" s="38" t="str">
        <f t="shared" si="9"/>
        <v/>
      </c>
      <c r="L111" s="38">
        <f t="shared" si="10"/>
        <v>1</v>
      </c>
      <c r="M111" s="38">
        <f t="shared" si="11"/>
        <v>159.2877578</v>
      </c>
      <c r="N111" s="39">
        <f t="shared" si="12"/>
        <v>109.2877578</v>
      </c>
      <c r="O111" s="39">
        <f t="shared" si="13"/>
        <v>-191.3041248</v>
      </c>
      <c r="P111" s="39">
        <f t="shared" si="14"/>
        <v>-546.653236</v>
      </c>
      <c r="Q111" s="38">
        <f t="shared" si="15"/>
        <v>-175.4230228</v>
      </c>
      <c r="R111" s="38">
        <f t="shared" si="16"/>
        <v>573.7828536</v>
      </c>
      <c r="S111" s="40">
        <v>107.0</v>
      </c>
      <c r="T111" s="37">
        <f t="shared" si="17"/>
        <v>56.41188918</v>
      </c>
      <c r="U111" s="37">
        <f t="shared" si="18"/>
        <v>-16.58811082</v>
      </c>
      <c r="V111" s="37">
        <f t="shared" si="23"/>
        <v>0.2971609858</v>
      </c>
      <c r="W111" s="37">
        <f>'入力・結果'!$I$7/V111</f>
        <v>1085270.326</v>
      </c>
      <c r="X111" s="39">
        <f>(W111/I111*10)*'入力・結果'!$I$8</f>
        <v>11243.20557</v>
      </c>
      <c r="Y111" s="38">
        <f>DEGREES(ACOS(('入力・結果'!$G$3-('入力・結果'!$G$4*COS(RADIANS(S111))))/((('入力・結果'!$G$3^2)+('入力・結果'!$G$4^2)-(2*'入力・結果'!$G$3*'入力・結果'!$G$4*COS(RADIANS(S111))))^(1/2))))</f>
        <v>46.98067904</v>
      </c>
      <c r="Z111" s="38">
        <f>DEGREES(ACOS((('入力・結果'!$G$3^2)+('入力・結果'!$G$4^2)-('入力・結果'!$G$5^2)+('入力・結果'!$G$6^2)-(2*'入力・結果'!$G$3*'入力・結果'!$G$4*COS(RADIANS(S111))))/(2*'入力・結果'!$G$6*(('入力・結果'!$G$3^2)+('入力・結果'!$G$4^2)-(2*'入力・結果'!$G$3*'入力・結果'!$G$4*(COS(RADIANS(S111)))))^(1/2))))</f>
        <v>40.5771222</v>
      </c>
      <c r="AA111" s="38">
        <f>DEGREES(ACOS(('入力・結果'!$G$4-('入力・結果'!$G$3*COS(RADIANS(S111))))/((('入力・結果'!$G$3^2)+('入力・結果'!$G$4^2)-(2*'入力・結果'!$G$3*'入力・結果'!$G$4*COS(RADIANS(S111))))^(1/2))))</f>
        <v>26.01932096</v>
      </c>
      <c r="AB111" s="38">
        <f>DEGREES(ACOS((('入力・結果'!$G$3^2)+('入力・結果'!$G$4^2)+('入力・結果'!$G$5^2)-('入力・結果'!$G$6^2)-(2*'入力・結果'!$G$3*'入力・結果'!$G$4*COS(RADIANS(S111))))/(2*'入力・結果'!$G$5*(('入力・結果'!$G$3^2)+('入力・結果'!$G$4^2)-(2*'入力・結果'!$G$3*'入力・結果'!$G$4*(COS(RADIANS(S111)))))^(1/2))))</f>
        <v>30.39256821</v>
      </c>
      <c r="AC111" s="37">
        <f t="shared" si="19"/>
        <v>7943.205574</v>
      </c>
      <c r="AD111" s="37">
        <f t="shared" si="20"/>
        <v>7943.205574</v>
      </c>
      <c r="AE111" s="37" t="str">
        <f t="shared" si="21"/>
        <v/>
      </c>
      <c r="AF111" s="37" t="str">
        <f t="shared" si="22"/>
        <v/>
      </c>
      <c r="AG111" s="35"/>
      <c r="AH111" s="35"/>
      <c r="AI111" s="35"/>
      <c r="AJ111" s="35">
        <v>108.0</v>
      </c>
      <c r="AK111" s="35">
        <f t="shared" si="1"/>
        <v>3.404433446</v>
      </c>
    </row>
    <row r="112" ht="12.75" customHeight="1">
      <c r="A112" s="35"/>
      <c r="B112" s="37">
        <v>108.0</v>
      </c>
      <c r="C112" s="38">
        <f t="shared" si="2"/>
        <v>-15.45084972</v>
      </c>
      <c r="D112" s="38">
        <f t="shared" si="3"/>
        <v>-47.55282581</v>
      </c>
      <c r="E112" s="38">
        <f>'演算'!U112</f>
        <v>-16.29437619</v>
      </c>
      <c r="F112" s="38">
        <f t="shared" si="4"/>
        <v>16.29437619</v>
      </c>
      <c r="G112" s="38">
        <f t="shared" si="5"/>
        <v>-543.3589095</v>
      </c>
      <c r="H112" s="38">
        <f t="shared" si="6"/>
        <v>-201.8677002</v>
      </c>
      <c r="I112" s="39">
        <f t="shared" si="7"/>
        <v>579.6459893</v>
      </c>
      <c r="J112" s="38">
        <f t="shared" si="8"/>
        <v>-20.38094564</v>
      </c>
      <c r="K112" s="38" t="str">
        <f t="shared" si="9"/>
        <v/>
      </c>
      <c r="L112" s="38">
        <f t="shared" si="10"/>
        <v>1</v>
      </c>
      <c r="M112" s="38">
        <f t="shared" si="11"/>
        <v>159.6190544</v>
      </c>
      <c r="N112" s="39">
        <f t="shared" si="12"/>
        <v>109.6190544</v>
      </c>
      <c r="O112" s="39">
        <f t="shared" si="13"/>
        <v>-194.6247447</v>
      </c>
      <c r="P112" s="39">
        <f t="shared" si="14"/>
        <v>-545.9951297</v>
      </c>
      <c r="Q112" s="38">
        <f t="shared" si="15"/>
        <v>-185.4101966</v>
      </c>
      <c r="R112" s="38">
        <f t="shared" si="16"/>
        <v>570.6339098</v>
      </c>
      <c r="S112" s="40">
        <v>108.0</v>
      </c>
      <c r="T112" s="37">
        <f t="shared" si="17"/>
        <v>55.70562381</v>
      </c>
      <c r="U112" s="37">
        <f t="shared" si="18"/>
        <v>-16.29437619</v>
      </c>
      <c r="V112" s="37">
        <f t="shared" si="23"/>
        <v>0.2937346304</v>
      </c>
      <c r="W112" s="37">
        <f>'入力・結果'!$I$7/V112</f>
        <v>1097929.786</v>
      </c>
      <c r="X112" s="39">
        <f>(W112/I112*10)*'入力・結果'!$I$8</f>
        <v>11364.83102</v>
      </c>
      <c r="Y112" s="38">
        <f>DEGREES(ACOS(('入力・結果'!$G$3-('入力・結果'!$G$4*COS(RADIANS(S112))))/((('入力・結果'!$G$3^2)+('入力・結果'!$G$4^2)-(2*'入力・結果'!$G$3*'入力・結果'!$G$4*COS(RADIANS(S112))))^(1/2))))</f>
        <v>46.29472151</v>
      </c>
      <c r="Z112" s="38">
        <f>DEGREES(ACOS((('入力・結果'!$G$3^2)+('入力・結果'!$G$4^2)-('入力・結果'!$G$5^2)+('入力・結果'!$G$6^2)-(2*'入力・結果'!$G$3*'入力・結果'!$G$4*COS(RADIANS(S112))))/(2*'入力・結果'!$G$6*(('入力・結果'!$G$3^2)+('入力・結果'!$G$4^2)-(2*'入力・結果'!$G$3*'入力・結果'!$G$4*(COS(RADIANS(S112)))))^(1/2))))</f>
        <v>40.00570285</v>
      </c>
      <c r="AA112" s="38">
        <f>DEGREES(ACOS(('入力・結果'!$G$4-('入力・結果'!$G$3*COS(RADIANS(S112))))/((('入力・結果'!$G$3^2)+('入力・結果'!$G$4^2)-(2*'入力・結果'!$G$3*'入力・結果'!$G$4*COS(RADIANS(S112))))^(1/2))))</f>
        <v>25.70527849</v>
      </c>
      <c r="AB112" s="38">
        <f>DEGREES(ACOS((('入力・結果'!$G$3^2)+('入力・結果'!$G$4^2)+('入力・結果'!$G$5^2)-('入力・結果'!$G$6^2)-(2*'入力・結果'!$G$3*'入力・結果'!$G$4*COS(RADIANS(S112))))/(2*'入力・結果'!$G$5*(('入力・結果'!$G$3^2)+('入力・結果'!$G$4^2)-(2*'入力・結果'!$G$3*'入力・結果'!$G$4*(COS(RADIANS(S112)))))^(1/2))))</f>
        <v>30.00034532</v>
      </c>
      <c r="AC112" s="37">
        <f t="shared" si="19"/>
        <v>8064.831016</v>
      </c>
      <c r="AD112" s="37">
        <f t="shared" si="20"/>
        <v>8064.831016</v>
      </c>
      <c r="AE112" s="37" t="str">
        <f t="shared" si="21"/>
        <v/>
      </c>
      <c r="AF112" s="37" t="str">
        <f t="shared" si="22"/>
        <v/>
      </c>
      <c r="AG112" s="35"/>
      <c r="AH112" s="35"/>
      <c r="AI112" s="35"/>
      <c r="AJ112" s="35">
        <v>109.0</v>
      </c>
      <c r="AK112" s="35">
        <f t="shared" si="1"/>
        <v>3.443472591</v>
      </c>
    </row>
    <row r="113" ht="12.75" customHeight="1">
      <c r="A113" s="35"/>
      <c r="B113" s="37">
        <v>109.0</v>
      </c>
      <c r="C113" s="38">
        <f t="shared" si="2"/>
        <v>-16.27840772</v>
      </c>
      <c r="D113" s="38">
        <f t="shared" si="3"/>
        <v>-47.27592878</v>
      </c>
      <c r="E113" s="38">
        <f>'演算'!U113</f>
        <v>-16.00397167</v>
      </c>
      <c r="F113" s="38">
        <f t="shared" si="4"/>
        <v>16.00397167</v>
      </c>
      <c r="G113" s="38">
        <f t="shared" si="5"/>
        <v>-544.9618305</v>
      </c>
      <c r="H113" s="38">
        <f t="shared" si="6"/>
        <v>-198.9131225</v>
      </c>
      <c r="I113" s="39">
        <f t="shared" si="7"/>
        <v>580.1291468</v>
      </c>
      <c r="J113" s="38">
        <f t="shared" si="8"/>
        <v>-20.05227275</v>
      </c>
      <c r="K113" s="38" t="str">
        <f t="shared" si="9"/>
        <v/>
      </c>
      <c r="L113" s="38">
        <f t="shared" si="10"/>
        <v>1</v>
      </c>
      <c r="M113" s="38">
        <f t="shared" si="11"/>
        <v>159.9477273</v>
      </c>
      <c r="N113" s="39">
        <f t="shared" si="12"/>
        <v>109.9477273</v>
      </c>
      <c r="O113" s="39">
        <f t="shared" si="13"/>
        <v>-197.9184202</v>
      </c>
      <c r="P113" s="39">
        <f t="shared" si="14"/>
        <v>-545.3238725</v>
      </c>
      <c r="Q113" s="38">
        <f t="shared" si="15"/>
        <v>-195.3408927</v>
      </c>
      <c r="R113" s="38">
        <f t="shared" si="16"/>
        <v>567.3111454</v>
      </c>
      <c r="S113" s="40">
        <v>109.0</v>
      </c>
      <c r="T113" s="37">
        <f t="shared" si="17"/>
        <v>54.99602833</v>
      </c>
      <c r="U113" s="37">
        <f t="shared" si="18"/>
        <v>-16.00397167</v>
      </c>
      <c r="V113" s="37">
        <f t="shared" si="23"/>
        <v>0.2904045186</v>
      </c>
      <c r="W113" s="37">
        <f>'入力・結果'!$I$7/V113</f>
        <v>1110519.91</v>
      </c>
      <c r="X113" s="39">
        <f>(W113/I113*10)*'入力・結果'!$I$8</f>
        <v>11485.57955</v>
      </c>
      <c r="Y113" s="38">
        <f>DEGREES(ACOS(('入力・結果'!$G$3-('入力・結果'!$G$4*COS(RADIANS(S113))))/((('入力・結果'!$G$3^2)+('入力・結果'!$G$4^2)-(2*'入力・結果'!$G$3*'入力・結果'!$G$4*COS(RADIANS(S113))))^(1/2))))</f>
        <v>45.61089184</v>
      </c>
      <c r="Z113" s="38">
        <f>DEGREES(ACOS((('入力・結果'!$G$3^2)+('入力・結果'!$G$4^2)-('入力・結果'!$G$5^2)+('入力・結果'!$G$6^2)-(2*'入力・結果'!$G$3*'入力・結果'!$G$4*COS(RADIANS(S113))))/(2*'入力・結果'!$G$6*(('入力・結果'!$G$3^2)+('入力・結果'!$G$4^2)-(2*'入力・結果'!$G$3*'入力・結果'!$G$4*(COS(RADIANS(S113)))))^(1/2))))</f>
        <v>39.43505201</v>
      </c>
      <c r="AA113" s="38">
        <f>DEGREES(ACOS(('入力・結果'!$G$4-('入力・結果'!$G$3*COS(RADIANS(S113))))/((('入力・結果'!$G$3^2)+('入力・結果'!$G$4^2)-(2*'入力・結果'!$G$3*'入力・結果'!$G$4*COS(RADIANS(S113))))^(1/2))))</f>
        <v>25.38910816</v>
      </c>
      <c r="AB113" s="38">
        <f>DEGREES(ACOS((('入力・結果'!$G$3^2)+('入力・結果'!$G$4^2)+('入力・結果'!$G$5^2)-('入力・結果'!$G$6^2)-(2*'入力・結果'!$G$3*'入力・結果'!$G$4*COS(RADIANS(S113))))/(2*'入力・結果'!$G$5*(('入力・結果'!$G$3^2)+('入力・結果'!$G$4^2)-(2*'入力・結果'!$G$3*'入力・結果'!$G$4*(COS(RADIANS(S113)))))^(1/2))))</f>
        <v>29.60692017</v>
      </c>
      <c r="AC113" s="37">
        <f t="shared" si="19"/>
        <v>8185.579546</v>
      </c>
      <c r="AD113" s="37">
        <f t="shared" si="20"/>
        <v>8185.579546</v>
      </c>
      <c r="AE113" s="37" t="str">
        <f t="shared" si="21"/>
        <v/>
      </c>
      <c r="AF113" s="37" t="str">
        <f t="shared" si="22"/>
        <v/>
      </c>
      <c r="AG113" s="35"/>
      <c r="AH113" s="35"/>
      <c r="AI113" s="35"/>
      <c r="AJ113" s="35">
        <v>110.0</v>
      </c>
      <c r="AK113" s="35">
        <f t="shared" si="1"/>
        <v>3.482284827</v>
      </c>
    </row>
    <row r="114" ht="12.75" customHeight="1">
      <c r="A114" s="35"/>
      <c r="B114" s="37">
        <v>110.0</v>
      </c>
      <c r="C114" s="38">
        <f t="shared" si="2"/>
        <v>-17.10100717</v>
      </c>
      <c r="D114" s="38">
        <f t="shared" si="3"/>
        <v>-46.98463104</v>
      </c>
      <c r="E114" s="38">
        <f>'演算'!U114</f>
        <v>-15.71680389</v>
      </c>
      <c r="F114" s="38">
        <f t="shared" si="4"/>
        <v>15.71680389</v>
      </c>
      <c r="G114" s="38">
        <f t="shared" si="5"/>
        <v>-546.5377955</v>
      </c>
      <c r="H114" s="38">
        <f t="shared" si="6"/>
        <v>-195.9701577</v>
      </c>
      <c r="I114" s="39">
        <f t="shared" si="7"/>
        <v>580.6099074</v>
      </c>
      <c r="J114" s="38">
        <f t="shared" si="8"/>
        <v>-19.72613414</v>
      </c>
      <c r="K114" s="38" t="str">
        <f t="shared" si="9"/>
        <v/>
      </c>
      <c r="L114" s="38">
        <f t="shared" si="10"/>
        <v>1</v>
      </c>
      <c r="M114" s="38">
        <f t="shared" si="11"/>
        <v>160.2738659</v>
      </c>
      <c r="N114" s="39">
        <f t="shared" si="12"/>
        <v>110.2738659</v>
      </c>
      <c r="O114" s="39">
        <f t="shared" si="13"/>
        <v>-201.1858729</v>
      </c>
      <c r="P114" s="39">
        <f t="shared" si="14"/>
        <v>-544.6394304</v>
      </c>
      <c r="Q114" s="38">
        <f t="shared" si="15"/>
        <v>-205.212086</v>
      </c>
      <c r="R114" s="38">
        <f t="shared" si="16"/>
        <v>563.8155725</v>
      </c>
      <c r="S114" s="40">
        <v>110.0</v>
      </c>
      <c r="T114" s="37">
        <f t="shared" si="17"/>
        <v>54.28319611</v>
      </c>
      <c r="U114" s="37">
        <f t="shared" si="18"/>
        <v>-15.71680389</v>
      </c>
      <c r="V114" s="37">
        <f t="shared" si="23"/>
        <v>0.2871677791</v>
      </c>
      <c r="W114" s="37">
        <f>'入力・結果'!$I$7/V114</f>
        <v>1123036.857</v>
      </c>
      <c r="X114" s="39">
        <f>(W114/I114*10)*'入力・結果'!$I$8</f>
        <v>11605.41881</v>
      </c>
      <c r="Y114" s="38">
        <f>DEGREES(ACOS(('入力・結果'!$G$3-('入力・結果'!$G$4*COS(RADIANS(S114))))/((('入力・結果'!$G$3^2)+('入力・結果'!$G$4^2)-(2*'入力・結果'!$G$3*'入力・結果'!$G$4*COS(RADIANS(S114))))^(1/2))))</f>
        <v>44.92912991</v>
      </c>
      <c r="Z114" s="38">
        <f>DEGREES(ACOS((('入力・結果'!$G$3^2)+('入力・結果'!$G$4^2)-('入力・結果'!$G$5^2)+('入力・結果'!$G$6^2)-(2*'入力・結果'!$G$3*'入力・結果'!$G$4*COS(RADIANS(S114))))/(2*'入力・結果'!$G$6*(('入力・結果'!$G$3^2)+('入力・結果'!$G$4^2)-(2*'入力・結果'!$G$3*'入力・結果'!$G$4*(COS(RADIANS(S114)))))^(1/2))))</f>
        <v>38.86514908</v>
      </c>
      <c r="AA114" s="38">
        <f>DEGREES(ACOS(('入力・結果'!$G$4-('入力・結果'!$G$3*COS(RADIANS(S114))))/((('入力・結果'!$G$3^2)+('入力・結果'!$G$4^2)-(2*'入力・結果'!$G$3*'入力・結果'!$G$4*COS(RADIANS(S114))))^(1/2))))</f>
        <v>25.07087009</v>
      </c>
      <c r="AB114" s="38">
        <f>DEGREES(ACOS((('入力・結果'!$G$3^2)+('入力・結果'!$G$4^2)+('入力・結果'!$G$5^2)-('入力・結果'!$G$6^2)-(2*'入力・結果'!$G$3*'入力・結果'!$G$4*COS(RADIANS(S114))))/(2*'入力・結果'!$G$5*(('入力・結果'!$G$3^2)+('入力・結果'!$G$4^2)-(2*'入力・結果'!$G$3*'入力・結果'!$G$4*(COS(RADIANS(S114)))))^(1/2))))</f>
        <v>29.21232602</v>
      </c>
      <c r="AC114" s="37">
        <f t="shared" si="19"/>
        <v>8305.418808</v>
      </c>
      <c r="AD114" s="37">
        <f t="shared" si="20"/>
        <v>8305.418808</v>
      </c>
      <c r="AE114" s="37" t="str">
        <f t="shared" si="21"/>
        <v/>
      </c>
      <c r="AF114" s="37" t="str">
        <f t="shared" si="22"/>
        <v/>
      </c>
      <c r="AG114" s="35"/>
      <c r="AH114" s="35"/>
      <c r="AI114" s="35"/>
      <c r="AJ114" s="35">
        <v>111.0</v>
      </c>
      <c r="AK114" s="35">
        <f t="shared" si="1"/>
        <v>3.52085831</v>
      </c>
    </row>
    <row r="115" ht="12.75" customHeight="1">
      <c r="A115" s="35"/>
      <c r="B115" s="37">
        <v>111.0</v>
      </c>
      <c r="C115" s="38">
        <f t="shared" si="2"/>
        <v>-17.91839748</v>
      </c>
      <c r="D115" s="38">
        <f t="shared" si="3"/>
        <v>-46.67902132</v>
      </c>
      <c r="E115" s="38">
        <f>'演算'!U115</f>
        <v>-15.43278224</v>
      </c>
      <c r="F115" s="38">
        <f t="shared" si="4"/>
        <v>15.43278224</v>
      </c>
      <c r="G115" s="38">
        <f t="shared" si="5"/>
        <v>-548.087216</v>
      </c>
      <c r="H115" s="38">
        <f t="shared" si="6"/>
        <v>-193.0382502</v>
      </c>
      <c r="I115" s="39">
        <f t="shared" si="7"/>
        <v>581.0880849</v>
      </c>
      <c r="J115" s="38">
        <f t="shared" si="8"/>
        <v>-19.40244347</v>
      </c>
      <c r="K115" s="38" t="str">
        <f t="shared" si="9"/>
        <v/>
      </c>
      <c r="L115" s="38">
        <f t="shared" si="10"/>
        <v>1</v>
      </c>
      <c r="M115" s="38">
        <f t="shared" si="11"/>
        <v>160.5975565</v>
      </c>
      <c r="N115" s="39">
        <f t="shared" si="12"/>
        <v>110.5975565</v>
      </c>
      <c r="O115" s="39">
        <f t="shared" si="13"/>
        <v>-204.4277926</v>
      </c>
      <c r="P115" s="39">
        <f t="shared" si="14"/>
        <v>-543.9417616</v>
      </c>
      <c r="Q115" s="38">
        <f t="shared" si="15"/>
        <v>-215.0207697</v>
      </c>
      <c r="R115" s="38">
        <f t="shared" si="16"/>
        <v>560.1482559</v>
      </c>
      <c r="S115" s="40">
        <v>111.0</v>
      </c>
      <c r="T115" s="37">
        <f t="shared" si="17"/>
        <v>53.56721776</v>
      </c>
      <c r="U115" s="37">
        <f t="shared" si="18"/>
        <v>-15.43278224</v>
      </c>
      <c r="V115" s="37">
        <f t="shared" si="23"/>
        <v>0.2840216538</v>
      </c>
      <c r="W115" s="37">
        <f>'入力・結果'!$I$7/V115</f>
        <v>1135476.805</v>
      </c>
      <c r="X115" s="39">
        <f>(W115/I115*10)*'入力・結果'!$I$8</f>
        <v>11724.31686</v>
      </c>
      <c r="Y115" s="38">
        <f>DEGREES(ACOS(('入力・結果'!$G$3-('入力・結果'!$G$4*COS(RADIANS(S115))))/((('入力・結果'!$G$3^2)+('入力・結果'!$G$4^2)-(2*'入力・結果'!$G$3*'入力・結果'!$G$4*COS(RADIANS(S115))))^(1/2))))</f>
        <v>44.2493774</v>
      </c>
      <c r="Z115" s="38">
        <f>DEGREES(ACOS((('入力・結果'!$G$3^2)+('入力・結果'!$G$4^2)-('入力・結果'!$G$5^2)+('入力・結果'!$G$6^2)-(2*'入力・結果'!$G$3*'入力・結果'!$G$4*COS(RADIANS(S115))))/(2*'入力・結果'!$G$6*(('入力・結果'!$G$3^2)+('入力・結果'!$G$4^2)-(2*'入力・結果'!$G$3*'入力・結果'!$G$4*(COS(RADIANS(S115)))))^(1/2))))</f>
        <v>38.29597404</v>
      </c>
      <c r="AA115" s="38">
        <f>DEGREES(ACOS(('入力・結果'!$G$4-('入力・結果'!$G$3*COS(RADIANS(S115))))/((('入力・結果'!$G$3^2)+('入力・結果'!$G$4^2)-(2*'入力・結果'!$G$3*'入力・結果'!$G$4*COS(RADIANS(S115))))^(1/2))))</f>
        <v>24.7506226</v>
      </c>
      <c r="AB115" s="38">
        <f>DEGREES(ACOS((('入力・結果'!$G$3^2)+('入力・結果'!$G$4^2)+('入力・結果'!$G$5^2)-('入力・結果'!$G$6^2)-(2*'入力・結果'!$G$3*'入力・結果'!$G$4*COS(RADIANS(S115))))/(2*'入力・結果'!$G$5*(('入力・結果'!$G$3^2)+('入力・結果'!$G$4^2)-(2*'入力・結果'!$G$3*'入力・結果'!$G$4*(COS(RADIANS(S115)))))^(1/2))))</f>
        <v>28.81659517</v>
      </c>
      <c r="AC115" s="37">
        <f t="shared" si="19"/>
        <v>8424.316858</v>
      </c>
      <c r="AD115" s="37">
        <f t="shared" si="20"/>
        <v>8424.316858</v>
      </c>
      <c r="AE115" s="37" t="str">
        <f t="shared" si="21"/>
        <v/>
      </c>
      <c r="AF115" s="37" t="str">
        <f t="shared" si="22"/>
        <v/>
      </c>
      <c r="AG115" s="35"/>
      <c r="AH115" s="35"/>
      <c r="AI115" s="35"/>
      <c r="AJ115" s="35">
        <v>112.0</v>
      </c>
      <c r="AK115" s="35">
        <f t="shared" si="1"/>
        <v>3.559181269</v>
      </c>
    </row>
    <row r="116" ht="12.75" customHeight="1">
      <c r="A116" s="35"/>
      <c r="B116" s="37">
        <v>112.0</v>
      </c>
      <c r="C116" s="38">
        <f t="shared" si="2"/>
        <v>-18.73032967</v>
      </c>
      <c r="D116" s="38">
        <f t="shared" si="3"/>
        <v>-46.35919273</v>
      </c>
      <c r="E116" s="38">
        <f>'演算'!U116</f>
        <v>-15.15181875</v>
      </c>
      <c r="F116" s="38">
        <f t="shared" si="4"/>
        <v>15.15181875</v>
      </c>
      <c r="G116" s="38">
        <f t="shared" si="5"/>
        <v>-549.6104782</v>
      </c>
      <c r="H116" s="38">
        <f t="shared" si="6"/>
        <v>-190.1168633</v>
      </c>
      <c r="I116" s="39">
        <f t="shared" si="7"/>
        <v>581.5634957</v>
      </c>
      <c r="J116" s="38">
        <f t="shared" si="8"/>
        <v>-19.08111734</v>
      </c>
      <c r="K116" s="38" t="str">
        <f t="shared" si="9"/>
        <v/>
      </c>
      <c r="L116" s="38">
        <f t="shared" si="10"/>
        <v>1</v>
      </c>
      <c r="M116" s="38">
        <f t="shared" si="11"/>
        <v>160.9188827</v>
      </c>
      <c r="N116" s="39">
        <f t="shared" si="12"/>
        <v>110.9188827</v>
      </c>
      <c r="O116" s="39">
        <f t="shared" si="13"/>
        <v>-207.6448389</v>
      </c>
      <c r="P116" s="39">
        <f t="shared" si="14"/>
        <v>-543.2308169</v>
      </c>
      <c r="Q116" s="38">
        <f t="shared" si="15"/>
        <v>-224.763956</v>
      </c>
      <c r="R116" s="38">
        <f t="shared" si="16"/>
        <v>556.3103127</v>
      </c>
      <c r="S116" s="40">
        <v>112.0</v>
      </c>
      <c r="T116" s="37">
        <f t="shared" si="17"/>
        <v>52.84818125</v>
      </c>
      <c r="U116" s="37">
        <f t="shared" si="18"/>
        <v>-15.15181875</v>
      </c>
      <c r="V116" s="37">
        <f t="shared" si="23"/>
        <v>0.2809634926</v>
      </c>
      <c r="W116" s="37">
        <f>'入力・結果'!$I$7/V116</f>
        <v>1147835.959</v>
      </c>
      <c r="X116" s="39">
        <f>(W116/I116*10)*'入力・結果'!$I$8</f>
        <v>11842.24217</v>
      </c>
      <c r="Y116" s="38">
        <f>DEGREES(ACOS(('入力・結果'!$G$3-('入力・結果'!$G$4*COS(RADIANS(S116))))/((('入力・結果'!$G$3^2)+('入力・結果'!$G$4^2)-(2*'入力・結果'!$G$3*'入力・結果'!$G$4*COS(RADIANS(S116))))^(1/2))))</f>
        <v>43.57157773</v>
      </c>
      <c r="Z116" s="38">
        <f>DEGREES(ACOS((('入力・結果'!$G$3^2)+('入力・結果'!$G$4^2)-('入力・結果'!$G$5^2)+('入力・結果'!$G$6^2)-(2*'入力・結果'!$G$3*'入力・結果'!$G$4*COS(RADIANS(S116))))/(2*'入力・結果'!$G$6*(('入力・結果'!$G$3^2)+('入力・結果'!$G$4^2)-(2*'入力・結果'!$G$3*'入力・結果'!$G$4*(COS(RADIANS(S116)))))^(1/2))))</f>
        <v>37.72750738</v>
      </c>
      <c r="AA116" s="38">
        <f>DEGREES(ACOS(('入力・結果'!$G$4-('入力・結果'!$G$3*COS(RADIANS(S116))))/((('入力・結果'!$G$3^2)+('入力・結果'!$G$4^2)-(2*'入力・結果'!$G$3*'入力・結果'!$G$4*COS(RADIANS(S116))))^(1/2))))</f>
        <v>24.42842227</v>
      </c>
      <c r="AB116" s="38">
        <f>DEGREES(ACOS((('入力・結果'!$G$3^2)+('入力・結果'!$G$4^2)+('入力・結果'!$G$5^2)-('入力・結果'!$G$6^2)-(2*'入力・結果'!$G$3*'入力・結果'!$G$4*COS(RADIANS(S116))))/(2*'入力・結果'!$G$5*(('入力・結果'!$G$3^2)+('入力・結果'!$G$4^2)-(2*'入力・結果'!$G$3*'入力・結果'!$G$4*(COS(RADIANS(S116)))))^(1/2))))</f>
        <v>28.41975898</v>
      </c>
      <c r="AC116" s="37">
        <f t="shared" si="19"/>
        <v>8542.242174</v>
      </c>
      <c r="AD116" s="37">
        <f t="shared" si="20"/>
        <v>8542.242174</v>
      </c>
      <c r="AE116" s="37" t="str">
        <f t="shared" si="21"/>
        <v/>
      </c>
      <c r="AF116" s="37" t="str">
        <f t="shared" si="22"/>
        <v/>
      </c>
      <c r="AG116" s="35"/>
      <c r="AH116" s="35"/>
      <c r="AI116" s="35"/>
      <c r="AJ116" s="35">
        <v>113.0</v>
      </c>
      <c r="AK116" s="35">
        <f t="shared" si="1"/>
        <v>3.597242011</v>
      </c>
    </row>
    <row r="117" ht="12.75" customHeight="1">
      <c r="A117" s="35"/>
      <c r="B117" s="37">
        <v>113.0</v>
      </c>
      <c r="C117" s="38">
        <f t="shared" si="2"/>
        <v>-19.53655642</v>
      </c>
      <c r="D117" s="38">
        <f t="shared" si="3"/>
        <v>-46.02524267</v>
      </c>
      <c r="E117" s="38">
        <f>'演算'!U117</f>
        <v>-14.873828</v>
      </c>
      <c r="F117" s="38">
        <f t="shared" si="4"/>
        <v>14.873828</v>
      </c>
      <c r="G117" s="38">
        <f t="shared" si="5"/>
        <v>-551.1079449</v>
      </c>
      <c r="H117" s="38">
        <f t="shared" si="6"/>
        <v>-187.2054784</v>
      </c>
      <c r="I117" s="39">
        <f t="shared" si="7"/>
        <v>582.0359594</v>
      </c>
      <c r="J117" s="38">
        <f t="shared" si="8"/>
        <v>-18.76207516</v>
      </c>
      <c r="K117" s="38" t="str">
        <f t="shared" si="9"/>
        <v/>
      </c>
      <c r="L117" s="38">
        <f t="shared" si="10"/>
        <v>1</v>
      </c>
      <c r="M117" s="38">
        <f t="shared" si="11"/>
        <v>161.2379248</v>
      </c>
      <c r="N117" s="39">
        <f t="shared" si="12"/>
        <v>111.2379248</v>
      </c>
      <c r="O117" s="39">
        <f t="shared" si="13"/>
        <v>-210.8376421</v>
      </c>
      <c r="P117" s="39">
        <f t="shared" si="14"/>
        <v>-542.5065407</v>
      </c>
      <c r="Q117" s="38">
        <f t="shared" si="15"/>
        <v>-234.4386771</v>
      </c>
      <c r="R117" s="38">
        <f t="shared" si="16"/>
        <v>552.3029121</v>
      </c>
      <c r="S117" s="40">
        <v>113.0</v>
      </c>
      <c r="T117" s="37">
        <f t="shared" si="17"/>
        <v>52.126172</v>
      </c>
      <c r="U117" s="37">
        <f t="shared" si="18"/>
        <v>-14.873828</v>
      </c>
      <c r="V117" s="37">
        <f t="shared" si="23"/>
        <v>0.2779907488</v>
      </c>
      <c r="W117" s="37">
        <f>'入力・結果'!$I$7/V117</f>
        <v>1160110.548</v>
      </c>
      <c r="X117" s="39">
        <f>(W117/I117*10)*'入力・結果'!$I$8</f>
        <v>11959.16365</v>
      </c>
      <c r="Y117" s="38">
        <f>DEGREES(ACOS(('入力・結果'!$G$3-('入力・結果'!$G$4*COS(RADIANS(S117))))/((('入力・結果'!$G$3^2)+('入力・結果'!$G$4^2)-(2*'入力・結果'!$G$3*'入力・結果'!$G$4*COS(RADIANS(S117))))^(1/2))))</f>
        <v>42.89567596</v>
      </c>
      <c r="Z117" s="38">
        <f>DEGREES(ACOS((('入力・結果'!$G$3^2)+('入力・結果'!$G$4^2)-('入力・結果'!$G$5^2)+('入力・結果'!$G$6^2)-(2*'入力・結果'!$G$3*'入力・結果'!$G$4*COS(RADIANS(S117))))/(2*'入力・結果'!$G$6*(('入力・結果'!$G$3^2)+('入力・結果'!$G$4^2)-(2*'入力・結果'!$G$3*'入力・結果'!$G$4*(COS(RADIANS(S117)))))^(1/2))))</f>
        <v>37.15973014</v>
      </c>
      <c r="AA117" s="38">
        <f>DEGREES(ACOS(('入力・結果'!$G$4-('入力・結果'!$G$3*COS(RADIANS(S117))))/((('入力・結果'!$G$3^2)+('入力・結果'!$G$4^2)-(2*'入力・結果'!$G$3*'入力・結果'!$G$4*COS(RADIANS(S117))))^(1/2))))</f>
        <v>24.10432404</v>
      </c>
      <c r="AB117" s="38">
        <f>DEGREES(ACOS((('入力・結果'!$G$3^2)+('入力・結果'!$G$4^2)+('入力・結果'!$G$5^2)-('入力・結果'!$G$6^2)-(2*'入力・結果'!$G$3*'入力・結果'!$G$4*COS(RADIANS(S117))))/(2*'入力・結果'!$G$5*(('入力・結果'!$G$3^2)+('入力・結果'!$G$4^2)-(2*'入力・結果'!$G$3*'入力・結果'!$G$4*(COS(RADIANS(S117)))))^(1/2))))</f>
        <v>28.02184796</v>
      </c>
      <c r="AC117" s="37">
        <f t="shared" si="19"/>
        <v>8659.163653</v>
      </c>
      <c r="AD117" s="37">
        <f t="shared" si="20"/>
        <v>8659.163653</v>
      </c>
      <c r="AE117" s="37" t="str">
        <f t="shared" si="21"/>
        <v/>
      </c>
      <c r="AF117" s="37" t="str">
        <f t="shared" si="22"/>
        <v/>
      </c>
      <c r="AG117" s="35"/>
      <c r="AH117" s="35"/>
      <c r="AI117" s="35"/>
      <c r="AJ117" s="35">
        <v>114.0</v>
      </c>
      <c r="AK117" s="35">
        <f t="shared" si="1"/>
        <v>3.635028922</v>
      </c>
    </row>
    <row r="118" ht="12.75" customHeight="1">
      <c r="A118" s="35"/>
      <c r="B118" s="37">
        <v>114.0</v>
      </c>
      <c r="C118" s="38">
        <f t="shared" si="2"/>
        <v>-20.33683215</v>
      </c>
      <c r="D118" s="38">
        <f t="shared" si="3"/>
        <v>-45.67727288</v>
      </c>
      <c r="E118" s="38">
        <f>'演算'!U118</f>
        <v>-14.59872702</v>
      </c>
      <c r="F118" s="38">
        <f t="shared" si="4"/>
        <v>14.59872702</v>
      </c>
      <c r="G118" s="38">
        <f t="shared" si="5"/>
        <v>-552.579956</v>
      </c>
      <c r="H118" s="38">
        <f t="shared" si="6"/>
        <v>-184.3035948</v>
      </c>
      <c r="I118" s="39">
        <f t="shared" si="7"/>
        <v>582.5052985</v>
      </c>
      <c r="J118" s="38">
        <f t="shared" si="8"/>
        <v>-18.44523906</v>
      </c>
      <c r="K118" s="38" t="str">
        <f t="shared" si="9"/>
        <v/>
      </c>
      <c r="L118" s="38">
        <f t="shared" si="10"/>
        <v>1</v>
      </c>
      <c r="M118" s="38">
        <f t="shared" si="11"/>
        <v>161.5547609</v>
      </c>
      <c r="N118" s="39">
        <f t="shared" si="12"/>
        <v>111.5547609</v>
      </c>
      <c r="O118" s="39">
        <f t="shared" si="13"/>
        <v>-214.0068045</v>
      </c>
      <c r="P118" s="39">
        <f t="shared" si="14"/>
        <v>-541.7688718</v>
      </c>
      <c r="Q118" s="38">
        <f t="shared" si="15"/>
        <v>-244.0419858</v>
      </c>
      <c r="R118" s="38">
        <f t="shared" si="16"/>
        <v>548.1272746</v>
      </c>
      <c r="S118" s="40">
        <v>114.0</v>
      </c>
      <c r="T118" s="37">
        <f t="shared" si="17"/>
        <v>51.40127298</v>
      </c>
      <c r="U118" s="37">
        <f t="shared" si="18"/>
        <v>-14.59872702</v>
      </c>
      <c r="V118" s="37">
        <f t="shared" si="23"/>
        <v>0.2751009749</v>
      </c>
      <c r="W118" s="37">
        <f>'入力・結果'!$I$7/V118</f>
        <v>1172296.827</v>
      </c>
      <c r="X118" s="39">
        <f>(W118/I118*10)*'入力・結果'!$I$8</f>
        <v>12075.05062</v>
      </c>
      <c r="Y118" s="38">
        <f>DEGREES(ACOS(('入力・結果'!$G$3-('入力・結果'!$G$4*COS(RADIANS(S118))))/((('入力・結果'!$G$3^2)+('入力・結果'!$G$4^2)-(2*'入力・結果'!$G$3*'入力・結果'!$G$4*COS(RADIANS(S118))))^(1/2))))</f>
        <v>42.22161876</v>
      </c>
      <c r="Z118" s="38">
        <f>DEGREES(ACOS((('入力・結果'!$G$3^2)+('入力・結果'!$G$4^2)-('入力・結果'!$G$5^2)+('入力・結果'!$G$6^2)-(2*'入力・結果'!$G$3*'入力・結果'!$G$4*COS(RADIANS(S118))))/(2*'入力・結果'!$G$6*(('入力・結果'!$G$3^2)+('入力・結果'!$G$4^2)-(2*'入力・結果'!$G$3*'入力・結果'!$G$4*(COS(RADIANS(S118)))))^(1/2))))</f>
        <v>36.59262383</v>
      </c>
      <c r="AA118" s="38">
        <f>DEGREES(ACOS(('入力・結果'!$G$4-('入力・結果'!$G$3*COS(RADIANS(S118))))/((('入力・結果'!$G$3^2)+('入力・結果'!$G$4^2)-(2*'入力・結果'!$G$3*'入力・結果'!$G$4*COS(RADIANS(S118))))^(1/2))))</f>
        <v>23.77838124</v>
      </c>
      <c r="AB118" s="38">
        <f>DEGREES(ACOS((('入力・結果'!$G$3^2)+('入力・結果'!$G$4^2)+('入力・結果'!$G$5^2)-('入力・結果'!$G$6^2)-(2*'入力・結果'!$G$3*'入力・結果'!$G$4*COS(RADIANS(S118))))/(2*'入力・結果'!$G$5*(('入力・結果'!$G$3^2)+('入力・結果'!$G$4^2)-(2*'入力・結果'!$G$3*'入力・結果'!$G$4*(COS(RADIANS(S118)))))^(1/2))))</f>
        <v>27.62289173</v>
      </c>
      <c r="AC118" s="37">
        <f t="shared" si="19"/>
        <v>8775.050616</v>
      </c>
      <c r="AD118" s="37">
        <f t="shared" si="20"/>
        <v>8775.050616</v>
      </c>
      <c r="AE118" s="37" t="str">
        <f t="shared" si="21"/>
        <v/>
      </c>
      <c r="AF118" s="37" t="str">
        <f t="shared" si="22"/>
        <v/>
      </c>
      <c r="AG118" s="35"/>
      <c r="AH118" s="35"/>
      <c r="AI118" s="35"/>
      <c r="AJ118" s="35">
        <v>115.0</v>
      </c>
      <c r="AK118" s="35">
        <f t="shared" si="1"/>
        <v>3.672530473</v>
      </c>
    </row>
    <row r="119" ht="12.75" customHeight="1">
      <c r="A119" s="35"/>
      <c r="B119" s="37">
        <v>115.0</v>
      </c>
      <c r="C119" s="38">
        <f t="shared" si="2"/>
        <v>-21.13091309</v>
      </c>
      <c r="D119" s="38">
        <f t="shared" si="3"/>
        <v>-45.31538935</v>
      </c>
      <c r="E119" s="38">
        <f>'演算'!U119</f>
        <v>-14.3264352</v>
      </c>
      <c r="F119" s="38">
        <f t="shared" si="4"/>
        <v>14.3264352</v>
      </c>
      <c r="G119" s="38">
        <f t="shared" si="5"/>
        <v>-554.0268302</v>
      </c>
      <c r="H119" s="38">
        <f t="shared" si="6"/>
        <v>-181.4107291</v>
      </c>
      <c r="I119" s="39">
        <f t="shared" si="7"/>
        <v>582.9713383</v>
      </c>
      <c r="J119" s="38">
        <f t="shared" si="8"/>
        <v>-18.1305338</v>
      </c>
      <c r="K119" s="38" t="str">
        <f t="shared" si="9"/>
        <v/>
      </c>
      <c r="L119" s="38">
        <f t="shared" si="10"/>
        <v>1</v>
      </c>
      <c r="M119" s="38">
        <f t="shared" si="11"/>
        <v>161.8694662</v>
      </c>
      <c r="N119" s="39">
        <f t="shared" si="12"/>
        <v>111.8694662</v>
      </c>
      <c r="O119" s="39">
        <f t="shared" si="13"/>
        <v>-217.152901</v>
      </c>
      <c r="P119" s="39">
        <f t="shared" si="14"/>
        <v>-541.0177435</v>
      </c>
      <c r="Q119" s="38">
        <f t="shared" si="15"/>
        <v>-253.570957</v>
      </c>
      <c r="R119" s="38">
        <f t="shared" si="16"/>
        <v>543.7846722</v>
      </c>
      <c r="S119" s="40">
        <v>115.0</v>
      </c>
      <c r="T119" s="37">
        <f t="shared" si="17"/>
        <v>50.6735648</v>
      </c>
      <c r="U119" s="37">
        <f t="shared" si="18"/>
        <v>-14.3264352</v>
      </c>
      <c r="V119" s="37">
        <f t="shared" si="23"/>
        <v>0.2722918182</v>
      </c>
      <c r="W119" s="37">
        <f>'入力・結果'!$I$7/V119</f>
        <v>1184391.078</v>
      </c>
      <c r="X119" s="39">
        <f>(W119/I119*10)*'入力・結果'!$I$8</f>
        <v>12189.87281</v>
      </c>
      <c r="Y119" s="38">
        <f>DEGREES(ACOS(('入力・結果'!$G$3-('入力・結果'!$G$4*COS(RADIANS(S119))))/((('入力・結果'!$G$3^2)+('入力・結果'!$G$4^2)-(2*'入力・結果'!$G$3*'入力・結果'!$G$4*COS(RADIANS(S119))))^(1/2))))</f>
        <v>41.54935433</v>
      </c>
      <c r="Z119" s="38">
        <f>DEGREES(ACOS((('入力・結果'!$G$3^2)+('入力・結果'!$G$4^2)-('入力・結果'!$G$5^2)+('入力・結果'!$G$6^2)-(2*'入力・結果'!$G$3*'入力・結果'!$G$4*COS(RADIANS(S119))))/(2*'入力・結果'!$G$6*(('入力・結果'!$G$3^2)+('入力・結果'!$G$4^2)-(2*'入力・結果'!$G$3*'入力・結果'!$G$4*(COS(RADIANS(S119)))))^(1/2))))</f>
        <v>36.02617046</v>
      </c>
      <c r="AA119" s="38">
        <f>DEGREES(ACOS(('入力・結果'!$G$4-('入力・結果'!$G$3*COS(RADIANS(S119))))/((('入力・結果'!$G$3^2)+('入力・結果'!$G$4^2)-(2*'入力・結果'!$G$3*'入力・結果'!$G$4*COS(RADIANS(S119))))^(1/2))))</f>
        <v>23.45064567</v>
      </c>
      <c r="AB119" s="38">
        <f>DEGREES(ACOS((('入力・結果'!$G$3^2)+('入力・結果'!$G$4^2)+('入力・結果'!$G$5^2)-('入力・結果'!$G$6^2)-(2*'入力・結果'!$G$3*'入力・結果'!$G$4*COS(RADIANS(S119))))/(2*'入力・結果'!$G$5*(('入力・結果'!$G$3^2)+('入力・結果'!$G$4^2)-(2*'入力・結果'!$G$3*'入力・結果'!$G$4*(COS(RADIANS(S119)))))^(1/2))))</f>
        <v>27.22291912</v>
      </c>
      <c r="AC119" s="37">
        <f t="shared" si="19"/>
        <v>8889.872811</v>
      </c>
      <c r="AD119" s="37">
        <f t="shared" si="20"/>
        <v>8889.872811</v>
      </c>
      <c r="AE119" s="37" t="str">
        <f t="shared" si="21"/>
        <v/>
      </c>
      <c r="AF119" s="37" t="str">
        <f t="shared" si="22"/>
        <v/>
      </c>
      <c r="AG119" s="35"/>
      <c r="AH119" s="35"/>
      <c r="AI119" s="35"/>
      <c r="AJ119" s="35">
        <v>116.0</v>
      </c>
      <c r="AK119" s="35">
        <f t="shared" si="1"/>
        <v>3.709735225</v>
      </c>
    </row>
    <row r="120" ht="12.75" customHeight="1">
      <c r="A120" s="35"/>
      <c r="B120" s="37">
        <v>116.0</v>
      </c>
      <c r="C120" s="38">
        <f t="shared" si="2"/>
        <v>-21.91855734</v>
      </c>
      <c r="D120" s="38">
        <f t="shared" si="3"/>
        <v>-44.93970231</v>
      </c>
      <c r="E120" s="38">
        <f>'演算'!U120</f>
        <v>-14.05687419</v>
      </c>
      <c r="F120" s="38">
        <f t="shared" si="4"/>
        <v>14.05687419</v>
      </c>
      <c r="G120" s="38">
        <f t="shared" si="5"/>
        <v>-555.4488659</v>
      </c>
      <c r="H120" s="38">
        <f t="shared" si="6"/>
        <v>-178.5264151</v>
      </c>
      <c r="I120" s="39">
        <f t="shared" si="7"/>
        <v>583.4339067</v>
      </c>
      <c r="J120" s="38">
        <f t="shared" si="8"/>
        <v>-17.81788663</v>
      </c>
      <c r="K120" s="38" t="str">
        <f t="shared" si="9"/>
        <v/>
      </c>
      <c r="L120" s="38">
        <f t="shared" si="10"/>
        <v>1</v>
      </c>
      <c r="M120" s="38">
        <f t="shared" si="11"/>
        <v>162.1821134</v>
      </c>
      <c r="N120" s="39">
        <f t="shared" si="12"/>
        <v>112.1821134</v>
      </c>
      <c r="O120" s="39">
        <f t="shared" si="13"/>
        <v>-220.2764806</v>
      </c>
      <c r="P120" s="39">
        <f t="shared" si="14"/>
        <v>-540.2530848</v>
      </c>
      <c r="Q120" s="38">
        <f t="shared" si="15"/>
        <v>-263.0226881</v>
      </c>
      <c r="R120" s="38">
        <f t="shared" si="16"/>
        <v>539.2764278</v>
      </c>
      <c r="S120" s="40">
        <v>116.0</v>
      </c>
      <c r="T120" s="37">
        <f t="shared" si="17"/>
        <v>49.94312581</v>
      </c>
      <c r="U120" s="37">
        <f t="shared" si="18"/>
        <v>-14.05687419</v>
      </c>
      <c r="V120" s="37">
        <f t="shared" si="23"/>
        <v>0.269561017</v>
      </c>
      <c r="W120" s="37">
        <f>'入力・結果'!$I$7/V120</f>
        <v>1196389.61</v>
      </c>
      <c r="X120" s="39">
        <f>(W120/I120*10)*'入力・結果'!$I$8</f>
        <v>12303.60042</v>
      </c>
      <c r="Y120" s="38">
        <f>DEGREES(ACOS(('入力・結果'!$G$3-('入力・結果'!$G$4*COS(RADIANS(S120))))/((('入力・結果'!$G$3^2)+('入力・結果'!$G$4^2)-(2*'入力・結果'!$G$3*'入力・結果'!$G$4*COS(RADIANS(S120))))^(1/2))))</f>
        <v>40.87883234</v>
      </c>
      <c r="Z120" s="38">
        <f>DEGREES(ACOS((('入力・結果'!$G$3^2)+('入力・結果'!$G$4^2)-('入力・結果'!$G$5^2)+('入力・結果'!$G$6^2)-(2*'入力・結果'!$G$3*'入力・結果'!$G$4*COS(RADIANS(S120))))/(2*'入力・結果'!$G$6*(('入力・結果'!$G$3^2)+('入力・結果'!$G$4^2)-(2*'入力・結果'!$G$3*'入力・結果'!$G$4*(COS(RADIANS(S120)))))^(1/2))))</f>
        <v>35.46035248</v>
      </c>
      <c r="AA120" s="38">
        <f>DEGREES(ACOS(('入力・結果'!$G$4-('入力・結果'!$G$3*COS(RADIANS(S120))))/((('入力・結果'!$G$3^2)+('入力・結果'!$G$4^2)-(2*'入力・結果'!$G$3*'入力・結果'!$G$4*COS(RADIANS(S120))))^(1/2))))</f>
        <v>23.12116766</v>
      </c>
      <c r="AB120" s="38">
        <f>DEGREES(ACOS((('入力・結果'!$G$3^2)+('入力・結果'!$G$4^2)+('入力・結果'!$G$5^2)-('入力・結果'!$G$6^2)-(2*'入力・結果'!$G$3*'入力・結果'!$G$4*COS(RADIANS(S120))))/(2*'入力・結果'!$G$5*(('入力・結果'!$G$3^2)+('入力・結果'!$G$4^2)-(2*'入力・結果'!$G$3*'入力・結果'!$G$4*(COS(RADIANS(S120)))))^(1/2))))</f>
        <v>26.82195816</v>
      </c>
      <c r="AC120" s="37">
        <f t="shared" si="19"/>
        <v>9003.600419</v>
      </c>
      <c r="AD120" s="37">
        <f t="shared" si="20"/>
        <v>9003.600419</v>
      </c>
      <c r="AE120" s="37" t="str">
        <f t="shared" si="21"/>
        <v/>
      </c>
      <c r="AF120" s="37" t="str">
        <f t="shared" si="22"/>
        <v/>
      </c>
      <c r="AG120" s="35"/>
      <c r="AH120" s="35"/>
      <c r="AI120" s="35"/>
      <c r="AJ120" s="35">
        <v>117.0</v>
      </c>
      <c r="AK120" s="35">
        <f t="shared" si="1"/>
        <v>3.746631825</v>
      </c>
    </row>
    <row r="121" ht="12.75" customHeight="1">
      <c r="A121" s="35"/>
      <c r="B121" s="37">
        <v>117.0</v>
      </c>
      <c r="C121" s="38">
        <f t="shared" si="2"/>
        <v>-22.69952499</v>
      </c>
      <c r="D121" s="38">
        <f t="shared" si="3"/>
        <v>-44.55032621</v>
      </c>
      <c r="E121" s="38">
        <f>'演算'!U121</f>
        <v>-13.78996779</v>
      </c>
      <c r="F121" s="38">
        <f t="shared" si="4"/>
        <v>13.78996779</v>
      </c>
      <c r="G121" s="38">
        <f t="shared" si="5"/>
        <v>-556.8463421</v>
      </c>
      <c r="H121" s="38">
        <f t="shared" si="6"/>
        <v>-175.6502034</v>
      </c>
      <c r="I121" s="39">
        <f t="shared" si="7"/>
        <v>583.8928349</v>
      </c>
      <c r="J121" s="38">
        <f t="shared" si="8"/>
        <v>-17.50722726</v>
      </c>
      <c r="K121" s="38" t="str">
        <f t="shared" si="9"/>
        <v/>
      </c>
      <c r="L121" s="38">
        <f t="shared" si="10"/>
        <v>1</v>
      </c>
      <c r="M121" s="38">
        <f t="shared" si="11"/>
        <v>162.4927727</v>
      </c>
      <c r="N121" s="39">
        <f t="shared" si="12"/>
        <v>112.4927727</v>
      </c>
      <c r="O121" s="39">
        <f t="shared" si="13"/>
        <v>-223.3780669</v>
      </c>
      <c r="P121" s="39">
        <f t="shared" si="14"/>
        <v>-539.4748204</v>
      </c>
      <c r="Q121" s="38">
        <f t="shared" si="15"/>
        <v>-272.3942998</v>
      </c>
      <c r="R121" s="38">
        <f t="shared" si="16"/>
        <v>534.6039145</v>
      </c>
      <c r="S121" s="40">
        <v>117.0</v>
      </c>
      <c r="T121" s="37">
        <f t="shared" si="17"/>
        <v>49.21003221</v>
      </c>
      <c r="U121" s="37">
        <f t="shared" si="18"/>
        <v>-13.78996779</v>
      </c>
      <c r="V121" s="37">
        <f t="shared" si="23"/>
        <v>0.2669063967</v>
      </c>
      <c r="W121" s="37">
        <f>'入力・結果'!$I$7/V121</f>
        <v>1208288.764</v>
      </c>
      <c r="X121" s="39">
        <f>(W121/I121*10)*'入力・結果'!$I$8</f>
        <v>12416.20405</v>
      </c>
      <c r="Y121" s="38">
        <f>DEGREES(ACOS(('入力・結果'!$G$3-('入力・結果'!$G$4*COS(RADIANS(S121))))/((('入力・結果'!$G$3^2)+('入力・結果'!$G$4^2)-(2*'入力・結果'!$G$3*'入力・結果'!$G$4*COS(RADIANS(S121))))^(1/2))))</f>
        <v>40.21000389</v>
      </c>
      <c r="Z121" s="38">
        <f>DEGREES(ACOS((('入力・結果'!$G$3^2)+('入力・結果'!$G$4^2)-('入力・結果'!$G$5^2)+('入力・結果'!$G$6^2)-(2*'入力・結果'!$G$3*'入力・結果'!$G$4*COS(RADIANS(S121))))/(2*'入力・結果'!$G$6*(('入力・結果'!$G$3^2)+('入力・結果'!$G$4^2)-(2*'入力・結果'!$G$3*'入力・結果'!$G$4*(COS(RADIANS(S121)))))^(1/2))))</f>
        <v>34.89515281</v>
      </c>
      <c r="AA121" s="38">
        <f>DEGREES(ACOS(('入力・結果'!$G$4-('入力・結果'!$G$3*COS(RADIANS(S121))))/((('入力・結果'!$G$3^2)+('入力・結果'!$G$4^2)-(2*'入力・結果'!$G$3*'入力・結果'!$G$4*COS(RADIANS(S121))))^(1/2))))</f>
        <v>22.78999611</v>
      </c>
      <c r="AB121" s="38">
        <f>DEGREES(ACOS((('入力・結果'!$G$3^2)+('入力・結果'!$G$4^2)+('入力・結果'!$G$5^2)-('入力・結果'!$G$6^2)-(2*'入力・結果'!$G$3*'入力・結果'!$G$4*COS(RADIANS(S121))))/(2*'入力・結果'!$G$5*(('入力・結果'!$G$3^2)+('入力・結果'!$G$4^2)-(2*'入力・結果'!$G$3*'入力・結果'!$G$4*(COS(RADIANS(S121)))))^(1/2))))</f>
        <v>26.4200361</v>
      </c>
      <c r="AC121" s="37">
        <f t="shared" si="19"/>
        <v>9116.20405</v>
      </c>
      <c r="AD121" s="37">
        <f t="shared" si="20"/>
        <v>9116.20405</v>
      </c>
      <c r="AE121" s="37" t="str">
        <f t="shared" si="21"/>
        <v/>
      </c>
      <c r="AF121" s="37" t="str">
        <f t="shared" si="22"/>
        <v/>
      </c>
      <c r="AG121" s="35"/>
      <c r="AH121" s="35"/>
      <c r="AI121" s="35"/>
      <c r="AJ121" s="35">
        <v>118.0</v>
      </c>
      <c r="AK121" s="35">
        <f t="shared" si="1"/>
        <v>3.783209019</v>
      </c>
    </row>
    <row r="122" ht="12.75" customHeight="1">
      <c r="A122" s="35"/>
      <c r="B122" s="37">
        <v>118.0</v>
      </c>
      <c r="C122" s="38">
        <f t="shared" si="2"/>
        <v>-23.47357814</v>
      </c>
      <c r="D122" s="38">
        <f t="shared" si="3"/>
        <v>-44.14737964</v>
      </c>
      <c r="E122" s="38">
        <f>'演算'!U122</f>
        <v>-13.52564192</v>
      </c>
      <c r="F122" s="38">
        <f t="shared" si="4"/>
        <v>13.52564192</v>
      </c>
      <c r="G122" s="38">
        <f t="shared" si="5"/>
        <v>-558.2195194</v>
      </c>
      <c r="H122" s="38">
        <f t="shared" si="6"/>
        <v>-172.7816607</v>
      </c>
      <c r="I122" s="39">
        <f t="shared" si="7"/>
        <v>584.3479564</v>
      </c>
      <c r="J122" s="38">
        <f t="shared" si="8"/>
        <v>-17.19848769</v>
      </c>
      <c r="K122" s="38" t="str">
        <f t="shared" si="9"/>
        <v/>
      </c>
      <c r="L122" s="38">
        <f t="shared" si="10"/>
        <v>1</v>
      </c>
      <c r="M122" s="38">
        <f t="shared" si="11"/>
        <v>162.8015123</v>
      </c>
      <c r="N122" s="39">
        <f t="shared" si="12"/>
        <v>112.8015123</v>
      </c>
      <c r="O122" s="39">
        <f t="shared" si="13"/>
        <v>-226.4581595</v>
      </c>
      <c r="P122" s="39">
        <f t="shared" si="14"/>
        <v>-538.6828716</v>
      </c>
      <c r="Q122" s="38">
        <f t="shared" si="15"/>
        <v>-281.6829377</v>
      </c>
      <c r="R122" s="38">
        <f t="shared" si="16"/>
        <v>529.7685557</v>
      </c>
      <c r="S122" s="40">
        <v>118.0</v>
      </c>
      <c r="T122" s="37">
        <f t="shared" si="17"/>
        <v>48.47435808</v>
      </c>
      <c r="U122" s="37">
        <f t="shared" si="18"/>
        <v>-13.52564192</v>
      </c>
      <c r="V122" s="37">
        <f t="shared" si="23"/>
        <v>0.2643258659</v>
      </c>
      <c r="W122" s="37">
        <f>'入力・結果'!$I$7/V122</f>
        <v>1220084.909</v>
      </c>
      <c r="X122" s="39">
        <f>(W122/I122*10)*'入力・結果'!$I$8</f>
        <v>12527.65475</v>
      </c>
      <c r="Y122" s="38">
        <f>DEGREES(ACOS(('入力・結果'!$G$3-('入力・結果'!$G$4*COS(RADIANS(S122))))/((('入力・結果'!$G$3^2)+('入力・結果'!$G$4^2)-(2*'入力・結果'!$G$3*'入力・結果'!$G$4*COS(RADIANS(S122))))^(1/2))))</f>
        <v>39.54282142</v>
      </c>
      <c r="Z122" s="38">
        <f>DEGREES(ACOS((('入力・結果'!$G$3^2)+('入力・結果'!$G$4^2)-('入力・結果'!$G$5^2)+('入力・結果'!$G$6^2)-(2*'入力・結果'!$G$3*'入力・結果'!$G$4*COS(RADIANS(S122))))/(2*'入力・結果'!$G$6*(('入力・結果'!$G$3^2)+('入力・結果'!$G$4^2)-(2*'入力・結果'!$G$3*'入力・結果'!$G$4*(COS(RADIANS(S122)))))^(1/2))))</f>
        <v>34.3305548</v>
      </c>
      <c r="AA122" s="38">
        <f>DEGREES(ACOS(('入力・結果'!$G$4-('入力・結果'!$G$3*COS(RADIANS(S122))))/((('入力・結果'!$G$3^2)+('入力・結果'!$G$4^2)-(2*'入力・結果'!$G$3*'入力・結果'!$G$4*COS(RADIANS(S122))))^(1/2))))</f>
        <v>22.45717858</v>
      </c>
      <c r="AB122" s="38">
        <f>DEGREES(ACOS((('入力・結果'!$G$3^2)+('入力・結果'!$G$4^2)+('入力・結果'!$G$5^2)-('入力・結果'!$G$6^2)-(2*'入力・結果'!$G$3*'入力・結果'!$G$4*COS(RADIANS(S122))))/(2*'入力・結果'!$G$5*(('入力・結果'!$G$3^2)+('入力・結果'!$G$4^2)-(2*'入力・結果'!$G$3*'入力・結果'!$G$4*(COS(RADIANS(S122)))))^(1/2))))</f>
        <v>26.0171795</v>
      </c>
      <c r="AC122" s="37">
        <f t="shared" si="19"/>
        <v>9227.654751</v>
      </c>
      <c r="AD122" s="37">
        <f t="shared" si="20"/>
        <v>9227.654751</v>
      </c>
      <c r="AE122" s="37" t="str">
        <f t="shared" si="21"/>
        <v/>
      </c>
      <c r="AF122" s="37" t="str">
        <f t="shared" si="22"/>
        <v/>
      </c>
      <c r="AG122" s="35"/>
      <c r="AH122" s="35"/>
      <c r="AI122" s="35"/>
      <c r="AJ122" s="35">
        <v>119.0</v>
      </c>
      <c r="AK122" s="35">
        <f t="shared" si="1"/>
        <v>3.819455649</v>
      </c>
    </row>
    <row r="123" ht="12.75" customHeight="1">
      <c r="A123" s="35"/>
      <c r="B123" s="37">
        <v>119.0</v>
      </c>
      <c r="C123" s="38">
        <f t="shared" si="2"/>
        <v>-24.24048101</v>
      </c>
      <c r="D123" s="38">
        <f t="shared" si="3"/>
        <v>-43.73098536</v>
      </c>
      <c r="E123" s="38">
        <f>'演算'!U123</f>
        <v>-13.26382451</v>
      </c>
      <c r="F123" s="38">
        <f t="shared" si="4"/>
        <v>13.26382451</v>
      </c>
      <c r="G123" s="38">
        <f t="shared" si="5"/>
        <v>-559.5686414</v>
      </c>
      <c r="H123" s="38">
        <f t="shared" si="6"/>
        <v>-169.9203697</v>
      </c>
      <c r="I123" s="39">
        <f t="shared" si="7"/>
        <v>584.7991078</v>
      </c>
      <c r="J123" s="38">
        <f t="shared" si="8"/>
        <v>-16.8916022</v>
      </c>
      <c r="K123" s="38" t="str">
        <f t="shared" si="9"/>
        <v/>
      </c>
      <c r="L123" s="38">
        <f t="shared" si="10"/>
        <v>1</v>
      </c>
      <c r="M123" s="38">
        <f t="shared" si="11"/>
        <v>163.1083978</v>
      </c>
      <c r="N123" s="39">
        <f t="shared" si="12"/>
        <v>113.1083978</v>
      </c>
      <c r="O123" s="39">
        <f t="shared" si="13"/>
        <v>-229.5172344</v>
      </c>
      <c r="P123" s="39">
        <f t="shared" si="14"/>
        <v>-537.8771566</v>
      </c>
      <c r="Q123" s="38">
        <f t="shared" si="15"/>
        <v>-290.8857721</v>
      </c>
      <c r="R123" s="38">
        <f t="shared" si="16"/>
        <v>524.7718243</v>
      </c>
      <c r="S123" s="40">
        <v>119.0</v>
      </c>
      <c r="T123" s="37">
        <f t="shared" si="17"/>
        <v>47.73617549</v>
      </c>
      <c r="U123" s="37">
        <f t="shared" si="18"/>
        <v>-13.26382451</v>
      </c>
      <c r="V123" s="37">
        <f t="shared" si="23"/>
        <v>0.2618174137</v>
      </c>
      <c r="W123" s="37">
        <f>'入力・結果'!$I$7/V123</f>
        <v>1231774.447</v>
      </c>
      <c r="X123" s="39">
        <f>(W123/I123*10)*'入力・結果'!$I$8</f>
        <v>12637.924</v>
      </c>
      <c r="Y123" s="38">
        <f>DEGREES(ACOS(('入力・結果'!$G$3-('入力・結果'!$G$4*COS(RADIANS(S123))))/((('入力・結果'!$G$3^2)+('入力・結果'!$G$4^2)-(2*'入力・結果'!$G$3*'入力・結果'!$G$4*COS(RADIANS(S123))))^(1/2))))</f>
        <v>38.87723869</v>
      </c>
      <c r="Z123" s="38">
        <f>DEGREES(ACOS((('入力・結果'!$G$3^2)+('入力・結果'!$G$4^2)-('入力・結果'!$G$5^2)+('入力・結果'!$G$6^2)-(2*'入力・結果'!$G$3*'入力・結果'!$G$4*COS(RADIANS(S123))))/(2*'入力・結果'!$G$6*(('入力・結果'!$G$3^2)+('入力・結果'!$G$4^2)-(2*'入力・結果'!$G$3*'入力・結果'!$G$4*(COS(RADIANS(S123)))))^(1/2))))</f>
        <v>33.76654221</v>
      </c>
      <c r="AA123" s="38">
        <f>DEGREES(ACOS(('入力・結果'!$G$4-('入力・結果'!$G$3*COS(RADIANS(S123))))/((('入力・結果'!$G$3^2)+('入力・結果'!$G$4^2)-(2*'入力・結果'!$G$3*'入力・結果'!$G$4*COS(RADIANS(S123))))^(1/2))))</f>
        <v>22.12276131</v>
      </c>
      <c r="AB123" s="38">
        <f>DEGREES(ACOS((('入力・結果'!$G$3^2)+('入力・結果'!$G$4^2)+('入力・結果'!$G$5^2)-('入力・結果'!$G$6^2)-(2*'入力・結果'!$G$3*'入力・結果'!$G$4*COS(RADIANS(S123))))/(2*'入力・結果'!$G$5*(('入力・結果'!$G$3^2)+('入力・結果'!$G$4^2)-(2*'入力・結果'!$G$3*'入力・結果'!$G$4*(COS(RADIANS(S123)))))^(1/2))))</f>
        <v>25.61341418</v>
      </c>
      <c r="AC123" s="37">
        <f t="shared" si="19"/>
        <v>9337.924004</v>
      </c>
      <c r="AD123" s="37">
        <f t="shared" si="20"/>
        <v>9337.924004</v>
      </c>
      <c r="AE123" s="37" t="str">
        <f t="shared" si="21"/>
        <v/>
      </c>
      <c r="AF123" s="37" t="str">
        <f t="shared" si="22"/>
        <v/>
      </c>
      <c r="AG123" s="35"/>
      <c r="AH123" s="35"/>
      <c r="AI123" s="35"/>
      <c r="AJ123" s="35">
        <v>120.0</v>
      </c>
      <c r="AK123" s="35">
        <f t="shared" si="1"/>
        <v>3.85536066</v>
      </c>
    </row>
    <row r="124" ht="12.75" customHeight="1">
      <c r="A124" s="35"/>
      <c r="B124" s="37">
        <v>120.0</v>
      </c>
      <c r="C124" s="38">
        <f t="shared" si="2"/>
        <v>-25</v>
      </c>
      <c r="D124" s="38">
        <f t="shared" si="3"/>
        <v>-43.30127019</v>
      </c>
      <c r="E124" s="38">
        <f>'演算'!U124</f>
        <v>-13.0044454</v>
      </c>
      <c r="F124" s="38">
        <f t="shared" si="4"/>
        <v>13.0044454</v>
      </c>
      <c r="G124" s="38">
        <f t="shared" si="5"/>
        <v>-560.8939347</v>
      </c>
      <c r="H124" s="38">
        <f t="shared" si="6"/>
        <v>-167.0659288</v>
      </c>
      <c r="I124" s="39">
        <f t="shared" si="7"/>
        <v>585.2461282</v>
      </c>
      <c r="J124" s="38">
        <f t="shared" si="8"/>
        <v>-16.58650723</v>
      </c>
      <c r="K124" s="38" t="str">
        <f t="shared" si="9"/>
        <v/>
      </c>
      <c r="L124" s="38">
        <f t="shared" si="10"/>
        <v>1</v>
      </c>
      <c r="M124" s="38">
        <f t="shared" si="11"/>
        <v>163.4134928</v>
      </c>
      <c r="N124" s="39">
        <f t="shared" si="12"/>
        <v>113.4134928</v>
      </c>
      <c r="O124" s="39">
        <f t="shared" si="13"/>
        <v>-232.5557452</v>
      </c>
      <c r="P124" s="39">
        <f t="shared" si="14"/>
        <v>-537.0575909</v>
      </c>
      <c r="Q124" s="38">
        <f t="shared" si="15"/>
        <v>-300</v>
      </c>
      <c r="R124" s="38">
        <f t="shared" si="16"/>
        <v>519.6152423</v>
      </c>
      <c r="S124" s="40">
        <v>120.0</v>
      </c>
      <c r="T124" s="37">
        <f t="shared" si="17"/>
        <v>46.9955546</v>
      </c>
      <c r="U124" s="37">
        <f t="shared" si="18"/>
        <v>-13.0044454</v>
      </c>
      <c r="V124" s="37">
        <f t="shared" si="23"/>
        <v>0.2593791057</v>
      </c>
      <c r="W124" s="37">
        <f>'入力・結果'!$I$7/V124</f>
        <v>1243353.813</v>
      </c>
      <c r="X124" s="39">
        <f>(W124/I124*10)*'入力・結果'!$I$8</f>
        <v>12746.98373</v>
      </c>
      <c r="Y124" s="38">
        <f>DEGREES(ACOS(('入力・結果'!$G$3-('入力・結果'!$G$4*COS(RADIANS(S124))))/((('入力・結果'!$G$3^2)+('入力・結果'!$G$4^2)-(2*'入力・結果'!$G$3*'入力・結果'!$G$4*COS(RADIANS(S124))))^(1/2))))</f>
        <v>38.2132107</v>
      </c>
      <c r="Z124" s="38">
        <f>DEGREES(ACOS((('入力・結果'!$G$3^2)+('入力・結果'!$G$4^2)-('入力・結果'!$G$5^2)+('入力・結果'!$G$6^2)-(2*'入力・結果'!$G$3*'入力・結果'!$G$4*COS(RADIANS(S124))))/(2*'入力・結果'!$G$6*(('入力・結果'!$G$3^2)+('入力・結果'!$G$4^2)-(2*'入力・結果'!$G$3*'入力・結果'!$G$4*(COS(RADIANS(S124)))))^(1/2))))</f>
        <v>33.2030992</v>
      </c>
      <c r="AA124" s="38">
        <f>DEGREES(ACOS(('入力・結果'!$G$4-('入力・結果'!$G$3*COS(RADIANS(S124))))/((('入力・結果'!$G$3^2)+('入力・結果'!$G$4^2)-(2*'入力・結果'!$G$3*'入力・結果'!$G$4*COS(RADIANS(S124))))^(1/2))))</f>
        <v>21.7867893</v>
      </c>
      <c r="AB124" s="38">
        <f>DEGREES(ACOS((('入力・結果'!$G$3^2)+('入力・結果'!$G$4^2)+('入力・結果'!$G$5^2)-('入力・結果'!$G$6^2)-(2*'入力・結果'!$G$3*'入力・結果'!$G$4*COS(RADIANS(S124))))/(2*'入力・結果'!$G$5*(('入力・結果'!$G$3^2)+('入力・結果'!$G$4^2)-(2*'入力・結果'!$G$3*'入力・結果'!$G$4*(COS(RADIANS(S124)))))^(1/2))))</f>
        <v>25.2087653</v>
      </c>
      <c r="AC124" s="37">
        <f t="shared" si="19"/>
        <v>9446.983734</v>
      </c>
      <c r="AD124" s="37">
        <f t="shared" si="20"/>
        <v>9446.983734</v>
      </c>
      <c r="AE124" s="37" t="str">
        <f t="shared" si="21"/>
        <v/>
      </c>
      <c r="AF124" s="37" t="str">
        <f t="shared" si="22"/>
        <v/>
      </c>
      <c r="AG124" s="35"/>
      <c r="AH124" s="35"/>
      <c r="AI124" s="35"/>
      <c r="AJ124" s="35">
        <v>121.0</v>
      </c>
      <c r="AK124" s="35">
        <f t="shared" si="1"/>
        <v>3.890913098</v>
      </c>
    </row>
    <row r="125" ht="12.75" customHeight="1">
      <c r="A125" s="35"/>
      <c r="B125" s="37">
        <v>121.0</v>
      </c>
      <c r="C125" s="38">
        <f t="shared" si="2"/>
        <v>-25.75190375</v>
      </c>
      <c r="D125" s="38">
        <f t="shared" si="3"/>
        <v>-42.85836504</v>
      </c>
      <c r="E125" s="38">
        <f>'演算'!U125</f>
        <v>-12.74743632</v>
      </c>
      <c r="F125" s="38">
        <f t="shared" si="4"/>
        <v>12.74743632</v>
      </c>
      <c r="G125" s="38">
        <f t="shared" si="5"/>
        <v>-562.1956107</v>
      </c>
      <c r="H125" s="38">
        <f t="shared" si="6"/>
        <v>-164.2179515</v>
      </c>
      <c r="I125" s="39">
        <f t="shared" si="7"/>
        <v>585.6888597</v>
      </c>
      <c r="J125" s="38">
        <f t="shared" si="8"/>
        <v>-16.2831413</v>
      </c>
      <c r="K125" s="38" t="str">
        <f t="shared" si="9"/>
        <v/>
      </c>
      <c r="L125" s="38">
        <f t="shared" si="10"/>
        <v>1</v>
      </c>
      <c r="M125" s="38">
        <f t="shared" si="11"/>
        <v>163.7168587</v>
      </c>
      <c r="N125" s="39">
        <f t="shared" si="12"/>
        <v>113.7168587</v>
      </c>
      <c r="O125" s="39">
        <f t="shared" si="13"/>
        <v>-235.5741236</v>
      </c>
      <c r="P125" s="39">
        <f t="shared" si="14"/>
        <v>-536.224088</v>
      </c>
      <c r="Q125" s="38">
        <f t="shared" si="15"/>
        <v>-309.0228449</v>
      </c>
      <c r="R125" s="38">
        <f t="shared" si="16"/>
        <v>514.3003804</v>
      </c>
      <c r="S125" s="40">
        <v>121.0</v>
      </c>
      <c r="T125" s="37">
        <f t="shared" si="17"/>
        <v>46.25256368</v>
      </c>
      <c r="U125" s="37">
        <f t="shared" si="18"/>
        <v>-12.74743632</v>
      </c>
      <c r="V125" s="37">
        <f t="shared" si="23"/>
        <v>0.2570090811</v>
      </c>
      <c r="W125" s="37">
        <f>'入力・結果'!$I$7/V125</f>
        <v>1254819.474</v>
      </c>
      <c r="X125" s="39">
        <f>(W125/I125*10)*'入力・結果'!$I$8</f>
        <v>12854.8063</v>
      </c>
      <c r="Y125" s="38">
        <f>DEGREES(ACOS(('入力・結果'!$G$3-('入力・結果'!$G$4*COS(RADIANS(S125))))/((('入力・結果'!$G$3^2)+('入力・結果'!$G$4^2)-(2*'入力・結果'!$G$3*'入力・結果'!$G$4*COS(RADIANS(S125))))^(1/2))))</f>
        <v>37.55069368</v>
      </c>
      <c r="Z125" s="38">
        <f>DEGREES(ACOS((('入力・結果'!$G$3^2)+('入力・結果'!$G$4^2)-('入力・結果'!$G$5^2)+('入力・結果'!$G$6^2)-(2*'入力・結果'!$G$3*'入力・結果'!$G$4*COS(RADIANS(S125))))/(2*'入力・結果'!$G$6*(('入力・結果'!$G$3^2)+('入力・結果'!$G$4^2)-(2*'入力・結果'!$G$3*'入力・結果'!$G$4*(COS(RADIANS(S125)))))^(1/2))))</f>
        <v>32.64021033</v>
      </c>
      <c r="AA125" s="38">
        <f>DEGREES(ACOS(('入力・結果'!$G$4-('入力・結果'!$G$3*COS(RADIANS(S125))))/((('入力・結果'!$G$3^2)+('入力・結果'!$G$4^2)-(2*'入力・結果'!$G$3*'入力・結果'!$G$4*COS(RADIANS(S125))))^(1/2))))</f>
        <v>21.44930632</v>
      </c>
      <c r="AB125" s="38">
        <f>DEGREES(ACOS((('入力・結果'!$G$3^2)+('入力・結果'!$G$4^2)+('入力・結果'!$G$5^2)-('入力・結果'!$G$6^2)-(2*'入力・結果'!$G$3*'入力・結果'!$G$4*COS(RADIANS(S125))))/(2*'入力・結果'!$G$5*(('入力・結果'!$G$3^2)+('入力・結果'!$G$4^2)-(2*'入力・結果'!$G$3*'入力・結果'!$G$4*(COS(RADIANS(S125)))))^(1/2))))</f>
        <v>24.80325736</v>
      </c>
      <c r="AC125" s="37">
        <f t="shared" si="19"/>
        <v>9554.806303</v>
      </c>
      <c r="AD125" s="37">
        <f t="shared" si="20"/>
        <v>9554.806303</v>
      </c>
      <c r="AE125" s="37" t="str">
        <f t="shared" si="21"/>
        <v/>
      </c>
      <c r="AF125" s="37" t="str">
        <f t="shared" si="22"/>
        <v/>
      </c>
      <c r="AG125" s="35"/>
      <c r="AH125" s="35"/>
      <c r="AI125" s="35"/>
      <c r="AJ125" s="35">
        <v>122.0</v>
      </c>
      <c r="AK125" s="35">
        <f t="shared" si="1"/>
        <v>3.926102121</v>
      </c>
    </row>
    <row r="126" ht="12.75" customHeight="1">
      <c r="A126" s="35"/>
      <c r="B126" s="37">
        <v>122.0</v>
      </c>
      <c r="C126" s="38">
        <f t="shared" si="2"/>
        <v>-26.49596321</v>
      </c>
      <c r="D126" s="38">
        <f t="shared" si="3"/>
        <v>-42.40240481</v>
      </c>
      <c r="E126" s="38">
        <f>'演算'!U126</f>
        <v>-12.49273077</v>
      </c>
      <c r="F126" s="38">
        <f t="shared" si="4"/>
        <v>12.49273077</v>
      </c>
      <c r="G126" s="38">
        <f t="shared" si="5"/>
        <v>-563.4738659</v>
      </c>
      <c r="H126" s="38">
        <f t="shared" si="6"/>
        <v>-161.376066</v>
      </c>
      <c r="I126" s="39">
        <f t="shared" si="7"/>
        <v>586.1271468</v>
      </c>
      <c r="J126" s="38">
        <f t="shared" si="8"/>
        <v>-15.98144493</v>
      </c>
      <c r="K126" s="38" t="str">
        <f t="shared" si="9"/>
        <v/>
      </c>
      <c r="L126" s="38">
        <f t="shared" si="10"/>
        <v>1</v>
      </c>
      <c r="M126" s="38">
        <f t="shared" si="11"/>
        <v>164.0185551</v>
      </c>
      <c r="N126" s="39">
        <f t="shared" si="12"/>
        <v>114.0185551</v>
      </c>
      <c r="O126" s="39">
        <f t="shared" si="13"/>
        <v>-238.5727807</v>
      </c>
      <c r="P126" s="39">
        <f t="shared" si="14"/>
        <v>-535.3765595</v>
      </c>
      <c r="Q126" s="38">
        <f t="shared" si="15"/>
        <v>-317.9515585</v>
      </c>
      <c r="R126" s="38">
        <f t="shared" si="16"/>
        <v>508.8288577</v>
      </c>
      <c r="S126" s="40">
        <v>122.0</v>
      </c>
      <c r="T126" s="37">
        <f t="shared" si="17"/>
        <v>45.50726923</v>
      </c>
      <c r="U126" s="37">
        <f t="shared" si="18"/>
        <v>-12.49273077</v>
      </c>
      <c r="V126" s="37">
        <f t="shared" si="23"/>
        <v>0.25470555</v>
      </c>
      <c r="W126" s="37">
        <f>'入力・結果'!$I$7/V126</f>
        <v>1266167.934</v>
      </c>
      <c r="X126" s="39">
        <f>(W126/I126*10)*'入力・結果'!$I$8</f>
        <v>12961.36452</v>
      </c>
      <c r="Y126" s="38">
        <f>DEGREES(ACOS(('入力・結果'!$G$3-('入力・結果'!$G$4*COS(RADIANS(S126))))/((('入力・結果'!$G$3^2)+('入力・結果'!$G$4^2)-(2*'入力・結果'!$G$3*'入力・結果'!$G$4*COS(RADIANS(S126))))^(1/2))))</f>
        <v>36.88964501</v>
      </c>
      <c r="Z126" s="38">
        <f>DEGREES(ACOS((('入力・結果'!$G$3^2)+('入力・結果'!$G$4^2)-('入力・結果'!$G$5^2)+('入力・結果'!$G$6^2)-(2*'入力・結果'!$G$3*'入力・結果'!$G$4*COS(RADIANS(S126))))/(2*'入力・結果'!$G$6*(('入力・結果'!$G$3^2)+('入力・結果'!$G$4^2)-(2*'入力・結果'!$G$3*'入力・結果'!$G$4*(COS(RADIANS(S126)))))^(1/2))))</f>
        <v>32.07786053</v>
      </c>
      <c r="AA126" s="38">
        <f>DEGREES(ACOS(('入力・結果'!$G$4-('入力・結果'!$G$3*COS(RADIANS(S126))))/((('入力・結果'!$G$3^2)+('入力・結果'!$G$4^2)-(2*'入力・結果'!$G$3*'入力・結果'!$G$4*COS(RADIANS(S126))))^(1/2))))</f>
        <v>21.11035499</v>
      </c>
      <c r="AB126" s="38">
        <f>DEGREES(ACOS((('入力・結果'!$G$3^2)+('入力・結果'!$G$4^2)+('入力・結果'!$G$5^2)-('入力・結果'!$G$6^2)-(2*'入力・結果'!$G$3*'入力・結果'!$G$4*COS(RADIANS(S126))))/(2*'入力・結果'!$G$5*(('入力・結果'!$G$3^2)+('入力・結果'!$G$4^2)-(2*'入力・結果'!$G$3*'入力・結果'!$G$4*(COS(RADIANS(S126)))))^(1/2))))</f>
        <v>24.39691423</v>
      </c>
      <c r="AC126" s="37">
        <f t="shared" si="19"/>
        <v>9661.364518</v>
      </c>
      <c r="AD126" s="37">
        <f t="shared" si="20"/>
        <v>9661.364518</v>
      </c>
      <c r="AE126" s="37" t="str">
        <f t="shared" si="21"/>
        <v/>
      </c>
      <c r="AF126" s="37" t="str">
        <f t="shared" si="22"/>
        <v/>
      </c>
      <c r="AG126" s="35"/>
      <c r="AH126" s="35"/>
      <c r="AI126" s="35"/>
      <c r="AJ126" s="35">
        <v>123.0</v>
      </c>
      <c r="AK126" s="35">
        <f t="shared" si="1"/>
        <v>3.960916995</v>
      </c>
    </row>
    <row r="127" ht="12.75" customHeight="1">
      <c r="A127" s="35"/>
      <c r="B127" s="37">
        <v>123.0</v>
      </c>
      <c r="C127" s="38">
        <f t="shared" si="2"/>
        <v>-27.23195175</v>
      </c>
      <c r="D127" s="38">
        <f t="shared" si="3"/>
        <v>-41.9335284</v>
      </c>
      <c r="E127" s="38">
        <f>'演算'!U127</f>
        <v>-12.24026398</v>
      </c>
      <c r="F127" s="38">
        <f t="shared" si="4"/>
        <v>12.24026398</v>
      </c>
      <c r="G127" s="38">
        <f t="shared" si="5"/>
        <v>-564.7288825</v>
      </c>
      <c r="H127" s="38">
        <f t="shared" si="6"/>
        <v>-158.5399153</v>
      </c>
      <c r="I127" s="39">
        <f t="shared" si="7"/>
        <v>586.5608369</v>
      </c>
      <c r="J127" s="38">
        <f t="shared" si="8"/>
        <v>-15.68136058</v>
      </c>
      <c r="K127" s="38" t="str">
        <f t="shared" si="9"/>
        <v/>
      </c>
      <c r="L127" s="38">
        <f t="shared" si="10"/>
        <v>1</v>
      </c>
      <c r="M127" s="38">
        <f t="shared" si="11"/>
        <v>164.3186394</v>
      </c>
      <c r="N127" s="39">
        <f t="shared" si="12"/>
        <v>114.3186394</v>
      </c>
      <c r="O127" s="39">
        <f t="shared" si="13"/>
        <v>-241.5521073</v>
      </c>
      <c r="P127" s="39">
        <f t="shared" si="14"/>
        <v>-534.5149155</v>
      </c>
      <c r="Q127" s="38">
        <f t="shared" si="15"/>
        <v>-326.783421</v>
      </c>
      <c r="R127" s="38">
        <f t="shared" si="16"/>
        <v>503.2023408</v>
      </c>
      <c r="S127" s="40">
        <v>123.0</v>
      </c>
      <c r="T127" s="37">
        <f t="shared" si="17"/>
        <v>44.75973602</v>
      </c>
      <c r="U127" s="37">
        <f t="shared" si="18"/>
        <v>-12.24026398</v>
      </c>
      <c r="V127" s="37">
        <f t="shared" si="23"/>
        <v>0.2524667902</v>
      </c>
      <c r="W127" s="37">
        <f>'入力・結果'!$I$7/V127</f>
        <v>1277395.731</v>
      </c>
      <c r="X127" s="39">
        <f>(W127/I127*10)*'入力・結果'!$I$8</f>
        <v>13066.63163</v>
      </c>
      <c r="Y127" s="38">
        <f>DEGREES(ACOS(('入力・結果'!$G$3-('入力・結果'!$G$4*COS(RADIANS(S127))))/((('入力・結果'!$G$3^2)+('入力・結果'!$G$4^2)-(2*'入力・結果'!$G$3*'入力・結果'!$G$4*COS(RADIANS(S127))))^(1/2))))</f>
        <v>36.23002318</v>
      </c>
      <c r="Z127" s="38">
        <f>DEGREES(ACOS((('入力・結果'!$G$3^2)+('入力・結果'!$G$4^2)-('入力・結果'!$G$5^2)+('入力・結果'!$G$6^2)-(2*'入力・結果'!$G$3*'入力・結果'!$G$4*COS(RADIANS(S127))))/(2*'入力・結果'!$G$6*(('入力・結果'!$G$3^2)+('入力・結果'!$G$4^2)-(2*'入力・結果'!$G$3*'入力・結果'!$G$4*(COS(RADIANS(S127)))))^(1/2))))</f>
        <v>31.5160351</v>
      </c>
      <c r="AA127" s="38">
        <f>DEGREES(ACOS(('入力・結果'!$G$4-('入力・結果'!$G$3*COS(RADIANS(S127))))/((('入力・結果'!$G$3^2)+('入力・結果'!$G$4^2)-(2*'入力・結果'!$G$3*'入力・結果'!$G$4*COS(RADIANS(S127))))^(1/2))))</f>
        <v>20.76997682</v>
      </c>
      <c r="AB127" s="38">
        <f>DEGREES(ACOS((('入力・結果'!$G$3^2)+('入力・結果'!$G$4^2)+('入力・結果'!$G$5^2)-('入力・結果'!$G$6^2)-(2*'入力・結果'!$G$3*'入力・結果'!$G$4*COS(RADIANS(S127))))/(2*'入力・結果'!$G$5*(('入力・結果'!$G$3^2)+('入力・結果'!$G$4^2)-(2*'入力・結果'!$G$3*'入力・結果'!$G$4*(COS(RADIANS(S127)))))^(1/2))))</f>
        <v>23.9897592</v>
      </c>
      <c r="AC127" s="37">
        <f t="shared" si="19"/>
        <v>9766.631631</v>
      </c>
      <c r="AD127" s="37">
        <f t="shared" si="20"/>
        <v>9766.631631</v>
      </c>
      <c r="AE127" s="37" t="str">
        <f t="shared" si="21"/>
        <v/>
      </c>
      <c r="AF127" s="37" t="str">
        <f t="shared" si="22"/>
        <v/>
      </c>
      <c r="AG127" s="35"/>
      <c r="AH127" s="35"/>
      <c r="AI127" s="35"/>
      <c r="AJ127" s="35">
        <v>124.0</v>
      </c>
      <c r="AK127" s="35">
        <f t="shared" si="1"/>
        <v>3.995347103</v>
      </c>
    </row>
    <row r="128" ht="12.75" customHeight="1">
      <c r="A128" s="35"/>
      <c r="B128" s="37">
        <v>124.0</v>
      </c>
      <c r="C128" s="38">
        <f t="shared" si="2"/>
        <v>-27.95964517</v>
      </c>
      <c r="D128" s="38">
        <f t="shared" si="3"/>
        <v>-41.45187863</v>
      </c>
      <c r="E128" s="38">
        <f>'演算'!U128</f>
        <v>-11.98997284</v>
      </c>
      <c r="F128" s="38">
        <f t="shared" si="4"/>
        <v>11.98997284</v>
      </c>
      <c r="G128" s="38">
        <f t="shared" si="5"/>
        <v>-565.9608296</v>
      </c>
      <c r="H128" s="38">
        <f t="shared" si="6"/>
        <v>-155.7091564</v>
      </c>
      <c r="I128" s="39">
        <f t="shared" si="7"/>
        <v>586.9897802</v>
      </c>
      <c r="J128" s="38">
        <f t="shared" si="8"/>
        <v>-15.38283259</v>
      </c>
      <c r="K128" s="38" t="str">
        <f t="shared" si="9"/>
        <v/>
      </c>
      <c r="L128" s="38">
        <f t="shared" si="10"/>
        <v>1</v>
      </c>
      <c r="M128" s="38">
        <f t="shared" si="11"/>
        <v>164.6171674</v>
      </c>
      <c r="N128" s="39">
        <f t="shared" si="12"/>
        <v>114.6171674</v>
      </c>
      <c r="O128" s="39">
        <f t="shared" si="13"/>
        <v>-244.5124749</v>
      </c>
      <c r="P128" s="39">
        <f t="shared" si="14"/>
        <v>-533.639065</v>
      </c>
      <c r="Q128" s="38">
        <f t="shared" si="15"/>
        <v>-335.5157421</v>
      </c>
      <c r="R128" s="38">
        <f t="shared" si="16"/>
        <v>497.4225435</v>
      </c>
      <c r="S128" s="40">
        <v>124.0</v>
      </c>
      <c r="T128" s="37">
        <f t="shared" si="17"/>
        <v>44.01002716</v>
      </c>
      <c r="U128" s="37">
        <f t="shared" si="18"/>
        <v>-11.98997284</v>
      </c>
      <c r="V128" s="37">
        <f t="shared" si="23"/>
        <v>0.2502911447</v>
      </c>
      <c r="W128" s="37">
        <f>'入力・結果'!$I$7/V128</f>
        <v>1288499.441</v>
      </c>
      <c r="X128" s="39">
        <f>(W128/I128*10)*'入力・結果'!$I$8</f>
        <v>13170.58134</v>
      </c>
      <c r="Y128" s="38">
        <f>DEGREES(ACOS(('入力・結果'!$G$3-('入力・結果'!$G$4*COS(RADIANS(S128))))/((('入力・結果'!$G$3^2)+('入力・結果'!$G$4^2)-(2*'入力・結果'!$G$3*'入力・結果'!$G$4*COS(RADIANS(S128))))^(1/2))))</f>
        <v>35.57178778</v>
      </c>
      <c r="Z128" s="38">
        <f>DEGREES(ACOS((('入力・結果'!$G$3^2)+('入力・結果'!$G$4^2)-('入力・結果'!$G$5^2)+('入力・結果'!$G$6^2)-(2*'入力・結果'!$G$3*'入力・結果'!$G$4*COS(RADIANS(S128))))/(2*'入力・結果'!$G$6*(('入力・結果'!$G$3^2)+('入力・結果'!$G$4^2)-(2*'入力・結果'!$G$3*'入力・結果'!$G$4*(COS(RADIANS(S128)))))^(1/2))))</f>
        <v>30.95471967</v>
      </c>
      <c r="AA128" s="38">
        <f>DEGREES(ACOS(('入力・結果'!$G$4-('入力・結果'!$G$3*COS(RADIANS(S128))))/((('入力・結果'!$G$3^2)+('入力・結果'!$G$4^2)-(2*'入力・結果'!$G$3*'入力・結果'!$G$4*COS(RADIANS(S128))))^(1/2))))</f>
        <v>20.42821222</v>
      </c>
      <c r="AB128" s="38">
        <f>DEGREES(ACOS((('入力・結果'!$G$3^2)+('入力・結果'!$G$4^2)+('入力・結果'!$G$5^2)-('入力・結果'!$G$6^2)-(2*'入力・結果'!$G$3*'入力・結果'!$G$4*COS(RADIANS(S128))))/(2*'入力・結果'!$G$5*(('入力・結果'!$G$3^2)+('入力・結果'!$G$4^2)-(2*'入力・結果'!$G$3*'入力・結果'!$G$4*(COS(RADIANS(S128)))))^(1/2))))</f>
        <v>23.58181494</v>
      </c>
      <c r="AC128" s="37">
        <f t="shared" si="19"/>
        <v>9870.581339</v>
      </c>
      <c r="AD128" s="37">
        <f t="shared" si="20"/>
        <v>9870.581339</v>
      </c>
      <c r="AE128" s="37" t="str">
        <f t="shared" si="21"/>
        <v/>
      </c>
      <c r="AF128" s="37" t="str">
        <f t="shared" si="22"/>
        <v/>
      </c>
      <c r="AG128" s="35"/>
      <c r="AH128" s="35"/>
      <c r="AI128" s="35"/>
      <c r="AJ128" s="35">
        <v>125.0</v>
      </c>
      <c r="AK128" s="35">
        <f t="shared" si="1"/>
        <v>4.029381945</v>
      </c>
    </row>
    <row r="129" ht="12.75" customHeight="1">
      <c r="A129" s="35"/>
      <c r="B129" s="37">
        <v>125.0</v>
      </c>
      <c r="C129" s="38">
        <f t="shared" si="2"/>
        <v>-28.67882182</v>
      </c>
      <c r="D129" s="38">
        <f t="shared" si="3"/>
        <v>-40.95760221</v>
      </c>
      <c r="E129" s="38">
        <f>'演算'!U129</f>
        <v>-11.74179582</v>
      </c>
      <c r="F129" s="38">
        <f t="shared" si="4"/>
        <v>11.74179582</v>
      </c>
      <c r="G129" s="38">
        <f t="shared" si="5"/>
        <v>-567.1698639</v>
      </c>
      <c r="H129" s="38">
        <f t="shared" si="6"/>
        <v>-152.88346</v>
      </c>
      <c r="I129" s="39">
        <f t="shared" si="7"/>
        <v>587.4138293</v>
      </c>
      <c r="J129" s="38">
        <f t="shared" si="8"/>
        <v>-15.08580706</v>
      </c>
      <c r="K129" s="38" t="str">
        <f t="shared" si="9"/>
        <v/>
      </c>
      <c r="L129" s="38">
        <f t="shared" si="10"/>
        <v>1</v>
      </c>
      <c r="M129" s="38">
        <f t="shared" si="11"/>
        <v>164.9141929</v>
      </c>
      <c r="N129" s="39">
        <f t="shared" si="12"/>
        <v>114.9141929</v>
      </c>
      <c r="O129" s="39">
        <f t="shared" si="13"/>
        <v>-247.4542361</v>
      </c>
      <c r="P129" s="39">
        <f t="shared" si="14"/>
        <v>-532.7489163</v>
      </c>
      <c r="Q129" s="38">
        <f t="shared" si="15"/>
        <v>-344.1458618</v>
      </c>
      <c r="R129" s="38">
        <f t="shared" si="16"/>
        <v>491.4912266</v>
      </c>
      <c r="S129" s="40">
        <v>125.0</v>
      </c>
      <c r="T129" s="37">
        <f t="shared" si="17"/>
        <v>43.25820418</v>
      </c>
      <c r="U129" s="37">
        <f t="shared" si="18"/>
        <v>-11.74179582</v>
      </c>
      <c r="V129" s="37">
        <f t="shared" si="23"/>
        <v>0.2481770191</v>
      </c>
      <c r="W129" s="37">
        <f>'入力・結果'!$I$7/V129</f>
        <v>1299475.677</v>
      </c>
      <c r="X129" s="39">
        <f>(W129/I129*10)*'入力・結果'!$I$8</f>
        <v>13273.18779</v>
      </c>
      <c r="Y129" s="38">
        <f>DEGREES(ACOS(('入力・結果'!$G$3-('入力・結果'!$G$4*COS(RADIANS(S129))))/((('入力・結果'!$G$3^2)+('入力・結果'!$G$4^2)-(2*'入力・結果'!$G$3*'入力・結果'!$G$4*COS(RADIANS(S129))))^(1/2))))</f>
        <v>34.9148994</v>
      </c>
      <c r="Z129" s="38">
        <f>DEGREES(ACOS((('入力・結果'!$G$3^2)+('入力・結果'!$G$4^2)-('入力・結果'!$G$5^2)+('入力・結果'!$G$6^2)-(2*'入力・結果'!$G$3*'入力・結果'!$G$4*COS(RADIANS(S129))))/(2*'入力・結果'!$G$6*(('入力・結果'!$G$3^2)+('入力・結果'!$G$4^2)-(2*'入力・結果'!$G$3*'入力・結果'!$G$4*(COS(RADIANS(S129)))))^(1/2))))</f>
        <v>30.39390022</v>
      </c>
      <c r="AA129" s="38">
        <f>DEGREES(ACOS(('入力・結果'!$G$4-('入力・結果'!$G$3*COS(RADIANS(S129))))/((('入力・結果'!$G$3^2)+('入力・結果'!$G$4^2)-(2*'入力・結果'!$G$3*'入力・結果'!$G$4*COS(RADIANS(S129))))^(1/2))))</f>
        <v>20.0851006</v>
      </c>
      <c r="AB129" s="38">
        <f>DEGREES(ACOS((('入力・結果'!$G$3^2)+('入力・結果'!$G$4^2)+('入力・結果'!$G$5^2)-('入力・結果'!$G$6^2)-(2*'入力・結果'!$G$3*'入力・結果'!$G$4*COS(RADIANS(S129))))/(2*'入力・結果'!$G$5*(('入力・結果'!$G$3^2)+('入力・結果'!$G$4^2)-(2*'入力・結果'!$G$3*'入力・結果'!$G$4*(COS(RADIANS(S129)))))^(1/2))))</f>
        <v>23.17310358</v>
      </c>
      <c r="AC129" s="37">
        <f t="shared" si="19"/>
        <v>9973.187786</v>
      </c>
      <c r="AD129" s="37">
        <f t="shared" si="20"/>
        <v>9973.187786</v>
      </c>
      <c r="AE129" s="37" t="str">
        <f t="shared" si="21"/>
        <v/>
      </c>
      <c r="AF129" s="37" t="str">
        <f t="shared" si="22"/>
        <v/>
      </c>
      <c r="AG129" s="35"/>
      <c r="AH129" s="35"/>
      <c r="AI129" s="35"/>
      <c r="AJ129" s="35">
        <v>126.0</v>
      </c>
      <c r="AK129" s="35">
        <f t="shared" si="1"/>
        <v>4.063011141</v>
      </c>
    </row>
    <row r="130" ht="12.75" customHeight="1">
      <c r="A130" s="35"/>
      <c r="B130" s="37">
        <v>126.0</v>
      </c>
      <c r="C130" s="38">
        <f t="shared" si="2"/>
        <v>-29.38926261</v>
      </c>
      <c r="D130" s="38">
        <f t="shared" si="3"/>
        <v>-40.45084972</v>
      </c>
      <c r="E130" s="38">
        <f>'演算'!U130</f>
        <v>-11.49567294</v>
      </c>
      <c r="F130" s="38">
        <f t="shared" si="4"/>
        <v>11.49567294</v>
      </c>
      <c r="G130" s="38">
        <f t="shared" si="5"/>
        <v>-568.3561297</v>
      </c>
      <c r="H130" s="38">
        <f t="shared" si="6"/>
        <v>-150.0625104</v>
      </c>
      <c r="I130" s="39">
        <f t="shared" si="7"/>
        <v>587.8328395</v>
      </c>
      <c r="J130" s="38">
        <f t="shared" si="8"/>
        <v>-14.79023185</v>
      </c>
      <c r="K130" s="38" t="str">
        <f t="shared" si="9"/>
        <v/>
      </c>
      <c r="L130" s="38">
        <f t="shared" si="10"/>
        <v>1</v>
      </c>
      <c r="M130" s="38">
        <f t="shared" si="11"/>
        <v>165.2097682</v>
      </c>
      <c r="N130" s="39">
        <f t="shared" si="12"/>
        <v>115.2097682</v>
      </c>
      <c r="O130" s="39">
        <f t="shared" si="13"/>
        <v>-250.3777259</v>
      </c>
      <c r="P130" s="39">
        <f t="shared" si="14"/>
        <v>-531.8443773</v>
      </c>
      <c r="Q130" s="38">
        <f t="shared" si="15"/>
        <v>-352.6711514</v>
      </c>
      <c r="R130" s="38">
        <f t="shared" si="16"/>
        <v>485.4101966</v>
      </c>
      <c r="S130" s="40">
        <v>126.0</v>
      </c>
      <c r="T130" s="37">
        <f t="shared" si="17"/>
        <v>42.50432706</v>
      </c>
      <c r="U130" s="37">
        <f t="shared" si="18"/>
        <v>-11.49567294</v>
      </c>
      <c r="V130" s="37">
        <f t="shared" si="23"/>
        <v>0.2461228791</v>
      </c>
      <c r="W130" s="37">
        <f>'入力・結果'!$I$7/V130</f>
        <v>1310321.093</v>
      </c>
      <c r="X130" s="39">
        <f>(W130/I130*10)*'入力・結果'!$I$8</f>
        <v>13374.42557</v>
      </c>
      <c r="Y130" s="38">
        <f>DEGREES(ACOS(('入力・結果'!$G$3-('入力・結果'!$G$4*COS(RADIANS(S130))))/((('入力・結果'!$G$3^2)+('入力・結果'!$G$4^2)-(2*'入力・結果'!$G$3*'入力・結果'!$G$4*COS(RADIANS(S130))))^(1/2))))</f>
        <v>34.25931965</v>
      </c>
      <c r="Z130" s="38">
        <f>DEGREES(ACOS((('入力・結果'!$G$3^2)+('入力・結果'!$G$4^2)-('入力・結果'!$G$5^2)+('入力・結果'!$G$6^2)-(2*'入力・結果'!$G$3*'入力・結果'!$G$4*COS(RADIANS(S130))))/(2*'入力・結果'!$G$6*(('入力・結果'!$G$3^2)+('入力・結果'!$G$4^2)-(2*'入力・結果'!$G$3*'入力・結果'!$G$4*(COS(RADIANS(S130)))))^(1/2))))</f>
        <v>29.83356306</v>
      </c>
      <c r="AA130" s="38">
        <f>DEGREES(ACOS(('入力・結果'!$G$4-('入力・結果'!$G$3*COS(RADIANS(S130))))/((('入力・結果'!$G$3^2)+('入力・結果'!$G$4^2)-(2*'入力・結果'!$G$3*'入力・結果'!$G$4*COS(RADIANS(S130))))^(1/2))))</f>
        <v>19.74068035</v>
      </c>
      <c r="AB130" s="38">
        <f>DEGREES(ACOS((('入力・結果'!$G$3^2)+('入力・結果'!$G$4^2)+('入力・結果'!$G$5^2)-('入力・結果'!$G$6^2)-(2*'入力・結果'!$G$3*'入力・結果'!$G$4*COS(RADIANS(S130))))/(2*'入力・結果'!$G$5*(('入力・結果'!$G$3^2)+('入力・結果'!$G$4^2)-(2*'入力・結果'!$G$3*'入力・結果'!$G$4*(COS(RADIANS(S130)))))^(1/2))))</f>
        <v>22.7636467</v>
      </c>
      <c r="AC130" s="37">
        <f t="shared" si="19"/>
        <v>10074.42557</v>
      </c>
      <c r="AD130" s="37">
        <f t="shared" si="20"/>
        <v>10074.42557</v>
      </c>
      <c r="AE130" s="37" t="str">
        <f t="shared" si="21"/>
        <v/>
      </c>
      <c r="AF130" s="37" t="str">
        <f t="shared" si="22"/>
        <v/>
      </c>
      <c r="AG130" s="35"/>
      <c r="AH130" s="35"/>
      <c r="AI130" s="35"/>
      <c r="AJ130" s="35">
        <v>127.0</v>
      </c>
      <c r="AK130" s="35">
        <f t="shared" si="1"/>
        <v>4.096224436</v>
      </c>
    </row>
    <row r="131" ht="12.75" customHeight="1">
      <c r="A131" s="35"/>
      <c r="B131" s="37">
        <v>127.0</v>
      </c>
      <c r="C131" s="38">
        <f t="shared" si="2"/>
        <v>-30.09075116</v>
      </c>
      <c r="D131" s="38">
        <f t="shared" si="3"/>
        <v>-39.9317755</v>
      </c>
      <c r="E131" s="38">
        <f>'演算'!U131</f>
        <v>-11.25154569</v>
      </c>
      <c r="F131" s="38">
        <f t="shared" si="4"/>
        <v>11.25154569</v>
      </c>
      <c r="G131" s="38">
        <f t="shared" si="5"/>
        <v>-569.5197605</v>
      </c>
      <c r="H131" s="38">
        <f t="shared" si="6"/>
        <v>-147.2460051</v>
      </c>
      <c r="I131" s="39">
        <f t="shared" si="7"/>
        <v>588.246669</v>
      </c>
      <c r="J131" s="38">
        <f t="shared" si="8"/>
        <v>-14.49605647</v>
      </c>
      <c r="K131" s="38" t="str">
        <f t="shared" si="9"/>
        <v/>
      </c>
      <c r="L131" s="38">
        <f t="shared" si="10"/>
        <v>1</v>
      </c>
      <c r="M131" s="38">
        <f t="shared" si="11"/>
        <v>165.5039435</v>
      </c>
      <c r="N131" s="39">
        <f t="shared" si="12"/>
        <v>115.5039435</v>
      </c>
      <c r="O131" s="39">
        <f t="shared" si="13"/>
        <v>-253.2832616</v>
      </c>
      <c r="P131" s="39">
        <f t="shared" si="14"/>
        <v>-530.9253554</v>
      </c>
      <c r="Q131" s="38">
        <f t="shared" si="15"/>
        <v>-361.0890139</v>
      </c>
      <c r="R131" s="38">
        <f t="shared" si="16"/>
        <v>479.181306</v>
      </c>
      <c r="S131" s="40">
        <v>127.0</v>
      </c>
      <c r="T131" s="37">
        <f t="shared" si="17"/>
        <v>41.74845431</v>
      </c>
      <c r="U131" s="37">
        <f t="shared" si="18"/>
        <v>-11.25154569</v>
      </c>
      <c r="V131" s="37">
        <f t="shared" si="23"/>
        <v>0.2441272483</v>
      </c>
      <c r="W131" s="37">
        <f>'入力・結果'!$I$7/V131</f>
        <v>1321032.38</v>
      </c>
      <c r="X131" s="39">
        <f>(W131/I131*10)*'入力・結果'!$I$8</f>
        <v>13474.26972</v>
      </c>
      <c r="Y131" s="38">
        <f>DEGREES(ACOS(('入力・結果'!$G$3-('入力・結果'!$G$4*COS(RADIANS(S131))))/((('入力・結果'!$G$3^2)+('入力・結果'!$G$4^2)-(2*'入力・結果'!$G$3*'入力・結果'!$G$4*COS(RADIANS(S131))))^(1/2))))</f>
        <v>33.60501108</v>
      </c>
      <c r="Z131" s="38">
        <f>DEGREES(ACOS((('入力・結果'!$G$3^2)+('入力・結果'!$G$4^2)-('入力・結果'!$G$5^2)+('入力・結果'!$G$6^2)-(2*'入力・結果'!$G$3*'入力・結果'!$G$4*COS(RADIANS(S131))))/(2*'入力・結果'!$G$6*(('入力・結果'!$G$3^2)+('入力・結果'!$G$4^2)-(2*'入力・結果'!$G$3*'入力・結果'!$G$4*(COS(RADIANS(S131)))))^(1/2))))</f>
        <v>29.27369481</v>
      </c>
      <c r="AA131" s="38">
        <f>DEGREES(ACOS(('入力・結果'!$G$4-('入力・結果'!$G$3*COS(RADIANS(S131))))/((('入力・結果'!$G$3^2)+('入力・結果'!$G$4^2)-(2*'入力・結果'!$G$3*'入力・結果'!$G$4*COS(RADIANS(S131))))^(1/2))))</f>
        <v>19.39498892</v>
      </c>
      <c r="AB131" s="38">
        <f>DEGREES(ACOS((('入力・結果'!$G$3^2)+('入力・結果'!$G$4^2)+('入力・結果'!$G$5^2)-('入力・結果'!$G$6^2)-(2*'入力・結果'!$G$3*'入力・結果'!$G$4*COS(RADIANS(S131))))/(2*'入力・結果'!$G$5*(('入力・結果'!$G$3^2)+('入力・結果'!$G$4^2)-(2*'入力・結果'!$G$3*'入力・結果'!$G$4*(COS(RADIANS(S131)))))^(1/2))))</f>
        <v>22.35346538</v>
      </c>
      <c r="AC131" s="37">
        <f t="shared" si="19"/>
        <v>10174.26972</v>
      </c>
      <c r="AD131" s="37">
        <f t="shared" si="20"/>
        <v>10174.26972</v>
      </c>
      <c r="AE131" s="37" t="str">
        <f t="shared" si="21"/>
        <v/>
      </c>
      <c r="AF131" s="37" t="str">
        <f t="shared" si="22"/>
        <v/>
      </c>
      <c r="AG131" s="35"/>
      <c r="AH131" s="35"/>
      <c r="AI131" s="35"/>
      <c r="AJ131" s="35">
        <v>128.0</v>
      </c>
      <c r="AK131" s="35">
        <f t="shared" si="1"/>
        <v>4.1290117</v>
      </c>
    </row>
    <row r="132" ht="12.75" customHeight="1">
      <c r="A132" s="35"/>
      <c r="B132" s="37">
        <v>128.0</v>
      </c>
      <c r="C132" s="38">
        <f t="shared" si="2"/>
        <v>-30.78307377</v>
      </c>
      <c r="D132" s="38">
        <f t="shared" si="3"/>
        <v>-39.40053768</v>
      </c>
      <c r="E132" s="38">
        <f>'演算'!U132</f>
        <v>-11.00935699</v>
      </c>
      <c r="F132" s="38">
        <f t="shared" si="4"/>
        <v>11.00935699</v>
      </c>
      <c r="G132" s="38">
        <f t="shared" si="5"/>
        <v>-570.6608789</v>
      </c>
      <c r="H132" s="38">
        <f t="shared" si="6"/>
        <v>-144.4336541</v>
      </c>
      <c r="I132" s="39">
        <f t="shared" si="7"/>
        <v>588.6551785</v>
      </c>
      <c r="J132" s="38">
        <f t="shared" si="8"/>
        <v>-14.20323204</v>
      </c>
      <c r="K132" s="38" t="str">
        <f t="shared" si="9"/>
        <v/>
      </c>
      <c r="L132" s="38">
        <f t="shared" si="10"/>
        <v>1</v>
      </c>
      <c r="M132" s="38">
        <f t="shared" si="11"/>
        <v>165.796768</v>
      </c>
      <c r="N132" s="39">
        <f t="shared" si="12"/>
        <v>115.796768</v>
      </c>
      <c r="O132" s="39">
        <f t="shared" si="13"/>
        <v>-256.1711442</v>
      </c>
      <c r="P132" s="39">
        <f t="shared" si="14"/>
        <v>-529.9917585</v>
      </c>
      <c r="Q132" s="38">
        <f t="shared" si="15"/>
        <v>-369.3968852</v>
      </c>
      <c r="R132" s="38">
        <f t="shared" si="16"/>
        <v>472.8064522</v>
      </c>
      <c r="S132" s="40">
        <v>128.0</v>
      </c>
      <c r="T132" s="37">
        <f t="shared" si="17"/>
        <v>40.99064301</v>
      </c>
      <c r="U132" s="37">
        <f t="shared" si="18"/>
        <v>-11.00935699</v>
      </c>
      <c r="V132" s="37">
        <f t="shared" si="23"/>
        <v>0.2421887058</v>
      </c>
      <c r="W132" s="37">
        <f>'入力・結果'!$I$7/V132</f>
        <v>1331606.273</v>
      </c>
      <c r="X132" s="39">
        <f>(W132/I132*10)*'入力・結果'!$I$8</f>
        <v>13572.69575</v>
      </c>
      <c r="Y132" s="38">
        <f>DEGREES(ACOS(('入力・結果'!$G$3-('入力・結果'!$G$4*COS(RADIANS(S132))))/((('入力・結果'!$G$3^2)+('入力・結果'!$G$4^2)-(2*'入力・結果'!$G$3*'入力・結果'!$G$4*COS(RADIANS(S132))))^(1/2))))</f>
        <v>32.95193717</v>
      </c>
      <c r="Z132" s="38">
        <f>DEGREES(ACOS((('入力・結果'!$G$3^2)+('入力・結果'!$G$4^2)-('入力・結果'!$G$5^2)+('入力・結果'!$G$6^2)-(2*'入力・結果'!$G$3*'入力・結果'!$G$4*COS(RADIANS(S132))))/(2*'入力・結果'!$G$6*(('入力・結果'!$G$3^2)+('入力・結果'!$G$4^2)-(2*'入力・結果'!$G$3*'入力・結果'!$G$4*(COS(RADIANS(S132)))))^(1/2))))</f>
        <v>28.71428238</v>
      </c>
      <c r="AA132" s="38">
        <f>DEGREES(ACOS(('入力・結果'!$G$4-('入力・結果'!$G$3*COS(RADIANS(S132))))/((('入力・結果'!$G$3^2)+('入力・結果'!$G$4^2)-(2*'入力・結果'!$G$3*'入力・結果'!$G$4*COS(RADIANS(S132))))^(1/2))))</f>
        <v>19.04806283</v>
      </c>
      <c r="AB132" s="38">
        <f>DEGREES(ACOS((('入力・結果'!$G$3^2)+('入力・結果'!$G$4^2)+('入力・結果'!$G$5^2)-('入力・結果'!$G$6^2)-(2*'入力・結果'!$G$3*'入力・結果'!$G$4*COS(RADIANS(S132))))/(2*'入力・結果'!$G$5*(('入力・結果'!$G$3^2)+('入力・結果'!$G$4^2)-(2*'入力・結果'!$G$3*'入力・結果'!$G$4*(COS(RADIANS(S132)))))^(1/2))))</f>
        <v>21.94258018</v>
      </c>
      <c r="AC132" s="37">
        <f t="shared" si="19"/>
        <v>10272.69575</v>
      </c>
      <c r="AD132" s="37">
        <f t="shared" si="20"/>
        <v>10272.69575</v>
      </c>
      <c r="AE132" s="37" t="str">
        <f t="shared" si="21"/>
        <v/>
      </c>
      <c r="AF132" s="37" t="str">
        <f t="shared" si="22"/>
        <v/>
      </c>
      <c r="AG132" s="35"/>
      <c r="AH132" s="35"/>
      <c r="AI132" s="35"/>
      <c r="AJ132" s="35">
        <v>129.0</v>
      </c>
      <c r="AK132" s="35">
        <f t="shared" si="1"/>
        <v>4.161362937</v>
      </c>
    </row>
    <row r="133" ht="12.75" customHeight="1">
      <c r="A133" s="35"/>
      <c r="B133" s="37">
        <v>129.0</v>
      </c>
      <c r="C133" s="38">
        <f t="shared" si="2"/>
        <v>-31.46601955</v>
      </c>
      <c r="D133" s="38">
        <f t="shared" si="3"/>
        <v>-38.85729807</v>
      </c>
      <c r="E133" s="38">
        <f>'演算'!U133</f>
        <v>-10.7690511</v>
      </c>
      <c r="F133" s="38">
        <f t="shared" si="4"/>
        <v>10.7690511</v>
      </c>
      <c r="G133" s="38">
        <f t="shared" si="5"/>
        <v>-571.7795974</v>
      </c>
      <c r="H133" s="38">
        <f t="shared" si="6"/>
        <v>-141.6251802</v>
      </c>
      <c r="I133" s="39">
        <f t="shared" si="7"/>
        <v>589.0582311</v>
      </c>
      <c r="J133" s="38">
        <f t="shared" si="8"/>
        <v>-13.91171123</v>
      </c>
      <c r="K133" s="38" t="str">
        <f t="shared" si="9"/>
        <v/>
      </c>
      <c r="L133" s="38">
        <f t="shared" si="10"/>
        <v>1</v>
      </c>
      <c r="M133" s="38">
        <f t="shared" si="11"/>
        <v>166.0882888</v>
      </c>
      <c r="N133" s="39">
        <f t="shared" si="12"/>
        <v>116.0882888</v>
      </c>
      <c r="O133" s="39">
        <f t="shared" si="13"/>
        <v>-259.0416584</v>
      </c>
      <c r="P133" s="39">
        <f t="shared" si="14"/>
        <v>-529.0434943</v>
      </c>
      <c r="Q133" s="38">
        <f t="shared" si="15"/>
        <v>-377.5922346</v>
      </c>
      <c r="R133" s="38">
        <f t="shared" si="16"/>
        <v>466.2875769</v>
      </c>
      <c r="S133" s="40">
        <v>129.0</v>
      </c>
      <c r="T133" s="37">
        <f t="shared" si="17"/>
        <v>40.2309489</v>
      </c>
      <c r="U133" s="37">
        <f t="shared" si="18"/>
        <v>-10.7690511</v>
      </c>
      <c r="V133" s="37">
        <f t="shared" si="23"/>
        <v>0.2403058842</v>
      </c>
      <c r="W133" s="37">
        <f>'入力・結果'!$I$7/V133</f>
        <v>1342039.547</v>
      </c>
      <c r="X133" s="39">
        <f>(W133/I133*10)*'入力・結果'!$I$8</f>
        <v>13669.6796</v>
      </c>
      <c r="Y133" s="38">
        <f>DEGREES(ACOS(('入力・結果'!$G$3-('入力・結果'!$G$4*COS(RADIANS(S133))))/((('入力・結果'!$G$3^2)+('入力・結果'!$G$4^2)-(2*'入力・結果'!$G$3*'入力・結果'!$G$4*COS(RADIANS(S133))))^(1/2))))</f>
        <v>32.30006228</v>
      </c>
      <c r="Z133" s="38">
        <f>DEGREES(ACOS((('入力・結果'!$G$3^2)+('入力・結果'!$G$4^2)-('入力・結果'!$G$5^2)+('入力・結果'!$G$6^2)-(2*'入力・結果'!$G$3*'入力・結果'!$G$4*COS(RADIANS(S133))))/(2*'入力・結果'!$G$6*(('入力・結果'!$G$3^2)+('入力・結果'!$G$4^2)-(2*'入力・結果'!$G$3*'入力・結果'!$G$4*(COS(RADIANS(S133)))))^(1/2))))</f>
        <v>28.15531299</v>
      </c>
      <c r="AA133" s="38">
        <f>DEGREES(ACOS(('入力・結果'!$G$4-('入力・結果'!$G$3*COS(RADIANS(S133))))/((('入力・結果'!$G$3^2)+('入力・結果'!$G$4^2)-(2*'入力・結果'!$G$3*'入力・結果'!$G$4*COS(RADIANS(S133))))^(1/2))))</f>
        <v>18.69993772</v>
      </c>
      <c r="AB133" s="38">
        <f>DEGREES(ACOS((('入力・結果'!$G$3^2)+('入力・結果'!$G$4^2)+('入力・結果'!$G$5^2)-('入力・結果'!$G$6^2)-(2*'入力・結果'!$G$3*'入力・結果'!$G$4*COS(RADIANS(S133))))/(2*'入力・結果'!$G$5*(('入力・結果'!$G$3^2)+('入力・結果'!$G$4^2)-(2*'入力・結果'!$G$3*'入力・結果'!$G$4*(COS(RADIANS(S133)))))^(1/2))))</f>
        <v>21.53101118</v>
      </c>
      <c r="AC133" s="37">
        <f t="shared" si="19"/>
        <v>10369.6796</v>
      </c>
      <c r="AD133" s="37">
        <f t="shared" si="20"/>
        <v>10369.6796</v>
      </c>
      <c r="AE133" s="37" t="str">
        <f t="shared" si="21"/>
        <v/>
      </c>
      <c r="AF133" s="37" t="str">
        <f t="shared" si="22"/>
        <v/>
      </c>
      <c r="AG133" s="35"/>
      <c r="AH133" s="35"/>
      <c r="AI133" s="35"/>
      <c r="AJ133" s="35">
        <v>130.0</v>
      </c>
      <c r="AK133" s="35">
        <f t="shared" si="1"/>
        <v>4.193268281</v>
      </c>
    </row>
    <row r="134" ht="12.75" customHeight="1">
      <c r="A134" s="35"/>
      <c r="B134" s="37">
        <v>130.0</v>
      </c>
      <c r="C134" s="38">
        <f t="shared" si="2"/>
        <v>-32.13938048</v>
      </c>
      <c r="D134" s="38">
        <f t="shared" si="3"/>
        <v>-38.30222216</v>
      </c>
      <c r="E134" s="38">
        <f>'演算'!U134</f>
        <v>-10.53057363</v>
      </c>
      <c r="F134" s="38">
        <f t="shared" si="4"/>
        <v>10.53057363</v>
      </c>
      <c r="G134" s="38">
        <f t="shared" si="5"/>
        <v>-572.8760191</v>
      </c>
      <c r="H134" s="38">
        <f t="shared" si="6"/>
        <v>-138.8203183</v>
      </c>
      <c r="I134" s="39">
        <f t="shared" si="7"/>
        <v>589.455693</v>
      </c>
      <c r="J134" s="38">
        <f t="shared" si="8"/>
        <v>-13.62144819</v>
      </c>
      <c r="K134" s="38" t="str">
        <f t="shared" si="9"/>
        <v/>
      </c>
      <c r="L134" s="38">
        <f t="shared" si="10"/>
        <v>1</v>
      </c>
      <c r="M134" s="38">
        <f t="shared" si="11"/>
        <v>166.3785518</v>
      </c>
      <c r="N134" s="39">
        <f t="shared" si="12"/>
        <v>116.3785518</v>
      </c>
      <c r="O134" s="39">
        <f t="shared" si="13"/>
        <v>-261.8950736</v>
      </c>
      <c r="P134" s="39">
        <f t="shared" si="14"/>
        <v>-528.0804716</v>
      </c>
      <c r="Q134" s="38">
        <f t="shared" si="15"/>
        <v>-385.6725658</v>
      </c>
      <c r="R134" s="38">
        <f t="shared" si="16"/>
        <v>459.6266659</v>
      </c>
      <c r="S134" s="40">
        <v>130.0</v>
      </c>
      <c r="T134" s="37">
        <f t="shared" si="17"/>
        <v>39.46942637</v>
      </c>
      <c r="U134" s="37">
        <f t="shared" si="18"/>
        <v>-10.53057363</v>
      </c>
      <c r="V134" s="37">
        <f t="shared" si="23"/>
        <v>0.2384774674</v>
      </c>
      <c r="W134" s="37">
        <f>'入力・結果'!$I$7/V134</f>
        <v>1352329.021</v>
      </c>
      <c r="X134" s="39">
        <f>(W134/I134*10)*'入力・結果'!$I$8</f>
        <v>13765.19766</v>
      </c>
      <c r="Y134" s="38">
        <f>DEGREES(ACOS(('入力・結果'!$G$3-('入力・結果'!$G$4*COS(RADIANS(S134))))/((('入力・結果'!$G$3^2)+('入力・結果'!$G$4^2)-(2*'入力・結果'!$G$3*'入力・結果'!$G$4*COS(RADIANS(S134))))^(1/2))))</f>
        <v>31.64935163</v>
      </c>
      <c r="Z134" s="38">
        <f>DEGREES(ACOS((('入力・結果'!$G$3^2)+('入力・結果'!$G$4^2)-('入力・結果'!$G$5^2)+('入力・結果'!$G$6^2)-(2*'入力・結果'!$G$3*'入力・結果'!$G$4*COS(RADIANS(S134))))/(2*'入力・結果'!$G$6*(('入力・結果'!$G$3^2)+('入力・結果'!$G$4^2)-(2*'入力・結果'!$G$3*'入力・結果'!$G$4*(COS(RADIANS(S134)))))^(1/2))))</f>
        <v>27.59677414</v>
      </c>
      <c r="AA134" s="38">
        <f>DEGREES(ACOS(('入力・結果'!$G$4-('入力・結果'!$G$3*COS(RADIANS(S134))))/((('入力・結果'!$G$3^2)+('入力・結果'!$G$4^2)-(2*'入力・結果'!$G$3*'入力・結果'!$G$4*COS(RADIANS(S134))))^(1/2))))</f>
        <v>18.35064837</v>
      </c>
      <c r="AB134" s="38">
        <f>DEGREES(ACOS((('入力・結果'!$G$3^2)+('入力・結果'!$G$4^2)+('入力・結果'!$G$5^2)-('入力・結果'!$G$6^2)-(2*'入力・結果'!$G$3*'入力・結果'!$G$4*COS(RADIANS(S134))))/(2*'入力・結果'!$G$5*(('入力・結果'!$G$3^2)+('入力・結果'!$G$4^2)-(2*'入力・結果'!$G$3*'入力・結果'!$G$4*(COS(RADIANS(S134)))))^(1/2))))</f>
        <v>21.11877799</v>
      </c>
      <c r="AC134" s="37">
        <f t="shared" si="19"/>
        <v>10465.19766</v>
      </c>
      <c r="AD134" s="37">
        <f t="shared" si="20"/>
        <v>10465.19766</v>
      </c>
      <c r="AE134" s="37" t="str">
        <f t="shared" si="21"/>
        <v/>
      </c>
      <c r="AF134" s="37" t="str">
        <f t="shared" si="22"/>
        <v/>
      </c>
      <c r="AG134" s="35"/>
      <c r="AH134" s="35"/>
      <c r="AI134" s="35"/>
      <c r="AJ134" s="35">
        <v>131.0</v>
      </c>
      <c r="AK134" s="35">
        <f t="shared" si="1"/>
        <v>4.224718004</v>
      </c>
    </row>
    <row r="135" ht="12.75" customHeight="1">
      <c r="A135" s="35"/>
      <c r="B135" s="37">
        <v>131.0</v>
      </c>
      <c r="C135" s="38">
        <f t="shared" si="2"/>
        <v>-32.80295145</v>
      </c>
      <c r="D135" s="38">
        <f t="shared" si="3"/>
        <v>-37.73547901</v>
      </c>
      <c r="E135" s="38">
        <f>'演算'!U135</f>
        <v>-10.29387145</v>
      </c>
      <c r="F135" s="38">
        <f t="shared" si="4"/>
        <v>10.29387145</v>
      </c>
      <c r="G135" s="38">
        <f t="shared" si="5"/>
        <v>-573.9502381</v>
      </c>
      <c r="H135" s="38">
        <f t="shared" si="6"/>
        <v>-136.0188149</v>
      </c>
      <c r="I135" s="39">
        <f t="shared" si="7"/>
        <v>589.8474327</v>
      </c>
      <c r="J135" s="38">
        <f t="shared" si="8"/>
        <v>-13.33239851</v>
      </c>
      <c r="K135" s="38" t="str">
        <f t="shared" si="9"/>
        <v/>
      </c>
      <c r="L135" s="38">
        <f t="shared" si="10"/>
        <v>1</v>
      </c>
      <c r="M135" s="38">
        <f t="shared" si="11"/>
        <v>166.6676015</v>
      </c>
      <c r="N135" s="39">
        <f t="shared" si="12"/>
        <v>116.6676015</v>
      </c>
      <c r="O135" s="39">
        <f t="shared" si="13"/>
        <v>-264.7316443</v>
      </c>
      <c r="P135" s="39">
        <f t="shared" si="14"/>
        <v>-527.1025995</v>
      </c>
      <c r="Q135" s="38">
        <f t="shared" si="15"/>
        <v>-393.6354174</v>
      </c>
      <c r="R135" s="38">
        <f t="shared" si="16"/>
        <v>452.8257481</v>
      </c>
      <c r="S135" s="40">
        <v>131.0</v>
      </c>
      <c r="T135" s="37">
        <f t="shared" si="17"/>
        <v>38.70612855</v>
      </c>
      <c r="U135" s="37">
        <f t="shared" si="18"/>
        <v>-10.29387145</v>
      </c>
      <c r="V135" s="37">
        <f t="shared" si="23"/>
        <v>0.2367021891</v>
      </c>
      <c r="W135" s="37">
        <f>'入力・結果'!$I$7/V135</f>
        <v>1362471.556</v>
      </c>
      <c r="X135" s="39">
        <f>(W135/I135*10)*'入力・結果'!$I$8</f>
        <v>13859.22678</v>
      </c>
      <c r="Y135" s="38">
        <f>DEGREES(ACOS(('入力・結果'!$G$3-('入力・結果'!$G$4*COS(RADIANS(S135))))/((('入力・結果'!$G$3^2)+('入力・結果'!$G$4^2)-(2*'入力・結果'!$G$3*'入力・結果'!$G$4*COS(RADIANS(S135))))^(1/2))))</f>
        <v>30.99977124</v>
      </c>
      <c r="Z135" s="38">
        <f>DEGREES(ACOS((('入力・結果'!$G$3^2)+('入力・結果'!$G$4^2)-('入力・結果'!$G$5^2)+('入力・結果'!$G$6^2)-(2*'入力・結果'!$G$3*'入力・結果'!$G$4*COS(RADIANS(S135))))/(2*'入力・結果'!$G$6*(('入力・結果'!$G$3^2)+('入力・結果'!$G$4^2)-(2*'入力・結果'!$G$3*'入力・結果'!$G$4*(COS(RADIANS(S135)))))^(1/2))))</f>
        <v>27.0386536</v>
      </c>
      <c r="AA135" s="38">
        <f>DEGREES(ACOS(('入力・結果'!$G$4-('入力・結果'!$G$3*COS(RADIANS(S135))))/((('入力・結果'!$G$3^2)+('入力・結果'!$G$4^2)-(2*'入力・結果'!$G$3*'入力・結果'!$G$4*COS(RADIANS(S135))))^(1/2))))</f>
        <v>18.00022876</v>
      </c>
      <c r="AB135" s="38">
        <f>DEGREES(ACOS((('入力・結果'!$G$3^2)+('入力・結果'!$G$4^2)+('入力・結果'!$G$5^2)-('入力・結果'!$G$6^2)-(2*'入力・結果'!$G$3*'入力・結果'!$G$4*COS(RADIANS(S135))))/(2*'入力・結果'!$G$5*(('入力・結果'!$G$3^2)+('入力・結果'!$G$4^2)-(2*'入力・結果'!$G$3*'入力・結果'!$G$4*(COS(RADIANS(S135)))))^(1/2))))</f>
        <v>20.7058998</v>
      </c>
      <c r="AC135" s="37">
        <f t="shared" si="19"/>
        <v>10559.22678</v>
      </c>
      <c r="AD135" s="37">
        <f t="shared" si="20"/>
        <v>10559.22678</v>
      </c>
      <c r="AE135" s="37" t="str">
        <f t="shared" si="21"/>
        <v/>
      </c>
      <c r="AF135" s="37" t="str">
        <f t="shared" si="22"/>
        <v/>
      </c>
      <c r="AG135" s="35"/>
      <c r="AH135" s="35"/>
      <c r="AI135" s="35"/>
      <c r="AJ135" s="35">
        <v>132.0</v>
      </c>
      <c r="AK135" s="35">
        <f t="shared" si="1"/>
        <v>4.255702515</v>
      </c>
    </row>
    <row r="136" ht="12.75" customHeight="1">
      <c r="A136" s="35"/>
      <c r="B136" s="37">
        <v>132.0</v>
      </c>
      <c r="C136" s="38">
        <f t="shared" si="2"/>
        <v>-33.45653032</v>
      </c>
      <c r="D136" s="38">
        <f t="shared" si="3"/>
        <v>-37.15724127</v>
      </c>
      <c r="E136" s="38">
        <f>'演算'!U136</f>
        <v>-10.05889262</v>
      </c>
      <c r="F136" s="38">
        <f t="shared" si="4"/>
        <v>10.05889262</v>
      </c>
      <c r="G136" s="38">
        <f t="shared" si="5"/>
        <v>-575.0023401</v>
      </c>
      <c r="H136" s="38">
        <f t="shared" si="6"/>
        <v>-133.2204284</v>
      </c>
      <c r="I136" s="39">
        <f t="shared" si="7"/>
        <v>590.2333214</v>
      </c>
      <c r="J136" s="38">
        <f t="shared" si="8"/>
        <v>-13.04451916</v>
      </c>
      <c r="K136" s="38" t="str">
        <f t="shared" si="9"/>
        <v/>
      </c>
      <c r="L136" s="38">
        <f t="shared" si="10"/>
        <v>1</v>
      </c>
      <c r="M136" s="38">
        <f t="shared" si="11"/>
        <v>166.9554808</v>
      </c>
      <c r="N136" s="39">
        <f t="shared" si="12"/>
        <v>116.9554808</v>
      </c>
      <c r="O136" s="39">
        <f t="shared" si="13"/>
        <v>-267.5516109</v>
      </c>
      <c r="P136" s="39">
        <f t="shared" si="14"/>
        <v>-526.1097881</v>
      </c>
      <c r="Q136" s="38">
        <f t="shared" si="15"/>
        <v>-401.4783638</v>
      </c>
      <c r="R136" s="38">
        <f t="shared" si="16"/>
        <v>445.8868953</v>
      </c>
      <c r="S136" s="40">
        <v>132.0</v>
      </c>
      <c r="T136" s="37">
        <f t="shared" si="17"/>
        <v>37.94110738</v>
      </c>
      <c r="U136" s="37">
        <f t="shared" si="18"/>
        <v>-10.05889262</v>
      </c>
      <c r="V136" s="37">
        <f t="shared" si="23"/>
        <v>0.2349788305</v>
      </c>
      <c r="W136" s="37">
        <f>'入力・結果'!$I$7/V136</f>
        <v>1372464.061</v>
      </c>
      <c r="X136" s="39">
        <f>(W136/I136*10)*'入力・結果'!$I$8</f>
        <v>13951.74428</v>
      </c>
      <c r="Y136" s="38">
        <f>DEGREES(ACOS(('入力・結果'!$G$3-('入力・結果'!$G$4*COS(RADIANS(S136))))/((('入力・結果'!$G$3^2)+('入力・結果'!$G$4^2)-(2*'入力・結果'!$G$3*'入力・結果'!$G$4*COS(RADIANS(S136))))^(1/2))))</f>
        <v>30.35128794</v>
      </c>
      <c r="Z136" s="38">
        <f>DEGREES(ACOS((('入力・結果'!$G$3^2)+('入力・結果'!$G$4^2)-('入力・結果'!$G$5^2)+('入力・結果'!$G$6^2)-(2*'入力・結果'!$G$3*'入力・結果'!$G$4*COS(RADIANS(S136))))/(2*'入力・結果'!$G$6*(('入力・結果'!$G$3^2)+('入力・結果'!$G$4^2)-(2*'入力・結果'!$G$3*'入力・結果'!$G$4*(COS(RADIANS(S136)))))^(1/2))))</f>
        <v>26.48093938</v>
      </c>
      <c r="AA136" s="38">
        <f>DEGREES(ACOS(('入力・結果'!$G$4-('入力・結果'!$G$3*COS(RADIANS(S136))))/((('入力・結果'!$G$3^2)+('入力・結果'!$G$4^2)-(2*'入力・結果'!$G$3*'入力・結果'!$G$4*COS(RADIANS(S136))))^(1/2))))</f>
        <v>17.64871206</v>
      </c>
      <c r="AB136" s="38">
        <f>DEGREES(ACOS((('入力・結果'!$G$3^2)+('入力・結果'!$G$4^2)+('入力・結果'!$G$5^2)-('入力・結果'!$G$6^2)-(2*'入力・結果'!$G$3*'入力・結果'!$G$4*COS(RADIANS(S136))))/(2*'入力・結果'!$G$5*(('入力・結果'!$G$3^2)+('入力・結果'!$G$4^2)-(2*'入力・結果'!$G$3*'入力・結果'!$G$4*(COS(RADIANS(S136)))))^(1/2))))</f>
        <v>20.29239532</v>
      </c>
      <c r="AC136" s="37">
        <f t="shared" si="19"/>
        <v>10651.74428</v>
      </c>
      <c r="AD136" s="37">
        <f t="shared" si="20"/>
        <v>10651.74428</v>
      </c>
      <c r="AE136" s="37" t="str">
        <f t="shared" si="21"/>
        <v/>
      </c>
      <c r="AF136" s="37" t="str">
        <f t="shared" si="22"/>
        <v/>
      </c>
      <c r="AG136" s="35"/>
      <c r="AH136" s="35"/>
      <c r="AI136" s="35"/>
      <c r="AJ136" s="35">
        <v>133.0</v>
      </c>
      <c r="AK136" s="35">
        <f t="shared" si="1"/>
        <v>4.286212368</v>
      </c>
    </row>
    <row r="137" ht="12.75" customHeight="1">
      <c r="A137" s="35"/>
      <c r="B137" s="37">
        <v>133.0</v>
      </c>
      <c r="C137" s="38">
        <f t="shared" si="2"/>
        <v>-34.099918</v>
      </c>
      <c r="D137" s="38">
        <f t="shared" si="3"/>
        <v>-36.56768508</v>
      </c>
      <c r="E137" s="38">
        <f>'演算'!U137</f>
        <v>-9.825586397</v>
      </c>
      <c r="F137" s="38">
        <f t="shared" si="4"/>
        <v>9.825586397</v>
      </c>
      <c r="G137" s="38">
        <f t="shared" si="5"/>
        <v>-576.0324027</v>
      </c>
      <c r="H137" s="38">
        <f t="shared" si="6"/>
        <v>-130.4249281</v>
      </c>
      <c r="I137" s="39">
        <f t="shared" si="7"/>
        <v>590.6132328</v>
      </c>
      <c r="J137" s="38">
        <f t="shared" si="8"/>
        <v>-12.75776844</v>
      </c>
      <c r="K137" s="38" t="str">
        <f t="shared" si="9"/>
        <v/>
      </c>
      <c r="L137" s="38">
        <f t="shared" si="10"/>
        <v>1</v>
      </c>
      <c r="M137" s="38">
        <f t="shared" si="11"/>
        <v>167.2422316</v>
      </c>
      <c r="N137" s="39">
        <f t="shared" si="12"/>
        <v>117.2422316</v>
      </c>
      <c r="O137" s="39">
        <f t="shared" si="13"/>
        <v>-270.3551998</v>
      </c>
      <c r="P137" s="39">
        <f t="shared" si="14"/>
        <v>-525.1019489</v>
      </c>
      <c r="Q137" s="38">
        <f t="shared" si="15"/>
        <v>-409.199016</v>
      </c>
      <c r="R137" s="38">
        <f t="shared" si="16"/>
        <v>438.812221</v>
      </c>
      <c r="S137" s="40">
        <v>133.0</v>
      </c>
      <c r="T137" s="37">
        <f t="shared" si="17"/>
        <v>37.1744136</v>
      </c>
      <c r="U137" s="37">
        <f t="shared" si="18"/>
        <v>-9.825586397</v>
      </c>
      <c r="V137" s="37">
        <f t="shared" si="23"/>
        <v>0.2333062187</v>
      </c>
      <c r="W137" s="37">
        <f>'入力・結果'!$I$7/V137</f>
        <v>1382303.489</v>
      </c>
      <c r="X137" s="39">
        <f>(W137/I137*10)*'入力・結果'!$I$8</f>
        <v>14042.72792</v>
      </c>
      <c r="Y137" s="38">
        <f>DEGREES(ACOS(('入力・結果'!$G$3-('入力・結果'!$G$4*COS(RADIANS(S137))))/((('入力・結果'!$G$3^2)+('入力・結果'!$G$4^2)-(2*'入力・結果'!$G$3*'入力・結果'!$G$4*COS(RADIANS(S137))))^(1/2))))</f>
        <v>29.70386929</v>
      </c>
      <c r="Z137" s="38">
        <f>DEGREES(ACOS((('入力・結果'!$G$3^2)+('入力・結果'!$G$4^2)-('入力・結果'!$G$5^2)+('入力・結果'!$G$6^2)-(2*'入力・結果'!$G$3*'入力・結果'!$G$4*COS(RADIANS(S137))))/(2*'入力・結果'!$G$6*(('入力・結果'!$G$3^2)+('入力・結果'!$G$4^2)-(2*'入力・結果'!$G$3*'入力・結果'!$G$4*(COS(RADIANS(S137)))))^(1/2))))</f>
        <v>25.92361978</v>
      </c>
      <c r="AA137" s="38">
        <f>DEGREES(ACOS(('入力・結果'!$G$4-('入力・結果'!$G$3*COS(RADIANS(S137))))/((('入力・結果'!$G$3^2)+('入力・結果'!$G$4^2)-(2*'入力・結果'!$G$3*'入力・結果'!$G$4*COS(RADIANS(S137))))^(1/2))))</f>
        <v>17.29613071</v>
      </c>
      <c r="AB137" s="38">
        <f>DEGREES(ACOS((('入力・結果'!$G$3^2)+('入力・結果'!$G$4^2)+('入力・結果'!$G$5^2)-('入力・結果'!$G$6^2)-(2*'入力・結果'!$G$3*'入力・結果'!$G$4*COS(RADIANS(S137))))/(2*'入力・結果'!$G$5*(('入力・結果'!$G$3^2)+('入力・結果'!$G$4^2)-(2*'入力・結果'!$G$3*'入力・結果'!$G$4*(COS(RADIANS(S137)))))^(1/2))))</f>
        <v>19.8782829</v>
      </c>
      <c r="AC137" s="37">
        <f t="shared" si="19"/>
        <v>10742.72792</v>
      </c>
      <c r="AD137" s="37">
        <f t="shared" si="20"/>
        <v>10742.72792</v>
      </c>
      <c r="AE137" s="37" t="str">
        <f t="shared" si="21"/>
        <v/>
      </c>
      <c r="AF137" s="37" t="str">
        <f t="shared" si="22"/>
        <v/>
      </c>
      <c r="AG137" s="35"/>
      <c r="AH137" s="35"/>
      <c r="AI137" s="35"/>
      <c r="AJ137" s="35">
        <v>134.0</v>
      </c>
      <c r="AK137" s="35">
        <f t="shared" si="1"/>
        <v>4.31623826</v>
      </c>
    </row>
    <row r="138" ht="12.75" customHeight="1">
      <c r="A138" s="35"/>
      <c r="B138" s="37">
        <v>134.0</v>
      </c>
      <c r="C138" s="38">
        <f t="shared" si="2"/>
        <v>-34.73291852</v>
      </c>
      <c r="D138" s="38">
        <f t="shared" si="3"/>
        <v>-35.96699002</v>
      </c>
      <c r="E138" s="38">
        <f>'演算'!U138</f>
        <v>-9.593903172</v>
      </c>
      <c r="F138" s="38">
        <f t="shared" si="4"/>
        <v>9.593903172</v>
      </c>
      <c r="G138" s="38">
        <f t="shared" si="5"/>
        <v>-577.040496</v>
      </c>
      <c r="H138" s="38">
        <f t="shared" si="6"/>
        <v>-127.6320944</v>
      </c>
      <c r="I138" s="39">
        <f t="shared" si="7"/>
        <v>590.9870435</v>
      </c>
      <c r="J138" s="38">
        <f t="shared" si="8"/>
        <v>-12.47210594</v>
      </c>
      <c r="K138" s="38" t="str">
        <f t="shared" si="9"/>
        <v/>
      </c>
      <c r="L138" s="38">
        <f t="shared" si="10"/>
        <v>1</v>
      </c>
      <c r="M138" s="38">
        <f t="shared" si="11"/>
        <v>167.5278941</v>
      </c>
      <c r="N138" s="39">
        <f t="shared" si="12"/>
        <v>117.5278941</v>
      </c>
      <c r="O138" s="39">
        <f t="shared" si="13"/>
        <v>-273.1426244</v>
      </c>
      <c r="P138" s="39">
        <f t="shared" si="14"/>
        <v>-524.0789943</v>
      </c>
      <c r="Q138" s="38">
        <f t="shared" si="15"/>
        <v>-416.7950223</v>
      </c>
      <c r="R138" s="38">
        <f t="shared" si="16"/>
        <v>431.6038802</v>
      </c>
      <c r="S138" s="40">
        <v>134.0</v>
      </c>
      <c r="T138" s="37">
        <f t="shared" si="17"/>
        <v>36.40609683</v>
      </c>
      <c r="U138" s="37">
        <f t="shared" si="18"/>
        <v>-9.593903172</v>
      </c>
      <c r="V138" s="37">
        <f t="shared" si="23"/>
        <v>0.231683225</v>
      </c>
      <c r="W138" s="37">
        <f>'入力・結果'!$I$7/V138</f>
        <v>1391986.839</v>
      </c>
      <c r="X138" s="39">
        <f>(W138/I138*10)*'入力・結果'!$I$8</f>
        <v>14132.1559</v>
      </c>
      <c r="Y138" s="38">
        <f>DEGREES(ACOS(('入力・結果'!$G$3-('入力・結果'!$G$4*COS(RADIANS(S138))))/((('入力・結果'!$G$3^2)+('入力・結果'!$G$4^2)-(2*'入力・結果'!$G$3*'入力・結果'!$G$4*COS(RADIANS(S138))))^(1/2))))</f>
        <v>29.05748362</v>
      </c>
      <c r="Z138" s="38">
        <f>DEGREES(ACOS((('入力・結果'!$G$3^2)+('入力・結果'!$G$4^2)-('入力・結果'!$G$5^2)+('入力・結果'!$G$6^2)-(2*'入力・結果'!$G$3*'入力・結果'!$G$4*COS(RADIANS(S138))))/(2*'入力・結果'!$G$6*(('入力・結果'!$G$3^2)+('入力・結果'!$G$4^2)-(2*'入力・結果'!$G$3*'入力・結果'!$G$4*(COS(RADIANS(S138)))))^(1/2))))</f>
        <v>25.36668333</v>
      </c>
      <c r="AA138" s="38">
        <f>DEGREES(ACOS(('入力・結果'!$G$4-('入力・結果'!$G$3*COS(RADIANS(S138))))/((('入力・結果'!$G$3^2)+('入力・結果'!$G$4^2)-(2*'入力・結果'!$G$3*'入力・結果'!$G$4*COS(RADIANS(S138))))^(1/2))))</f>
        <v>16.94251638</v>
      </c>
      <c r="AB138" s="38">
        <f>DEGREES(ACOS((('入力・結果'!$G$3^2)+('入力・結果'!$G$4^2)+('入力・結果'!$G$5^2)-('入力・結果'!$G$6^2)-(2*'入力・結果'!$G$3*'入力・結果'!$G$4*COS(RADIANS(S138))))/(2*'入力・結果'!$G$5*(('入力・結果'!$G$3^2)+('入力・結果'!$G$4^2)-(2*'入力・結果'!$G$3*'入力・結果'!$G$4*(COS(RADIANS(S138)))))^(1/2))))</f>
        <v>19.46358044</v>
      </c>
      <c r="AC138" s="37">
        <f t="shared" si="19"/>
        <v>10832.1559</v>
      </c>
      <c r="AD138" s="37">
        <f t="shared" si="20"/>
        <v>10832.1559</v>
      </c>
      <c r="AE138" s="37" t="str">
        <f t="shared" si="21"/>
        <v/>
      </c>
      <c r="AF138" s="37" t="str">
        <f t="shared" si="22"/>
        <v/>
      </c>
      <c r="AG138" s="35"/>
      <c r="AH138" s="35"/>
      <c r="AI138" s="35"/>
      <c r="AJ138" s="35">
        <v>135.0</v>
      </c>
      <c r="AK138" s="35">
        <f t="shared" si="1"/>
        <v>4.345771036</v>
      </c>
    </row>
    <row r="139" ht="12.75" customHeight="1">
      <c r="A139" s="35"/>
      <c r="B139" s="37">
        <v>135.0</v>
      </c>
      <c r="C139" s="38">
        <f t="shared" si="2"/>
        <v>-35.35533906</v>
      </c>
      <c r="D139" s="38">
        <f t="shared" si="3"/>
        <v>-35.35533906</v>
      </c>
      <c r="E139" s="38">
        <f>'演算'!U139</f>
        <v>-9.363794408</v>
      </c>
      <c r="F139" s="38">
        <f t="shared" si="4"/>
        <v>9.363794408</v>
      </c>
      <c r="G139" s="38">
        <f t="shared" si="5"/>
        <v>-578.0266833</v>
      </c>
      <c r="H139" s="38">
        <f t="shared" si="6"/>
        <v>-124.8417185</v>
      </c>
      <c r="I139" s="39">
        <f t="shared" si="7"/>
        <v>591.3546325</v>
      </c>
      <c r="J139" s="38">
        <f t="shared" si="8"/>
        <v>-12.18749247</v>
      </c>
      <c r="K139" s="38" t="str">
        <f t="shared" si="9"/>
        <v/>
      </c>
      <c r="L139" s="38">
        <f t="shared" si="10"/>
        <v>1</v>
      </c>
      <c r="M139" s="38">
        <f t="shared" si="11"/>
        <v>167.8125075</v>
      </c>
      <c r="N139" s="39">
        <f t="shared" si="12"/>
        <v>117.8125075</v>
      </c>
      <c r="O139" s="39">
        <f t="shared" si="13"/>
        <v>-275.9140854</v>
      </c>
      <c r="P139" s="39">
        <f t="shared" si="14"/>
        <v>-523.0408386</v>
      </c>
      <c r="Q139" s="38">
        <f t="shared" si="15"/>
        <v>-424.2640687</v>
      </c>
      <c r="R139" s="38">
        <f t="shared" si="16"/>
        <v>424.2640687</v>
      </c>
      <c r="S139" s="40">
        <v>135.0</v>
      </c>
      <c r="T139" s="37">
        <f t="shared" si="17"/>
        <v>35.63620559</v>
      </c>
      <c r="U139" s="37">
        <f t="shared" si="18"/>
        <v>-9.363794408</v>
      </c>
      <c r="V139" s="37">
        <f t="shared" si="23"/>
        <v>0.2301087636</v>
      </c>
      <c r="W139" s="37">
        <f>'入力・結果'!$I$7/V139</f>
        <v>1401511.159</v>
      </c>
      <c r="X139" s="39">
        <f>(W139/I139*10)*'入力・結果'!$I$8</f>
        <v>14220.0069</v>
      </c>
      <c r="Y139" s="38">
        <f>DEGREES(ACOS(('入力・結果'!$G$3-('入力・結果'!$G$4*COS(RADIANS(S139))))/((('入力・結果'!$G$3^2)+('入力・結果'!$G$4^2)-(2*'入力・結果'!$G$3*'入力・結果'!$G$4*COS(RADIANS(S139))))^(1/2))))</f>
        <v>28.41209991</v>
      </c>
      <c r="Z139" s="38">
        <f>DEGREES(ACOS((('入力・結果'!$G$3^2)+('入力・結果'!$G$4^2)-('入力・結果'!$G$5^2)+('入力・結果'!$G$6^2)-(2*'入力・結果'!$G$3*'入力・結果'!$G$4*COS(RADIANS(S139))))/(2*'入力・結果'!$G$6*(('入力・結果'!$G$3^2)+('入力・結果'!$G$4^2)-(2*'入力・結果'!$G$3*'入力・結果'!$G$4*(COS(RADIANS(S139)))))^(1/2))))</f>
        <v>24.81011878</v>
      </c>
      <c r="AA139" s="38">
        <f>DEGREES(ACOS(('入力・結果'!$G$4-('入力・結果'!$G$3*COS(RADIANS(S139))))/((('入力・結果'!$G$3^2)+('入力・結果'!$G$4^2)-(2*'入力・結果'!$G$3*'入力・結果'!$G$4*COS(RADIANS(S139))))^(1/2))))</f>
        <v>16.58790009</v>
      </c>
      <c r="AB139" s="38">
        <f>DEGREES(ACOS((('入力・結果'!$G$3^2)+('入力・結果'!$G$4^2)+('入力・結果'!$G$5^2)-('入力・結果'!$G$6^2)-(2*'入力・結果'!$G$3*'入力・結果'!$G$4*COS(RADIANS(S139))))/(2*'入力・結果'!$G$5*(('入力・結果'!$G$3^2)+('入力・結果'!$G$4^2)-(2*'入力・結果'!$G$3*'入力・結果'!$G$4*(COS(RADIANS(S139)))))^(1/2))))</f>
        <v>19.0483055</v>
      </c>
      <c r="AC139" s="37">
        <f t="shared" si="19"/>
        <v>10920.0069</v>
      </c>
      <c r="AD139" s="37">
        <f t="shared" si="20"/>
        <v>10920.0069</v>
      </c>
      <c r="AE139" s="37" t="str">
        <f t="shared" si="21"/>
        <v/>
      </c>
      <c r="AF139" s="37" t="str">
        <f t="shared" si="22"/>
        <v/>
      </c>
      <c r="AG139" s="35"/>
      <c r="AH139" s="35"/>
      <c r="AI139" s="35"/>
      <c r="AJ139" s="35">
        <v>136.0</v>
      </c>
      <c r="AK139" s="35">
        <f t="shared" si="1"/>
        <v>4.374801691</v>
      </c>
    </row>
    <row r="140" ht="12.75" customHeight="1">
      <c r="A140" s="35"/>
      <c r="B140" s="37">
        <v>136.0</v>
      </c>
      <c r="C140" s="38">
        <f t="shared" si="2"/>
        <v>-35.96699002</v>
      </c>
      <c r="D140" s="38">
        <f t="shared" si="3"/>
        <v>-34.73291852</v>
      </c>
      <c r="E140" s="38">
        <f>'演算'!U140</f>
        <v>-9.135212618</v>
      </c>
      <c r="F140" s="38">
        <f t="shared" si="4"/>
        <v>9.135212618</v>
      </c>
      <c r="G140" s="38">
        <f t="shared" si="5"/>
        <v>-578.9910211</v>
      </c>
      <c r="H140" s="38">
        <f t="shared" si="6"/>
        <v>-122.0536016</v>
      </c>
      <c r="I140" s="39">
        <f t="shared" si="7"/>
        <v>591.7158813</v>
      </c>
      <c r="J140" s="38">
        <f t="shared" si="8"/>
        <v>-11.90389004</v>
      </c>
      <c r="K140" s="38" t="str">
        <f t="shared" si="9"/>
        <v/>
      </c>
      <c r="L140" s="38">
        <f t="shared" si="10"/>
        <v>1</v>
      </c>
      <c r="M140" s="38">
        <f t="shared" si="11"/>
        <v>168.09611</v>
      </c>
      <c r="N140" s="39">
        <f t="shared" si="12"/>
        <v>118.09611</v>
      </c>
      <c r="O140" s="39">
        <f t="shared" si="13"/>
        <v>-278.6697712</v>
      </c>
      <c r="P140" s="39">
        <f t="shared" si="14"/>
        <v>-521.9873971</v>
      </c>
      <c r="Q140" s="38">
        <f t="shared" si="15"/>
        <v>-431.6038802</v>
      </c>
      <c r="R140" s="38">
        <f t="shared" si="16"/>
        <v>416.7950223</v>
      </c>
      <c r="S140" s="40">
        <v>136.0</v>
      </c>
      <c r="T140" s="37">
        <f t="shared" si="17"/>
        <v>34.86478738</v>
      </c>
      <c r="U140" s="37">
        <f t="shared" si="18"/>
        <v>-9.135212618</v>
      </c>
      <c r="V140" s="37">
        <f t="shared" si="23"/>
        <v>0.2285817897</v>
      </c>
      <c r="W140" s="37">
        <f>'入力・結果'!$I$7/V140</f>
        <v>1410873.545</v>
      </c>
      <c r="X140" s="39">
        <f>(W140/I140*10)*'入力・結果'!$I$8</f>
        <v>14306.26005</v>
      </c>
      <c r="Y140" s="38">
        <f>DEGREES(ACOS(('入力・結果'!$G$3-('入力・結果'!$G$4*COS(RADIANS(S140))))/((('入力・結果'!$G$3^2)+('入力・結果'!$G$4^2)-(2*'入力・結果'!$G$3*'入力・結果'!$G$4*COS(RADIANS(S140))))^(1/2))))</f>
        <v>27.76768786</v>
      </c>
      <c r="Z140" s="38">
        <f>DEGREES(ACOS((('入力・結果'!$G$3^2)+('入力・結果'!$G$4^2)-('入力・結果'!$G$5^2)+('入力・結果'!$G$6^2)-(2*'入力・結果'!$G$3*'入力・結果'!$G$4*COS(RADIANS(S140))))/(2*'入力・結果'!$G$6*(('入力・結果'!$G$3^2)+('入力・結果'!$G$4^2)-(2*'入力・結果'!$G$3*'入力・結果'!$G$4*(COS(RADIANS(S140)))))^(1/2))))</f>
        <v>24.25391512</v>
      </c>
      <c r="AA140" s="38">
        <f>DEGREES(ACOS(('入力・結果'!$G$4-('入力・結果'!$G$3*COS(RADIANS(S140))))/((('入力・結果'!$G$3^2)+('入力・結果'!$G$4^2)-(2*'入力・結果'!$G$3*'入力・結果'!$G$4*COS(RADIANS(S140))))^(1/2))))</f>
        <v>16.23231214</v>
      </c>
      <c r="AB140" s="38">
        <f>DEGREES(ACOS((('入力・結果'!$G$3^2)+('入力・結果'!$G$4^2)+('入力・結果'!$G$5^2)-('入力・結果'!$G$6^2)-(2*'入力・結果'!$G$3*'入力・結果'!$G$4*COS(RADIANS(S140))))/(2*'入力・結果'!$G$5*(('入力・結果'!$G$3^2)+('入力・結果'!$G$4^2)-(2*'入力・結果'!$G$3*'入力・結果'!$G$4*(COS(RADIANS(S140)))))^(1/2))))</f>
        <v>18.63247524</v>
      </c>
      <c r="AC140" s="37">
        <f t="shared" si="19"/>
        <v>11006.26005</v>
      </c>
      <c r="AD140" s="37">
        <f t="shared" si="20"/>
        <v>11006.26005</v>
      </c>
      <c r="AE140" s="37" t="str">
        <f t="shared" si="21"/>
        <v/>
      </c>
      <c r="AF140" s="37" t="str">
        <f t="shared" si="22"/>
        <v/>
      </c>
      <c r="AG140" s="35"/>
      <c r="AH140" s="35"/>
      <c r="AI140" s="35"/>
      <c r="AJ140" s="35">
        <v>137.0</v>
      </c>
      <c r="AK140" s="35">
        <f t="shared" si="1"/>
        <v>4.403321376</v>
      </c>
    </row>
    <row r="141" ht="12.75" customHeight="1">
      <c r="A141" s="35"/>
      <c r="B141" s="37">
        <v>137.0</v>
      </c>
      <c r="C141" s="38">
        <f t="shared" si="2"/>
        <v>-36.56768508</v>
      </c>
      <c r="D141" s="38">
        <f t="shared" si="3"/>
        <v>-34.099918</v>
      </c>
      <c r="E141" s="38">
        <f>'演算'!U141</f>
        <v>-8.90811132</v>
      </c>
      <c r="F141" s="38">
        <f t="shared" si="4"/>
        <v>8.90811132</v>
      </c>
      <c r="G141" s="38">
        <f t="shared" si="5"/>
        <v>-579.9335596</v>
      </c>
      <c r="H141" s="38">
        <f t="shared" si="6"/>
        <v>-119.2675552</v>
      </c>
      <c r="I141" s="39">
        <f t="shared" si="7"/>
        <v>592.0706742</v>
      </c>
      <c r="J141" s="38">
        <f t="shared" si="8"/>
        <v>-11.6212618</v>
      </c>
      <c r="K141" s="38" t="str">
        <f t="shared" si="9"/>
        <v/>
      </c>
      <c r="L141" s="38">
        <f t="shared" si="10"/>
        <v>1</v>
      </c>
      <c r="M141" s="38">
        <f t="shared" si="11"/>
        <v>168.3787382</v>
      </c>
      <c r="N141" s="39">
        <f t="shared" si="12"/>
        <v>118.3787382</v>
      </c>
      <c r="O141" s="39">
        <f t="shared" si="13"/>
        <v>-281.4098586</v>
      </c>
      <c r="P141" s="39">
        <f t="shared" si="14"/>
        <v>-520.9185874</v>
      </c>
      <c r="Q141" s="38">
        <f t="shared" si="15"/>
        <v>-438.812221</v>
      </c>
      <c r="R141" s="38">
        <f t="shared" si="16"/>
        <v>409.199016</v>
      </c>
      <c r="S141" s="40">
        <v>137.0</v>
      </c>
      <c r="T141" s="37">
        <f t="shared" si="17"/>
        <v>34.09188868</v>
      </c>
      <c r="U141" s="37">
        <f t="shared" si="18"/>
        <v>-8.90811132</v>
      </c>
      <c r="V141" s="37">
        <f t="shared" si="23"/>
        <v>0.227101298</v>
      </c>
      <c r="W141" s="37">
        <f>'入力・結果'!$I$7/V141</f>
        <v>1420071.144</v>
      </c>
      <c r="X141" s="39">
        <f>(W141/I141*10)*'入力・結果'!$I$8</f>
        <v>14390.89493</v>
      </c>
      <c r="Y141" s="38">
        <f>DEGREES(ACOS(('入力・結果'!$G$3-('入力・結果'!$G$4*COS(RADIANS(S141))))/((('入力・結果'!$G$3^2)+('入力・結果'!$G$4^2)-(2*'入力・結果'!$G$3*'入力・結果'!$G$4*COS(RADIANS(S141))))^(1/2))))</f>
        <v>27.1242178</v>
      </c>
      <c r="Z141" s="38">
        <f>DEGREES(ACOS((('入力・結果'!$G$3^2)+('入力・結果'!$G$4^2)-('入力・結果'!$G$5^2)+('入力・結果'!$G$6^2)-(2*'入力・結果'!$G$3*'入力・結果'!$G$4*COS(RADIANS(S141))))/(2*'入力・結果'!$G$6*(('入力・結果'!$G$3^2)+('入力・結果'!$G$4^2)-(2*'入力・結果'!$G$3*'入力・結果'!$G$4*(COS(RADIANS(S141)))))^(1/2))))</f>
        <v>23.69806157</v>
      </c>
      <c r="AA141" s="38">
        <f>DEGREES(ACOS(('入力・結果'!$G$4-('入力・結果'!$G$3*COS(RADIANS(S141))))/((('入力・結果'!$G$3^2)+('入力・結果'!$G$4^2)-(2*'入力・結果'!$G$3*'入力・結果'!$G$4*COS(RADIANS(S141))))^(1/2))))</f>
        <v>15.8757822</v>
      </c>
      <c r="AB141" s="38">
        <f>DEGREES(ACOS((('入力・結果'!$G$3^2)+('入力・結果'!$G$4^2)+('入力・結果'!$G$5^2)-('入力・結果'!$G$6^2)-(2*'入力・結果'!$G$3*'入力・結果'!$G$4*COS(RADIANS(S141))))/(2*'入力・結果'!$G$5*(('入力・結果'!$G$3^2)+('入力・結果'!$G$4^2)-(2*'入力・結果'!$G$3*'入力・結果'!$G$4*(COS(RADIANS(S141)))))^(1/2))))</f>
        <v>18.21610648</v>
      </c>
      <c r="AC141" s="37">
        <f t="shared" si="19"/>
        <v>11090.89493</v>
      </c>
      <c r="AD141" s="37">
        <f t="shared" si="20"/>
        <v>11090.89493</v>
      </c>
      <c r="AE141" s="37" t="str">
        <f t="shared" si="21"/>
        <v/>
      </c>
      <c r="AF141" s="37" t="str">
        <f t="shared" si="22"/>
        <v/>
      </c>
      <c r="AG141" s="35"/>
      <c r="AH141" s="35"/>
      <c r="AI141" s="35"/>
      <c r="AJ141" s="35">
        <v>138.0</v>
      </c>
      <c r="AK141" s="35">
        <f t="shared" si="1"/>
        <v>4.431321394</v>
      </c>
    </row>
    <row r="142" ht="12.75" customHeight="1">
      <c r="A142" s="35"/>
      <c r="B142" s="37">
        <v>138.0</v>
      </c>
      <c r="C142" s="38">
        <f t="shared" si="2"/>
        <v>-37.15724127</v>
      </c>
      <c r="D142" s="38">
        <f t="shared" si="3"/>
        <v>-33.45653032</v>
      </c>
      <c r="E142" s="38">
        <f>'演算'!U142</f>
        <v>-8.682444998</v>
      </c>
      <c r="F142" s="38">
        <f t="shared" si="4"/>
        <v>8.682444998</v>
      </c>
      <c r="G142" s="38">
        <f t="shared" si="5"/>
        <v>-580.8543434</v>
      </c>
      <c r="H142" s="38">
        <f t="shared" si="6"/>
        <v>-116.4834006</v>
      </c>
      <c r="I142" s="39">
        <f t="shared" si="7"/>
        <v>592.4188981</v>
      </c>
      <c r="J142" s="38">
        <f t="shared" si="8"/>
        <v>-11.33957201</v>
      </c>
      <c r="K142" s="38" t="str">
        <f t="shared" si="9"/>
        <v/>
      </c>
      <c r="L142" s="38">
        <f t="shared" si="10"/>
        <v>1</v>
      </c>
      <c r="M142" s="38">
        <f t="shared" si="11"/>
        <v>168.660428</v>
      </c>
      <c r="N142" s="39">
        <f t="shared" si="12"/>
        <v>118.660428</v>
      </c>
      <c r="O142" s="39">
        <f t="shared" si="13"/>
        <v>-284.1345132</v>
      </c>
      <c r="P142" s="39">
        <f t="shared" si="14"/>
        <v>-519.8343286</v>
      </c>
      <c r="Q142" s="38">
        <f t="shared" si="15"/>
        <v>-445.8868953</v>
      </c>
      <c r="R142" s="38">
        <f t="shared" si="16"/>
        <v>401.4783638</v>
      </c>
      <c r="S142" s="40">
        <v>138.0</v>
      </c>
      <c r="T142" s="37">
        <f t="shared" si="17"/>
        <v>33.317555</v>
      </c>
      <c r="U142" s="37">
        <f t="shared" si="18"/>
        <v>-8.682444998</v>
      </c>
      <c r="V142" s="37">
        <f t="shared" si="23"/>
        <v>0.2256663219</v>
      </c>
      <c r="W142" s="37">
        <f>'入力・結果'!$I$7/V142</f>
        <v>1429101.15</v>
      </c>
      <c r="X142" s="39">
        <f>(W142/I142*10)*'入力・結果'!$I$8</f>
        <v>14473.89157</v>
      </c>
      <c r="Y142" s="38">
        <f>DEGREES(ACOS(('入力・結果'!$G$3-('入力・結果'!$G$4*COS(RADIANS(S142))))/((('入力・結果'!$G$3^2)+('入力・結果'!$G$4^2)-(2*'入力・結果'!$G$3*'入力・結果'!$G$4*COS(RADIANS(S142))))^(1/2))))</f>
        <v>26.48166067</v>
      </c>
      <c r="Z142" s="38">
        <f>DEGREES(ACOS((('入力・結果'!$G$3^2)+('入力・結果'!$G$4^2)-('入力・結果'!$G$5^2)+('入力・結果'!$G$6^2)-(2*'入力・結果'!$G$3*'入力・結果'!$G$4*COS(RADIANS(S142))))/(2*'入力・結果'!$G$6*(('入力・結果'!$G$3^2)+('入力・結果'!$G$4^2)-(2*'入力・結果'!$G$3*'入力・結果'!$G$4*(COS(RADIANS(S142)))))^(1/2))))</f>
        <v>23.14254754</v>
      </c>
      <c r="AA142" s="38">
        <f>DEGREES(ACOS(('入力・結果'!$G$4-('入力・結果'!$G$3*COS(RADIANS(S142))))/((('入力・結果'!$G$3^2)+('入力・結果'!$G$4^2)-(2*'入力・結果'!$G$3*'入力・結果'!$G$4*COS(RADIANS(S142))))^(1/2))))</f>
        <v>15.51833933</v>
      </c>
      <c r="AB142" s="38">
        <f>DEGREES(ACOS((('入力・結果'!$G$3^2)+('入力・結果'!$G$4^2)+('入力・結果'!$G$5^2)-('入力・結果'!$G$6^2)-(2*'入力・結果'!$G$3*'入力・結果'!$G$4*COS(RADIANS(S142))))/(2*'入力・結果'!$G$5*(('入力・結果'!$G$3^2)+('入力・結果'!$G$4^2)-(2*'入力・結果'!$G$3*'入力・結果'!$G$4*(COS(RADIANS(S142)))))^(1/2))))</f>
        <v>17.79921567</v>
      </c>
      <c r="AC142" s="37">
        <f t="shared" si="19"/>
        <v>11173.89157</v>
      </c>
      <c r="AD142" s="37">
        <f t="shared" si="20"/>
        <v>11173.89157</v>
      </c>
      <c r="AE142" s="37" t="str">
        <f t="shared" si="21"/>
        <v/>
      </c>
      <c r="AF142" s="37" t="str">
        <f t="shared" si="22"/>
        <v/>
      </c>
      <c r="AG142" s="35"/>
      <c r="AH142" s="35"/>
      <c r="AI142" s="35"/>
      <c r="AJ142" s="35">
        <v>139.0</v>
      </c>
      <c r="AK142" s="35">
        <f t="shared" si="1"/>
        <v>4.458793209</v>
      </c>
    </row>
    <row r="143" ht="12.75" customHeight="1">
      <c r="A143" s="35"/>
      <c r="B143" s="37">
        <v>139.0</v>
      </c>
      <c r="C143" s="38">
        <f t="shared" si="2"/>
        <v>-37.73547901</v>
      </c>
      <c r="D143" s="38">
        <f t="shared" si="3"/>
        <v>-32.80295145</v>
      </c>
      <c r="E143" s="38">
        <f>'演算'!U143</f>
        <v>-8.458169067</v>
      </c>
      <c r="F143" s="38">
        <f t="shared" si="4"/>
        <v>8.458169067</v>
      </c>
      <c r="G143" s="38">
        <f t="shared" si="5"/>
        <v>-581.7534115</v>
      </c>
      <c r="H143" s="38">
        <f t="shared" si="6"/>
        <v>-113.7009685</v>
      </c>
      <c r="I143" s="39">
        <f t="shared" si="7"/>
        <v>592.7604423</v>
      </c>
      <c r="J143" s="38">
        <f t="shared" si="8"/>
        <v>-11.05878598</v>
      </c>
      <c r="K143" s="38" t="str">
        <f t="shared" si="9"/>
        <v/>
      </c>
      <c r="L143" s="38">
        <f t="shared" si="10"/>
        <v>1</v>
      </c>
      <c r="M143" s="38">
        <f t="shared" si="11"/>
        <v>168.941214</v>
      </c>
      <c r="N143" s="39">
        <f t="shared" si="12"/>
        <v>118.941214</v>
      </c>
      <c r="O143" s="39">
        <f t="shared" si="13"/>
        <v>-286.8438897</v>
      </c>
      <c r="P143" s="39">
        <f t="shared" si="14"/>
        <v>-518.7345419</v>
      </c>
      <c r="Q143" s="38">
        <f t="shared" si="15"/>
        <v>-452.8257481</v>
      </c>
      <c r="R143" s="38">
        <f t="shared" si="16"/>
        <v>393.6354174</v>
      </c>
      <c r="S143" s="40">
        <v>139.0</v>
      </c>
      <c r="T143" s="37">
        <f t="shared" si="17"/>
        <v>32.54183093</v>
      </c>
      <c r="U143" s="37">
        <f t="shared" si="18"/>
        <v>-8.458169067</v>
      </c>
      <c r="V143" s="37">
        <f t="shared" si="23"/>
        <v>0.2242759314</v>
      </c>
      <c r="W143" s="37">
        <f>'入力・結果'!$I$7/V143</f>
        <v>1437960.81</v>
      </c>
      <c r="X143" s="39">
        <f>(W143/I143*10)*'入力・結果'!$I$8</f>
        <v>14555.23048</v>
      </c>
      <c r="Y143" s="38">
        <f>DEGREES(ACOS(('入力・結果'!$G$3-('入力・結果'!$G$4*COS(RADIANS(S143))))/((('入力・結果'!$G$3^2)+('入力・結果'!$G$4^2)-(2*'入力・結果'!$G$3*'入力・結果'!$G$4*COS(RADIANS(S143))))^(1/2))))</f>
        <v>25.83998803</v>
      </c>
      <c r="Z143" s="38">
        <f>DEGREES(ACOS((('入力・結果'!$G$3^2)+('入力・結果'!$G$4^2)-('入力・結果'!$G$5^2)+('入力・結果'!$G$6^2)-(2*'入力・結果'!$G$3*'入力・結果'!$G$4*COS(RADIANS(S143))))/(2*'入力・結果'!$G$6*(('入力・結果'!$G$3^2)+('入力・結果'!$G$4^2)-(2*'入力・結果'!$G$3*'入力・結果'!$G$4*(COS(RADIANS(S143)))))^(1/2))))</f>
        <v>22.58736265</v>
      </c>
      <c r="AA143" s="38">
        <f>DEGREES(ACOS(('入力・結果'!$G$4-('入力・結果'!$G$3*COS(RADIANS(S143))))/((('入力・結果'!$G$3^2)+('入力・結果'!$G$4^2)-(2*'入力・結果'!$G$3*'入力・結果'!$G$4*COS(RADIANS(S143))))^(1/2))))</f>
        <v>15.16001197</v>
      </c>
      <c r="AB143" s="38">
        <f>DEGREES(ACOS((('入力・結果'!$G$3^2)+('入力・結果'!$G$4^2)+('入力・結果'!$G$5^2)-('入力・結果'!$G$6^2)-(2*'入力・結果'!$G$3*'入力・結果'!$G$4*COS(RADIANS(S143))))/(2*'入力・結果'!$G$5*(('入力・結果'!$G$3^2)+('入力・結果'!$G$4^2)-(2*'入力・結果'!$G$3*'入力・結果'!$G$4*(COS(RADIANS(S143)))))^(1/2))))</f>
        <v>17.38181897</v>
      </c>
      <c r="AC143" s="37">
        <f t="shared" si="19"/>
        <v>11255.23048</v>
      </c>
      <c r="AD143" s="37">
        <f t="shared" si="20"/>
        <v>11255.23048</v>
      </c>
      <c r="AE143" s="37" t="str">
        <f t="shared" si="21"/>
        <v/>
      </c>
      <c r="AF143" s="37" t="str">
        <f t="shared" si="22"/>
        <v/>
      </c>
      <c r="AG143" s="35"/>
      <c r="AH143" s="35"/>
      <c r="AI143" s="35"/>
      <c r="AJ143" s="35">
        <v>140.0</v>
      </c>
      <c r="AK143" s="35">
        <f t="shared" si="1"/>
        <v>4.485728447</v>
      </c>
    </row>
    <row r="144" ht="12.75" customHeight="1">
      <c r="A144" s="35"/>
      <c r="B144" s="37">
        <v>140.0</v>
      </c>
      <c r="C144" s="38">
        <f t="shared" si="2"/>
        <v>-38.30222216</v>
      </c>
      <c r="D144" s="38">
        <f t="shared" si="3"/>
        <v>-32.13938048</v>
      </c>
      <c r="E144" s="38">
        <f>'演算'!U144</f>
        <v>-8.235239834</v>
      </c>
      <c r="F144" s="38">
        <f t="shared" si="4"/>
        <v>8.235239834</v>
      </c>
      <c r="G144" s="38">
        <f t="shared" si="5"/>
        <v>-582.6307979</v>
      </c>
      <c r="H144" s="38">
        <f t="shared" si="6"/>
        <v>-110.9200988</v>
      </c>
      <c r="I144" s="39">
        <f t="shared" si="7"/>
        <v>593.095199</v>
      </c>
      <c r="J144" s="38">
        <f t="shared" si="8"/>
        <v>-10.77887005</v>
      </c>
      <c r="K144" s="38" t="str">
        <f t="shared" si="9"/>
        <v/>
      </c>
      <c r="L144" s="38">
        <f t="shared" si="10"/>
        <v>1</v>
      </c>
      <c r="M144" s="38">
        <f t="shared" si="11"/>
        <v>169.22113</v>
      </c>
      <c r="N144" s="39">
        <f t="shared" si="12"/>
        <v>119.22113</v>
      </c>
      <c r="O144" s="39">
        <f t="shared" si="13"/>
        <v>-289.5381326</v>
      </c>
      <c r="P144" s="39">
        <f t="shared" si="14"/>
        <v>-517.6191503</v>
      </c>
      <c r="Q144" s="38">
        <f t="shared" si="15"/>
        <v>-459.6266659</v>
      </c>
      <c r="R144" s="38">
        <f t="shared" si="16"/>
        <v>385.6725658</v>
      </c>
      <c r="S144" s="40">
        <v>140.0</v>
      </c>
      <c r="T144" s="37">
        <f t="shared" si="17"/>
        <v>31.76476017</v>
      </c>
      <c r="U144" s="37">
        <f t="shared" si="18"/>
        <v>-8.235239834</v>
      </c>
      <c r="V144" s="37">
        <f t="shared" si="23"/>
        <v>0.2229292325</v>
      </c>
      <c r="W144" s="37">
        <f>'入力・結果'!$I$7/V144</f>
        <v>1446647.424</v>
      </c>
      <c r="X144" s="39">
        <f>(W144/I144*10)*'入力・結果'!$I$8</f>
        <v>14634.89261</v>
      </c>
      <c r="Y144" s="38">
        <f>DEGREES(ACOS(('入力・結果'!$G$3-('入力・結果'!$G$4*COS(RADIANS(S144))))/((('入力・結果'!$G$3^2)+('入力・結果'!$G$4^2)-(2*'入力・結果'!$G$3*'入力・結果'!$G$4*COS(RADIANS(S144))))^(1/2))))</f>
        <v>25.19917202</v>
      </c>
      <c r="Z144" s="38">
        <f>DEGREES(ACOS((('入力・結果'!$G$3^2)+('入力・結果'!$G$4^2)-('入力・結果'!$G$5^2)+('入力・結果'!$G$6^2)-(2*'入力・結果'!$G$3*'入力・結果'!$G$4*COS(RADIANS(S144))))/(2*'入力・結果'!$G$6*(('入力・結果'!$G$3^2)+('入力・結果'!$G$4^2)-(2*'入力・結果'!$G$3*'入力・結果'!$G$4*(COS(RADIANS(S144)))))^(1/2))))</f>
        <v>22.03249671</v>
      </c>
      <c r="AA144" s="38">
        <f>DEGREES(ACOS(('入力・結果'!$G$4-('入力・結果'!$G$3*COS(RADIANS(S144))))/((('入力・結果'!$G$3^2)+('入力・結果'!$G$4^2)-(2*'入力・結果'!$G$3*'入力・結果'!$G$4*COS(RADIANS(S144))))^(1/2))))</f>
        <v>14.80082798</v>
      </c>
      <c r="AB144" s="38">
        <f>DEGREES(ACOS((('入力・結果'!$G$3^2)+('入力・結果'!$G$4^2)+('入力・結果'!$G$5^2)-('入力・結果'!$G$6^2)-(2*'入力・結果'!$G$3*'入力・結果'!$G$4*COS(RADIANS(S144))))/(2*'入力・結果'!$G$5*(('入力・結果'!$G$3^2)+('入力・結果'!$G$4^2)-(2*'入力・結果'!$G$3*'入力・結果'!$G$4*(COS(RADIANS(S144)))))^(1/2))))</f>
        <v>16.96393218</v>
      </c>
      <c r="AC144" s="37">
        <f t="shared" si="19"/>
        <v>11334.89261</v>
      </c>
      <c r="AD144" s="37">
        <f t="shared" si="20"/>
        <v>11334.89261</v>
      </c>
      <c r="AE144" s="37" t="str">
        <f t="shared" si="21"/>
        <v/>
      </c>
      <c r="AF144" s="37" t="str">
        <f t="shared" si="22"/>
        <v/>
      </c>
      <c r="AG144" s="35"/>
      <c r="AH144" s="35"/>
      <c r="AI144" s="35"/>
      <c r="AJ144" s="35">
        <v>141.0</v>
      </c>
      <c r="AK144" s="35">
        <f t="shared" si="1"/>
        <v>4.512118894</v>
      </c>
    </row>
    <row r="145" ht="12.75" customHeight="1">
      <c r="A145" s="35"/>
      <c r="B145" s="37">
        <v>141.0</v>
      </c>
      <c r="C145" s="38">
        <f t="shared" si="2"/>
        <v>-38.85729807</v>
      </c>
      <c r="D145" s="38">
        <f t="shared" si="3"/>
        <v>-31.46601955</v>
      </c>
      <c r="E145" s="38">
        <f>'演算'!U145</f>
        <v>-8.013614469</v>
      </c>
      <c r="F145" s="38">
        <f t="shared" si="4"/>
        <v>8.013614469</v>
      </c>
      <c r="G145" s="38">
        <f t="shared" si="5"/>
        <v>-583.486532</v>
      </c>
      <c r="H145" s="38">
        <f t="shared" si="6"/>
        <v>-108.1406406</v>
      </c>
      <c r="I145" s="39">
        <f t="shared" si="7"/>
        <v>593.4230626</v>
      </c>
      <c r="J145" s="38">
        <f t="shared" si="8"/>
        <v>-10.49979152</v>
      </c>
      <c r="K145" s="38" t="str">
        <f t="shared" si="9"/>
        <v/>
      </c>
      <c r="L145" s="38">
        <f t="shared" si="10"/>
        <v>1</v>
      </c>
      <c r="M145" s="38">
        <f t="shared" si="11"/>
        <v>169.5002085</v>
      </c>
      <c r="N145" s="39">
        <f t="shared" si="12"/>
        <v>119.5002085</v>
      </c>
      <c r="O145" s="39">
        <f t="shared" si="13"/>
        <v>-292.2173764</v>
      </c>
      <c r="P145" s="39">
        <f t="shared" si="14"/>
        <v>-516.4880794</v>
      </c>
      <c r="Q145" s="38">
        <f t="shared" si="15"/>
        <v>-466.2875769</v>
      </c>
      <c r="R145" s="38">
        <f t="shared" si="16"/>
        <v>377.5922346</v>
      </c>
      <c r="S145" s="40">
        <v>141.0</v>
      </c>
      <c r="T145" s="37">
        <f t="shared" si="17"/>
        <v>30.98638553</v>
      </c>
      <c r="U145" s="37">
        <f t="shared" si="18"/>
        <v>-8.013614469</v>
      </c>
      <c r="V145" s="37">
        <f t="shared" si="23"/>
        <v>0.2216253657</v>
      </c>
      <c r="W145" s="37">
        <f>'入力・結果'!$I$7/V145</f>
        <v>1455158.343</v>
      </c>
      <c r="X145" s="39">
        <f>(W145/I145*10)*'入力・結果'!$I$8</f>
        <v>14712.85936</v>
      </c>
      <c r="Y145" s="38">
        <f>DEGREES(ACOS(('入力・結果'!$G$3-('入力・結果'!$G$4*COS(RADIANS(S145))))/((('入力・結果'!$G$3^2)+('入力・結果'!$G$4^2)-(2*'入力・結果'!$G$3*'入力・結果'!$G$4*COS(RADIANS(S145))))^(1/2))))</f>
        <v>24.55918531</v>
      </c>
      <c r="Z145" s="38">
        <f>DEGREES(ACOS((('入力・結果'!$G$3^2)+('入力・結果'!$G$4^2)-('入力・結果'!$G$5^2)+('入力・結果'!$G$6^2)-(2*'入力・結果'!$G$3*'入力・結果'!$G$4*COS(RADIANS(S145))))/(2*'入力・結果'!$G$6*(('入力・結果'!$G$3^2)+('入力・結果'!$G$4^2)-(2*'入力・結果'!$G$3*'入力・結果'!$G$4*(COS(RADIANS(S145)))))^(1/2))))</f>
        <v>21.47793975</v>
      </c>
      <c r="AA145" s="38">
        <f>DEGREES(ACOS(('入力・結果'!$G$4-('入力・結果'!$G$3*COS(RADIANS(S145))))/((('入力・結果'!$G$3^2)+('入力・結果'!$G$4^2)-(2*'入力・結果'!$G$3*'入力・結果'!$G$4*COS(RADIANS(S145))))^(1/2))))</f>
        <v>14.44081469</v>
      </c>
      <c r="AB145" s="38">
        <f>DEGREES(ACOS((('入力・結果'!$G$3^2)+('入力・結果'!$G$4^2)+('入力・結果'!$G$5^2)-('入力・結果'!$G$6^2)-(2*'入力・結果'!$G$3*'入力・結果'!$G$4*COS(RADIANS(S145))))/(2*'入力・結果'!$G$5*(('入力・結果'!$G$3^2)+('入力・結果'!$G$4^2)-(2*'入力・結果'!$G$3*'入力・結果'!$G$4*(COS(RADIANS(S145)))))^(1/2))))</f>
        <v>16.54557084</v>
      </c>
      <c r="AC145" s="37">
        <f t="shared" si="19"/>
        <v>11412.85936</v>
      </c>
      <c r="AD145" s="37">
        <f t="shared" si="20"/>
        <v>11412.85936</v>
      </c>
      <c r="AE145" s="37" t="str">
        <f t="shared" si="21"/>
        <v/>
      </c>
      <c r="AF145" s="37" t="str">
        <f t="shared" si="22"/>
        <v/>
      </c>
      <c r="AG145" s="35"/>
      <c r="AH145" s="35"/>
      <c r="AI145" s="35"/>
      <c r="AJ145" s="35">
        <v>142.0</v>
      </c>
      <c r="AK145" s="35">
        <f t="shared" si="1"/>
        <v>4.537956507</v>
      </c>
    </row>
    <row r="146" ht="12.75" customHeight="1">
      <c r="A146" s="35"/>
      <c r="B146" s="37">
        <v>142.0</v>
      </c>
      <c r="C146" s="38">
        <f t="shared" si="2"/>
        <v>-39.40053768</v>
      </c>
      <c r="D146" s="38">
        <f t="shared" si="3"/>
        <v>-30.78307377</v>
      </c>
      <c r="E146" s="38">
        <f>'演算'!U146</f>
        <v>-7.793250964</v>
      </c>
      <c r="F146" s="38">
        <f t="shared" si="4"/>
        <v>7.793250964</v>
      </c>
      <c r="G146" s="38">
        <f t="shared" si="5"/>
        <v>-584.3206386</v>
      </c>
      <c r="H146" s="38">
        <f t="shared" si="6"/>
        <v>-105.3624514</v>
      </c>
      <c r="I146" s="39">
        <f t="shared" si="7"/>
        <v>593.7439304</v>
      </c>
      <c r="J146" s="38">
        <f t="shared" si="8"/>
        <v>-10.22151867</v>
      </c>
      <c r="K146" s="38" t="str">
        <f t="shared" si="9"/>
        <v/>
      </c>
      <c r="L146" s="38">
        <f t="shared" si="10"/>
        <v>1</v>
      </c>
      <c r="M146" s="38">
        <f t="shared" si="11"/>
        <v>169.7784813</v>
      </c>
      <c r="N146" s="39">
        <f t="shared" si="12"/>
        <v>119.7784813</v>
      </c>
      <c r="O146" s="39">
        <f t="shared" si="13"/>
        <v>-294.8817462</v>
      </c>
      <c r="P146" s="39">
        <f t="shared" si="14"/>
        <v>-515.3412565</v>
      </c>
      <c r="Q146" s="38">
        <f t="shared" si="15"/>
        <v>-472.8064522</v>
      </c>
      <c r="R146" s="38">
        <f t="shared" si="16"/>
        <v>369.3968852</v>
      </c>
      <c r="S146" s="40">
        <v>142.0</v>
      </c>
      <c r="T146" s="37">
        <f t="shared" si="17"/>
        <v>30.20674904</v>
      </c>
      <c r="U146" s="37">
        <f t="shared" si="18"/>
        <v>-7.793250964</v>
      </c>
      <c r="V146" s="37">
        <f t="shared" si="23"/>
        <v>0.2203635047</v>
      </c>
      <c r="W146" s="37">
        <f>'入力・結果'!$I$7/V146</f>
        <v>1463490.973</v>
      </c>
      <c r="X146" s="39">
        <f>(W146/I146*10)*'入力・結果'!$I$8</f>
        <v>14789.1126</v>
      </c>
      <c r="Y146" s="38">
        <f>DEGREES(ACOS(('入力・結果'!$G$3-('入力・結果'!$G$4*COS(RADIANS(S146))))/((('入力・結果'!$G$3^2)+('入力・結果'!$G$4^2)-(2*'入力・結果'!$G$3*'入力・結果'!$G$4*COS(RADIANS(S146))))^(1/2))))</f>
        <v>23.92000112</v>
      </c>
      <c r="Z146" s="38">
        <f>DEGREES(ACOS((('入力・結果'!$G$3^2)+('入力・結果'!$G$4^2)-('入力・結果'!$G$5^2)+('入力・結果'!$G$6^2)-(2*'入力・結果'!$G$3*'入力・結果'!$G$4*COS(RADIANS(S146))))/(2*'入力・結果'!$G$6*(('入力・結果'!$G$3^2)+('入力・結果'!$G$4^2)-(2*'入力・結果'!$G$3*'入力・結果'!$G$4*(COS(RADIANS(S146)))))^(1/2))))</f>
        <v>20.92368193</v>
      </c>
      <c r="AA146" s="38">
        <f>DEGREES(ACOS(('入力・結果'!$G$4-('入力・結果'!$G$3*COS(RADIANS(S146))))/((('入力・結果'!$G$3^2)+('入力・結果'!$G$4^2)-(2*'入力・結果'!$G$3*'入力・結果'!$G$4*COS(RADIANS(S146))))^(1/2))))</f>
        <v>14.07999888</v>
      </c>
      <c r="AB146" s="38">
        <f>DEGREES(ACOS((('入力・結果'!$G$3^2)+('入力・結果'!$G$4^2)+('入力・結果'!$G$5^2)-('入力・結果'!$G$6^2)-(2*'入力・結果'!$G$3*'入力・結果'!$G$4*COS(RADIANS(S146))))/(2*'入力・結果'!$G$5*(('入力・結果'!$G$3^2)+('入力・結果'!$G$4^2)-(2*'入力・結果'!$G$3*'入力・結果'!$G$4*(COS(RADIANS(S146)))))^(1/2))))</f>
        <v>16.12675015</v>
      </c>
      <c r="AC146" s="37">
        <f t="shared" si="19"/>
        <v>11489.1126</v>
      </c>
      <c r="AD146" s="37">
        <f t="shared" si="20"/>
        <v>11489.1126</v>
      </c>
      <c r="AE146" s="37" t="str">
        <f t="shared" si="21"/>
        <v/>
      </c>
      <c r="AF146" s="37" t="str">
        <f t="shared" si="22"/>
        <v/>
      </c>
      <c r="AG146" s="35"/>
      <c r="AH146" s="35"/>
      <c r="AI146" s="35"/>
      <c r="AJ146" s="35">
        <v>143.0</v>
      </c>
      <c r="AK146" s="35">
        <f t="shared" si="1"/>
        <v>4.563233407</v>
      </c>
    </row>
    <row r="147" ht="12.75" customHeight="1">
      <c r="A147" s="35"/>
      <c r="B147" s="37">
        <v>143.0</v>
      </c>
      <c r="C147" s="38">
        <f t="shared" si="2"/>
        <v>-39.9317755</v>
      </c>
      <c r="D147" s="38">
        <f t="shared" si="3"/>
        <v>-30.09075116</v>
      </c>
      <c r="E147" s="38">
        <f>'演算'!U147</f>
        <v>-7.574108108</v>
      </c>
      <c r="F147" s="38">
        <f t="shared" si="4"/>
        <v>7.574108108</v>
      </c>
      <c r="G147" s="38">
        <f t="shared" si="5"/>
        <v>-585.1331385</v>
      </c>
      <c r="H147" s="38">
        <f t="shared" si="6"/>
        <v>-102.5853974</v>
      </c>
      <c r="I147" s="39">
        <f t="shared" si="7"/>
        <v>594.0577022</v>
      </c>
      <c r="J147" s="38">
        <f t="shared" si="8"/>
        <v>-9.944020652</v>
      </c>
      <c r="K147" s="38" t="str">
        <f t="shared" si="9"/>
        <v/>
      </c>
      <c r="L147" s="38">
        <f t="shared" si="10"/>
        <v>1</v>
      </c>
      <c r="M147" s="38">
        <f t="shared" si="11"/>
        <v>170.0559793</v>
      </c>
      <c r="N147" s="39">
        <f t="shared" si="12"/>
        <v>120.0559793</v>
      </c>
      <c r="O147" s="39">
        <f t="shared" si="13"/>
        <v>-297.5313579</v>
      </c>
      <c r="P147" s="39">
        <f t="shared" si="14"/>
        <v>-514.1786116</v>
      </c>
      <c r="Q147" s="38">
        <f t="shared" si="15"/>
        <v>-479.181306</v>
      </c>
      <c r="R147" s="38">
        <f t="shared" si="16"/>
        <v>361.0890139</v>
      </c>
      <c r="S147" s="40">
        <v>143.0</v>
      </c>
      <c r="T147" s="37">
        <f t="shared" si="17"/>
        <v>29.42589189</v>
      </c>
      <c r="U147" s="37">
        <f t="shared" si="18"/>
        <v>-7.574108108</v>
      </c>
      <c r="V147" s="37">
        <f t="shared" si="23"/>
        <v>0.2191428557</v>
      </c>
      <c r="W147" s="37">
        <f>'入力・結果'!$I$7/V147</f>
        <v>1471642.774</v>
      </c>
      <c r="X147" s="39">
        <f>(W147/I147*10)*'入力・結果'!$I$8</f>
        <v>14863.63464</v>
      </c>
      <c r="Y147" s="38">
        <f>DEGREES(ACOS(('入力・結果'!$G$3-('入力・結果'!$G$4*COS(RADIANS(S147))))/((('入力・結果'!$G$3^2)+('入力・結果'!$G$4^2)-(2*'入力・結果'!$G$3*'入力・結果'!$G$4*COS(RADIANS(S147))))^(1/2))))</f>
        <v>23.28159318</v>
      </c>
      <c r="Z147" s="38">
        <f>DEGREES(ACOS((('入力・結果'!$G$3^2)+('入力・結果'!$G$4^2)-('入力・結果'!$G$5^2)+('入力・結果'!$G$6^2)-(2*'入力・結果'!$G$3*'入力・結果'!$G$4*COS(RADIANS(S147))))/(2*'入力・結果'!$G$6*(('入力・結果'!$G$3^2)+('入力・結果'!$G$4^2)-(2*'入力・結果'!$G$3*'入力・結果'!$G$4*(COS(RADIANS(S147)))))^(1/2))))</f>
        <v>20.36971362</v>
      </c>
      <c r="AA147" s="38">
        <f>DEGREES(ACOS(('入力・結果'!$G$4-('入力・結果'!$G$3*COS(RADIANS(S147))))/((('入力・結果'!$G$3^2)+('入力・結果'!$G$4^2)-(2*'入力・結果'!$G$3*'入力・結果'!$G$4*COS(RADIANS(S147))))^(1/2))))</f>
        <v>13.71840682</v>
      </c>
      <c r="AB147" s="38">
        <f>DEGREES(ACOS((('入力・結果'!$G$3^2)+('入力・結果'!$G$4^2)+('入力・結果'!$G$5^2)-('入力・結果'!$G$6^2)-(2*'入力・結果'!$G$3*'入力・結果'!$G$4*COS(RADIANS(S147))))/(2*'入力・結果'!$G$5*(('入力・結果'!$G$3^2)+('入力・結果'!$G$4^2)-(2*'入力・結果'!$G$3*'入力・結果'!$G$4*(COS(RADIANS(S147)))))^(1/2))))</f>
        <v>15.70748507</v>
      </c>
      <c r="AC147" s="37">
        <f t="shared" si="19"/>
        <v>11563.63464</v>
      </c>
      <c r="AD147" s="37">
        <f t="shared" si="20"/>
        <v>11563.63464</v>
      </c>
      <c r="AE147" s="37" t="str">
        <f t="shared" si="21"/>
        <v/>
      </c>
      <c r="AF147" s="37" t="str">
        <f t="shared" si="22"/>
        <v/>
      </c>
      <c r="AG147" s="35"/>
      <c r="AH147" s="35"/>
      <c r="AI147" s="35"/>
      <c r="AJ147" s="35">
        <v>144.0</v>
      </c>
      <c r="AK147" s="35">
        <f t="shared" si="1"/>
        <v>4.587941891</v>
      </c>
    </row>
    <row r="148" ht="12.75" customHeight="1">
      <c r="A148" s="35"/>
      <c r="B148" s="37">
        <v>144.0</v>
      </c>
      <c r="C148" s="38">
        <f t="shared" si="2"/>
        <v>-40.45084972</v>
      </c>
      <c r="D148" s="38">
        <f t="shared" si="3"/>
        <v>-29.38926261</v>
      </c>
      <c r="E148" s="38">
        <f>'演算'!U148</f>
        <v>-7.356145452</v>
      </c>
      <c r="F148" s="38">
        <f t="shared" si="4"/>
        <v>7.356145452</v>
      </c>
      <c r="G148" s="38">
        <f t="shared" si="5"/>
        <v>-585.9240488</v>
      </c>
      <c r="H148" s="38">
        <f t="shared" si="6"/>
        <v>-99.80935281</v>
      </c>
      <c r="I148" s="39">
        <f t="shared" si="7"/>
        <v>594.3642804</v>
      </c>
      <c r="J148" s="38">
        <f t="shared" si="8"/>
        <v>-9.667267514</v>
      </c>
      <c r="K148" s="38" t="str">
        <f t="shared" si="9"/>
        <v/>
      </c>
      <c r="L148" s="38">
        <f t="shared" si="10"/>
        <v>1</v>
      </c>
      <c r="M148" s="38">
        <f t="shared" si="11"/>
        <v>170.3327325</v>
      </c>
      <c r="N148" s="39">
        <f t="shared" si="12"/>
        <v>120.3327325</v>
      </c>
      <c r="O148" s="39">
        <f t="shared" si="13"/>
        <v>-300.1663187</v>
      </c>
      <c r="P148" s="39">
        <f t="shared" si="14"/>
        <v>-513.000077</v>
      </c>
      <c r="Q148" s="38">
        <f t="shared" si="15"/>
        <v>-485.4101966</v>
      </c>
      <c r="R148" s="38">
        <f t="shared" si="16"/>
        <v>352.6711514</v>
      </c>
      <c r="S148" s="40">
        <v>144.0</v>
      </c>
      <c r="T148" s="37">
        <f t="shared" si="17"/>
        <v>28.64385455</v>
      </c>
      <c r="U148" s="37">
        <f t="shared" si="18"/>
        <v>-7.356145452</v>
      </c>
      <c r="V148" s="37">
        <f t="shared" si="23"/>
        <v>0.217962656</v>
      </c>
      <c r="W148" s="37">
        <f>'入力・結果'!$I$7/V148</f>
        <v>1479611.26</v>
      </c>
      <c r="X148" s="39">
        <f>(W148/I148*10)*'入力・結果'!$I$8</f>
        <v>14936.40828</v>
      </c>
      <c r="Y148" s="38">
        <f>DEGREES(ACOS(('入力・結果'!$G$3-('入力・結果'!$G$4*COS(RADIANS(S148))))/((('入力・結果'!$G$3^2)+('入力・結果'!$G$4^2)-(2*'入力・結果'!$G$3*'入力・結果'!$G$4*COS(RADIANS(S148))))^(1/2))))</f>
        <v>22.6439357</v>
      </c>
      <c r="Z148" s="38">
        <f>DEGREES(ACOS((('入力・結果'!$G$3^2)+('入力・結果'!$G$4^2)-('入力・結果'!$G$5^2)+('入力・結果'!$G$6^2)-(2*'入力・結果'!$G$3*'入力・結果'!$G$4*COS(RADIANS(S148))))/(2*'入力・結果'!$G$6*(('入力・結果'!$G$3^2)+('入力・結果'!$G$4^2)-(2*'入力・結果'!$G$3*'入力・結果'!$G$4*(COS(RADIANS(S148)))))^(1/2))))</f>
        <v>19.81602536</v>
      </c>
      <c r="AA148" s="38">
        <f>DEGREES(ACOS(('入力・結果'!$G$4-('入力・結果'!$G$3*COS(RADIANS(S148))))/((('入力・結果'!$G$3^2)+('入力・結果'!$G$4^2)-(2*'入力・結果'!$G$3*'入力・結果'!$G$4*COS(RADIANS(S148))))^(1/2))))</f>
        <v>13.3560643</v>
      </c>
      <c r="AB148" s="38">
        <f>DEGREES(ACOS((('入力・結果'!$G$3^2)+('入力・結果'!$G$4^2)+('入力・結果'!$G$5^2)-('入力・結果'!$G$6^2)-(2*'入力・結果'!$G$3*'入力・結果'!$G$4*COS(RADIANS(S148))))/(2*'入力・結果'!$G$5*(('入力・結果'!$G$3^2)+('入力・結果'!$G$4^2)-(2*'入力・結果'!$G$3*'入力・結果'!$G$4*(COS(RADIANS(S148)))))^(1/2))))</f>
        <v>15.28779025</v>
      </c>
      <c r="AC148" s="37">
        <f t="shared" si="19"/>
        <v>11636.40828</v>
      </c>
      <c r="AD148" s="37">
        <f t="shared" si="20"/>
        <v>11636.40828</v>
      </c>
      <c r="AE148" s="37" t="str">
        <f t="shared" si="21"/>
        <v/>
      </c>
      <c r="AF148" s="37" t="str">
        <f t="shared" si="22"/>
        <v/>
      </c>
      <c r="AG148" s="35"/>
      <c r="AH148" s="35"/>
      <c r="AI148" s="35"/>
      <c r="AJ148" s="35">
        <v>145.0</v>
      </c>
      <c r="AK148" s="35">
        <f t="shared" si="1"/>
        <v>4.612074424</v>
      </c>
    </row>
    <row r="149" ht="12.75" customHeight="1">
      <c r="A149" s="35"/>
      <c r="B149" s="37">
        <v>145.0</v>
      </c>
      <c r="C149" s="38">
        <f t="shared" si="2"/>
        <v>-40.95760221</v>
      </c>
      <c r="D149" s="38">
        <f t="shared" si="3"/>
        <v>-28.67882182</v>
      </c>
      <c r="E149" s="38">
        <f>'演算'!U149</f>
        <v>-7.139323279</v>
      </c>
      <c r="F149" s="38">
        <f t="shared" si="4"/>
        <v>7.139323279</v>
      </c>
      <c r="G149" s="38">
        <f t="shared" si="5"/>
        <v>-586.6933829</v>
      </c>
      <c r="H149" s="38">
        <f t="shared" si="6"/>
        <v>-97.03419985</v>
      </c>
      <c r="I149" s="39">
        <f t="shared" si="7"/>
        <v>594.66357</v>
      </c>
      <c r="J149" s="38">
        <f t="shared" si="8"/>
        <v>-9.391230135</v>
      </c>
      <c r="K149" s="38" t="str">
        <f t="shared" si="9"/>
        <v/>
      </c>
      <c r="L149" s="38">
        <f t="shared" si="10"/>
        <v>1</v>
      </c>
      <c r="M149" s="38">
        <f t="shared" si="11"/>
        <v>170.6087699</v>
      </c>
      <c r="N149" s="39">
        <f t="shared" si="12"/>
        <v>120.6087699</v>
      </c>
      <c r="O149" s="39">
        <f t="shared" si="13"/>
        <v>-302.7867276</v>
      </c>
      <c r="P149" s="39">
        <f t="shared" si="14"/>
        <v>-511.8055871</v>
      </c>
      <c r="Q149" s="38">
        <f t="shared" si="15"/>
        <v>-491.4912266</v>
      </c>
      <c r="R149" s="38">
        <f t="shared" si="16"/>
        <v>344.1458618</v>
      </c>
      <c r="S149" s="40">
        <v>145.0</v>
      </c>
      <c r="T149" s="37">
        <f t="shared" si="17"/>
        <v>27.86067672</v>
      </c>
      <c r="U149" s="37">
        <f t="shared" si="18"/>
        <v>-7.139323279</v>
      </c>
      <c r="V149" s="37">
        <f t="shared" si="23"/>
        <v>0.2168221733</v>
      </c>
      <c r="W149" s="37">
        <f>'入力・結果'!$I$7/V149</f>
        <v>1487394.002</v>
      </c>
      <c r="X149" s="39">
        <f>(W149/I149*10)*'入力・結果'!$I$8</f>
        <v>15007.41673</v>
      </c>
      <c r="Y149" s="38">
        <f>DEGREES(ACOS(('入力・結果'!$G$3-('入力・結果'!$G$4*COS(RADIANS(S149))))/((('入力・結果'!$G$3^2)+('入力・結果'!$G$4^2)-(2*'入力・結果'!$G$3*'入力・結果'!$G$4*COS(RADIANS(S149))))^(1/2))))</f>
        <v>22.00700338</v>
      </c>
      <c r="Z149" s="38">
        <f>DEGREES(ACOS((('入力・結果'!$G$3^2)+('入力・結果'!$G$4^2)-('入力・結果'!$G$5^2)+('入力・結果'!$G$6^2)-(2*'入力・結果'!$G$3*'入力・結果'!$G$4*COS(RADIANS(S149))))/(2*'入力・結果'!$G$6*(('入力・結果'!$G$3^2)+('入力・結果'!$G$4^2)-(2*'入力・結果'!$G$3*'入力・結果'!$G$4*(COS(RADIANS(S149)))))^(1/2))))</f>
        <v>19.26260782</v>
      </c>
      <c r="AA149" s="38">
        <f>DEGREES(ACOS(('入力・結果'!$G$4-('入力・結果'!$G$3*COS(RADIANS(S149))))/((('入力・結果'!$G$3^2)+('入力・結果'!$G$4^2)-(2*'入力・結果'!$G$3*'入力・結果'!$G$4*COS(RADIANS(S149))))^(1/2))))</f>
        <v>12.99299662</v>
      </c>
      <c r="AB149" s="38">
        <f>DEGREES(ACOS((('入力・結果'!$G$3^2)+('入力・結果'!$G$4^2)+('入力・結果'!$G$5^2)-('入力・結果'!$G$6^2)-(2*'入力・結果'!$G$3*'入力・結果'!$G$4*COS(RADIANS(S149))))/(2*'入力・結果'!$G$5*(('入力・結果'!$G$3^2)+('入力・結果'!$G$4^2)-(2*'入力・結果'!$G$3*'入力・結果'!$G$4*(COS(RADIANS(S149)))))^(1/2))))</f>
        <v>14.8676801</v>
      </c>
      <c r="AC149" s="37">
        <f t="shared" si="19"/>
        <v>11707.41673</v>
      </c>
      <c r="AD149" s="37">
        <f t="shared" si="20"/>
        <v>11707.41673</v>
      </c>
      <c r="AE149" s="37" t="str">
        <f t="shared" si="21"/>
        <v/>
      </c>
      <c r="AF149" s="37" t="str">
        <f t="shared" si="22"/>
        <v/>
      </c>
      <c r="AG149" s="35"/>
      <c r="AH149" s="35"/>
      <c r="AI149" s="35"/>
      <c r="AJ149" s="35">
        <v>146.0</v>
      </c>
      <c r="AK149" s="35">
        <f t="shared" si="1"/>
        <v>4.635623651</v>
      </c>
    </row>
    <row r="150" ht="12.75" customHeight="1">
      <c r="A150" s="35"/>
      <c r="B150" s="37">
        <v>146.0</v>
      </c>
      <c r="C150" s="38">
        <f t="shared" si="2"/>
        <v>-41.45187863</v>
      </c>
      <c r="D150" s="38">
        <f t="shared" si="3"/>
        <v>-27.95964517</v>
      </c>
      <c r="E150" s="38">
        <f>'演算'!U150</f>
        <v>-6.923602575</v>
      </c>
      <c r="F150" s="38">
        <f t="shared" si="4"/>
        <v>6.923602575</v>
      </c>
      <c r="G150" s="38">
        <f t="shared" si="5"/>
        <v>-587.4411511</v>
      </c>
      <c r="H150" s="38">
        <f t="shared" si="6"/>
        <v>-94.25982841</v>
      </c>
      <c r="I150" s="39">
        <f t="shared" si="7"/>
        <v>594.9554784</v>
      </c>
      <c r="J150" s="38">
        <f t="shared" si="8"/>
        <v>-9.115880199</v>
      </c>
      <c r="K150" s="38" t="str">
        <f t="shared" si="9"/>
        <v/>
      </c>
      <c r="L150" s="38">
        <f t="shared" si="10"/>
        <v>1</v>
      </c>
      <c r="M150" s="38">
        <f t="shared" si="11"/>
        <v>170.8841198</v>
      </c>
      <c r="N150" s="39">
        <f t="shared" si="12"/>
        <v>120.8841198</v>
      </c>
      <c r="O150" s="39">
        <f t="shared" si="13"/>
        <v>-305.3926756</v>
      </c>
      <c r="P150" s="39">
        <f t="shared" si="14"/>
        <v>-510.5950793</v>
      </c>
      <c r="Q150" s="38">
        <f t="shared" si="15"/>
        <v>-497.4225435</v>
      </c>
      <c r="R150" s="38">
        <f t="shared" si="16"/>
        <v>335.5157421</v>
      </c>
      <c r="S150" s="40">
        <v>146.0</v>
      </c>
      <c r="T150" s="37">
        <f t="shared" si="17"/>
        <v>27.07639743</v>
      </c>
      <c r="U150" s="37">
        <f t="shared" si="18"/>
        <v>-6.923602575</v>
      </c>
      <c r="V150" s="37">
        <f t="shared" si="23"/>
        <v>0.2157207046</v>
      </c>
      <c r="W150" s="37">
        <f>'入力・結果'!$I$7/V150</f>
        <v>1494988.627</v>
      </c>
      <c r="X150" s="39">
        <f>(W150/I150*10)*'入力・結果'!$I$8</f>
        <v>15076.6437</v>
      </c>
      <c r="Y150" s="38">
        <f>DEGREES(ACOS(('入力・結果'!$G$3-('入力・結果'!$G$4*COS(RADIANS(S150))))/((('入力・結果'!$G$3^2)+('入力・結果'!$G$4^2)-(2*'入力・結果'!$G$3*'入力・結果'!$G$4*COS(RADIANS(S150))))^(1/2))))</f>
        <v>21.37077137</v>
      </c>
      <c r="Z150" s="38">
        <f>DEGREES(ACOS((('入力・結果'!$G$3^2)+('入力・結果'!$G$4^2)-('入力・結果'!$G$5^2)+('入力・結果'!$G$6^2)-(2*'入力・結果'!$G$3*'入力・結果'!$G$4*COS(RADIANS(S150))))/(2*'入力・結果'!$G$6*(('入力・結果'!$G$3^2)+('入力・結果'!$G$4^2)-(2*'入力・結果'!$G$3*'入力・結果'!$G$4*(COS(RADIANS(S150)))))^(1/2))))</f>
        <v>18.70945186</v>
      </c>
      <c r="AA150" s="38">
        <f>DEGREES(ACOS(('入力・結果'!$G$4-('入力・結果'!$G$3*COS(RADIANS(S150))))/((('入力・結果'!$G$3^2)+('入力・結果'!$G$4^2)-(2*'入力・結果'!$G$3*'入力・結果'!$G$4*COS(RADIANS(S150))))^(1/2))))</f>
        <v>12.62922863</v>
      </c>
      <c r="AB150" s="38">
        <f>DEGREES(ACOS((('入力・結果'!$G$3^2)+('入力・結果'!$G$4^2)+('入力・結果'!$G$5^2)-('入力・結果'!$G$6^2)-(2*'入力・結果'!$G$3*'入力・結果'!$G$4*COS(RADIANS(S150))))/(2*'入力・結果'!$G$5*(('入力・結果'!$G$3^2)+('入力・結果'!$G$4^2)-(2*'入力・結果'!$G$3*'入力・結果'!$G$4*(COS(RADIANS(S150)))))^(1/2))))</f>
        <v>14.44716879</v>
      </c>
      <c r="AC150" s="37">
        <f t="shared" si="19"/>
        <v>11776.6437</v>
      </c>
      <c r="AD150" s="37">
        <f t="shared" si="20"/>
        <v>11776.6437</v>
      </c>
      <c r="AE150" s="37" t="str">
        <f t="shared" si="21"/>
        <v/>
      </c>
      <c r="AF150" s="37" t="str">
        <f t="shared" si="22"/>
        <v/>
      </c>
      <c r="AG150" s="35"/>
      <c r="AH150" s="35"/>
      <c r="AI150" s="35"/>
      <c r="AJ150" s="35">
        <v>147.0</v>
      </c>
      <c r="AK150" s="35">
        <f t="shared" si="1"/>
        <v>4.658582392</v>
      </c>
    </row>
    <row r="151" ht="12.75" customHeight="1">
      <c r="A151" s="35"/>
      <c r="B151" s="37">
        <v>147.0</v>
      </c>
      <c r="C151" s="38">
        <f t="shared" si="2"/>
        <v>-41.9335284</v>
      </c>
      <c r="D151" s="38">
        <f t="shared" si="3"/>
        <v>-27.23195175</v>
      </c>
      <c r="E151" s="38">
        <f>'演算'!U151</f>
        <v>-6.708944999</v>
      </c>
      <c r="F151" s="38">
        <f t="shared" si="4"/>
        <v>6.708944999</v>
      </c>
      <c r="G151" s="38">
        <f t="shared" si="5"/>
        <v>-588.167361</v>
      </c>
      <c r="H151" s="38">
        <f t="shared" si="6"/>
        <v>-91.4861358</v>
      </c>
      <c r="I151" s="39">
        <f t="shared" si="7"/>
        <v>595.2399159</v>
      </c>
      <c r="J151" s="38">
        <f t="shared" si="8"/>
        <v>-8.841190164</v>
      </c>
      <c r="K151" s="38" t="str">
        <f t="shared" si="9"/>
        <v/>
      </c>
      <c r="L151" s="38">
        <f t="shared" si="10"/>
        <v>1</v>
      </c>
      <c r="M151" s="38">
        <f t="shared" si="11"/>
        <v>171.1588098</v>
      </c>
      <c r="N151" s="39">
        <f t="shared" si="12"/>
        <v>121.1588098</v>
      </c>
      <c r="O151" s="39">
        <f t="shared" si="13"/>
        <v>-307.9842461</v>
      </c>
      <c r="P151" s="39">
        <f t="shared" si="14"/>
        <v>-509.368493</v>
      </c>
      <c r="Q151" s="38">
        <f t="shared" si="15"/>
        <v>-503.2023408</v>
      </c>
      <c r="R151" s="38">
        <f t="shared" si="16"/>
        <v>326.783421</v>
      </c>
      <c r="S151" s="40">
        <v>147.0</v>
      </c>
      <c r="T151" s="37">
        <f t="shared" si="17"/>
        <v>26.291055</v>
      </c>
      <c r="U151" s="37">
        <f t="shared" si="18"/>
        <v>-6.708944999</v>
      </c>
      <c r="V151" s="37">
        <f t="shared" si="23"/>
        <v>0.2146575752</v>
      </c>
      <c r="W151" s="37">
        <f>'入力・結果'!$I$7/V151</f>
        <v>1502392.822</v>
      </c>
      <c r="X151" s="39">
        <f>(W151/I151*10)*'入力・結果'!$I$8</f>
        <v>15144.07332</v>
      </c>
      <c r="Y151" s="38">
        <f>DEGREES(ACOS(('入力・結果'!$G$3-('入力・結果'!$G$4*COS(RADIANS(S151))))/((('入力・結果'!$G$3^2)+('入力・結果'!$G$4^2)-(2*'入力・結果'!$G$3*'入力・結果'!$G$4*COS(RADIANS(S151))))^(1/2))))</f>
        <v>20.73521523</v>
      </c>
      <c r="Z151" s="38">
        <f>DEGREES(ACOS((('入力・結果'!$G$3^2)+('入力・結果'!$G$4^2)-('入力・結果'!$G$5^2)+('入力・結果'!$G$6^2)-(2*'入力・結果'!$G$3*'入力・結果'!$G$4*COS(RADIANS(S151))))/(2*'入力・結果'!$G$6*(('入力・結果'!$G$3^2)+('入力・結果'!$G$4^2)-(2*'入力・結果'!$G$3*'入力・結果'!$G$4*(COS(RADIANS(S151)))))^(1/2))))</f>
        <v>18.15654847</v>
      </c>
      <c r="AA151" s="38">
        <f>DEGREES(ACOS(('入力・結果'!$G$4-('入力・結果'!$G$3*COS(RADIANS(S151))))/((('入力・結果'!$G$3^2)+('入力・結果'!$G$4^2)-(2*'入力・結果'!$G$3*'入力・結果'!$G$4*COS(RADIANS(S151))))^(1/2))))</f>
        <v>12.26478477</v>
      </c>
      <c r="AB151" s="38">
        <f>DEGREES(ACOS((('入力・結果'!$G$3^2)+('入力・結果'!$G$4^2)+('入力・結果'!$G$5^2)-('入力・結果'!$G$6^2)-(2*'入力・結果'!$G$3*'入力・結果'!$G$4*COS(RADIANS(S151))))/(2*'入力・結果'!$G$5*(('入力・結果'!$G$3^2)+('入力・結果'!$G$4^2)-(2*'入力・結果'!$G$3*'入力・結果'!$G$4*(COS(RADIANS(S151)))))^(1/2))))</f>
        <v>14.02627023</v>
      </c>
      <c r="AC151" s="37">
        <f t="shared" si="19"/>
        <v>11844.07332</v>
      </c>
      <c r="AD151" s="37">
        <f t="shared" si="20"/>
        <v>11844.07332</v>
      </c>
      <c r="AE151" s="37" t="str">
        <f t="shared" si="21"/>
        <v/>
      </c>
      <c r="AF151" s="37" t="str">
        <f t="shared" si="22"/>
        <v/>
      </c>
      <c r="AG151" s="35"/>
      <c r="AH151" s="35"/>
      <c r="AI151" s="35"/>
      <c r="AJ151" s="35">
        <v>148.0</v>
      </c>
      <c r="AK151" s="35">
        <f t="shared" si="1"/>
        <v>4.68094365</v>
      </c>
    </row>
    <row r="152" ht="12.75" customHeight="1">
      <c r="A152" s="35"/>
      <c r="B152" s="37">
        <v>148.0</v>
      </c>
      <c r="C152" s="38">
        <f t="shared" si="2"/>
        <v>-42.40240481</v>
      </c>
      <c r="D152" s="38">
        <f t="shared" si="3"/>
        <v>-26.49596321</v>
      </c>
      <c r="E152" s="38">
        <f>'演算'!U152</f>
        <v>-6.495312861</v>
      </c>
      <c r="F152" s="38">
        <f t="shared" si="4"/>
        <v>6.495312861</v>
      </c>
      <c r="G152" s="38">
        <f t="shared" si="5"/>
        <v>-588.872017</v>
      </c>
      <c r="H152" s="38">
        <f t="shared" si="6"/>
        <v>-88.7130265</v>
      </c>
      <c r="I152" s="39">
        <f t="shared" si="7"/>
        <v>595.5167953</v>
      </c>
      <c r="J152" s="38">
        <f t="shared" si="8"/>
        <v>-8.56713323</v>
      </c>
      <c r="K152" s="38" t="str">
        <f t="shared" si="9"/>
        <v/>
      </c>
      <c r="L152" s="38">
        <f t="shared" si="10"/>
        <v>1</v>
      </c>
      <c r="M152" s="38">
        <f t="shared" si="11"/>
        <v>171.4328668</v>
      </c>
      <c r="N152" s="39">
        <f t="shared" si="12"/>
        <v>121.4328668</v>
      </c>
      <c r="O152" s="39">
        <f t="shared" si="13"/>
        <v>-310.5615152</v>
      </c>
      <c r="P152" s="39">
        <f t="shared" si="14"/>
        <v>-508.1257706</v>
      </c>
      <c r="Q152" s="38">
        <f t="shared" si="15"/>
        <v>-508.8288577</v>
      </c>
      <c r="R152" s="38">
        <f t="shared" si="16"/>
        <v>317.9515585</v>
      </c>
      <c r="S152" s="40">
        <v>148.0</v>
      </c>
      <c r="T152" s="37">
        <f t="shared" si="17"/>
        <v>25.50468714</v>
      </c>
      <c r="U152" s="37">
        <f t="shared" si="18"/>
        <v>-6.495312861</v>
      </c>
      <c r="V152" s="37">
        <f t="shared" si="23"/>
        <v>0.213632138</v>
      </c>
      <c r="W152" s="37">
        <f>'入力・結果'!$I$7/V152</f>
        <v>1509604.327</v>
      </c>
      <c r="X152" s="39">
        <f>(W152/I152*10)*'入力・結果'!$I$8</f>
        <v>15209.6902</v>
      </c>
      <c r="Y152" s="38">
        <f>DEGREES(ACOS(('入力・結果'!$G$3-('入力・結果'!$G$4*COS(RADIANS(S152))))/((('入力・結果'!$G$3^2)+('入力・結果'!$G$4^2)-(2*'入力・結果'!$G$3*'入力・結果'!$G$4*COS(RADIANS(S152))))^(1/2))))</f>
        <v>20.10031096</v>
      </c>
      <c r="Z152" s="38">
        <f>DEGREES(ACOS((('入力・結果'!$G$3^2)+('入力・結果'!$G$4^2)-('入力・結果'!$G$5^2)+('入力・結果'!$G$6^2)-(2*'入力・結果'!$G$3*'入力・結果'!$G$4*COS(RADIANS(S152))))/(2*'入力・結果'!$G$6*(('入力・結果'!$G$3^2)+('入力・結果'!$G$4^2)-(2*'入力・結果'!$G$3*'入力・結果'!$G$4*(COS(RADIANS(S152)))))^(1/2))))</f>
        <v>17.60388879</v>
      </c>
      <c r="AA152" s="38">
        <f>DEGREES(ACOS(('入力・結果'!$G$4-('入力・結果'!$G$3*COS(RADIANS(S152))))/((('入力・結果'!$G$3^2)+('入力・結果'!$G$4^2)-(2*'入力・結果'!$G$3*'入力・結果'!$G$4*COS(RADIANS(S152))))^(1/2))))</f>
        <v>11.89968904</v>
      </c>
      <c r="AB152" s="38">
        <f>DEGREES(ACOS((('入力・結果'!$G$3^2)+('入力・結果'!$G$4^2)+('入力・結果'!$G$5^2)-('入力・結果'!$G$6^2)-(2*'入力・結果'!$G$3*'入力・結果'!$G$4*COS(RADIANS(S152))))/(2*'入力・結果'!$G$5*(('入力・結果'!$G$3^2)+('入力・結果'!$G$4^2)-(2*'入力・結果'!$G$3*'入力・結果'!$G$4*(COS(RADIANS(S152)))))^(1/2))))</f>
        <v>13.6049981</v>
      </c>
      <c r="AC152" s="37">
        <f t="shared" si="19"/>
        <v>11909.6902</v>
      </c>
      <c r="AD152" s="37">
        <f t="shared" si="20"/>
        <v>11909.6902</v>
      </c>
      <c r="AE152" s="37" t="str">
        <f t="shared" si="21"/>
        <v/>
      </c>
      <c r="AF152" s="37" t="str">
        <f t="shared" si="22"/>
        <v/>
      </c>
      <c r="AG152" s="35"/>
      <c r="AH152" s="35"/>
      <c r="AI152" s="35"/>
      <c r="AJ152" s="35">
        <v>149.0</v>
      </c>
      <c r="AK152" s="35">
        <f t="shared" si="1"/>
        <v>4.702700608</v>
      </c>
    </row>
    <row r="153" ht="12.75" customHeight="1">
      <c r="A153" s="35"/>
      <c r="B153" s="37">
        <v>149.0</v>
      </c>
      <c r="C153" s="38">
        <f t="shared" si="2"/>
        <v>-42.85836504</v>
      </c>
      <c r="D153" s="38">
        <f t="shared" si="3"/>
        <v>-25.75190375</v>
      </c>
      <c r="E153" s="38">
        <f>'演算'!U153</f>
        <v>-6.282669088</v>
      </c>
      <c r="F153" s="38">
        <f t="shared" si="4"/>
        <v>6.282669088</v>
      </c>
      <c r="G153" s="38">
        <f t="shared" si="5"/>
        <v>-589.5551215</v>
      </c>
      <c r="H153" s="38">
        <f t="shared" si="6"/>
        <v>-85.94041196</v>
      </c>
      <c r="I153" s="39">
        <f t="shared" si="7"/>
        <v>595.7860318</v>
      </c>
      <c r="J153" s="38">
        <f t="shared" si="8"/>
        <v>-8.293683309</v>
      </c>
      <c r="K153" s="38" t="str">
        <f t="shared" si="9"/>
        <v/>
      </c>
      <c r="L153" s="38">
        <f t="shared" si="10"/>
        <v>1</v>
      </c>
      <c r="M153" s="38">
        <f t="shared" si="11"/>
        <v>171.7063167</v>
      </c>
      <c r="N153" s="39">
        <f t="shared" si="12"/>
        <v>121.7063167</v>
      </c>
      <c r="O153" s="39">
        <f t="shared" si="13"/>
        <v>-313.1245523</v>
      </c>
      <c r="P153" s="39">
        <f t="shared" si="14"/>
        <v>-506.8668567</v>
      </c>
      <c r="Q153" s="38">
        <f t="shared" si="15"/>
        <v>-514.3003804</v>
      </c>
      <c r="R153" s="38">
        <f t="shared" si="16"/>
        <v>309.0228449</v>
      </c>
      <c r="S153" s="40">
        <v>149.0</v>
      </c>
      <c r="T153" s="37">
        <f t="shared" si="17"/>
        <v>24.71733091</v>
      </c>
      <c r="U153" s="37">
        <f t="shared" si="18"/>
        <v>-6.282669088</v>
      </c>
      <c r="V153" s="37">
        <f t="shared" si="23"/>
        <v>0.2126437729</v>
      </c>
      <c r="W153" s="37">
        <f>'入力・結果'!$I$7/V153</f>
        <v>1516620.946</v>
      </c>
      <c r="X153" s="39">
        <f>(W153/I153*10)*'入力・結果'!$I$8</f>
        <v>15273.47939</v>
      </c>
      <c r="Y153" s="38">
        <f>DEGREES(ACOS(('入力・結果'!$G$3-('入力・結果'!$G$4*COS(RADIANS(S153))))/((('入力・結果'!$G$3^2)+('入力・結果'!$G$4^2)-(2*'入力・結果'!$G$3*'入力・結果'!$G$4*COS(RADIANS(S153))))^(1/2))))</f>
        <v>19.46603495</v>
      </c>
      <c r="Z153" s="38">
        <f>DEGREES(ACOS((('入力・結果'!$G$3^2)+('入力・結果'!$G$4^2)-('入力・結果'!$G$5^2)+('入力・結果'!$G$6^2)-(2*'入力・結果'!$G$3*'入力・結果'!$G$4*COS(RADIANS(S153))))/(2*'入力・結果'!$G$6*(('入力・結果'!$G$3^2)+('入力・結果'!$G$4^2)-(2*'入力・結果'!$G$3*'入力・結果'!$G$4*(COS(RADIANS(S153)))))^(1/2))))</f>
        <v>17.05146408</v>
      </c>
      <c r="AA153" s="38">
        <f>DEGREES(ACOS(('入力・結果'!$G$4-('入力・結果'!$G$3*COS(RADIANS(S153))))/((('入力・結果'!$G$3^2)+('入力・結果'!$G$4^2)-(2*'入力・結果'!$G$3*'入力・結果'!$G$4*COS(RADIANS(S153))))^(1/2))))</f>
        <v>11.53396505</v>
      </c>
      <c r="AB153" s="38">
        <f>DEGREES(ACOS((('入力・結果'!$G$3^2)+('入力・結果'!$G$4^2)+('入力・結果'!$G$5^2)-('入力・結果'!$G$6^2)-(2*'入力・結果'!$G$3*'入力・結果'!$G$4*COS(RADIANS(S153))))/(2*'入力・結果'!$G$5*(('入力・結果'!$G$3^2)+('入力・結果'!$G$4^2)-(2*'入力・結果'!$G$3*'入力・結果'!$G$4*(COS(RADIANS(S153)))))^(1/2))))</f>
        <v>13.18336586</v>
      </c>
      <c r="AC153" s="37">
        <f t="shared" si="19"/>
        <v>11973.47939</v>
      </c>
      <c r="AD153" s="37">
        <f t="shared" si="20"/>
        <v>11973.47939</v>
      </c>
      <c r="AE153" s="37" t="str">
        <f t="shared" si="21"/>
        <v/>
      </c>
      <c r="AF153" s="37" t="str">
        <f t="shared" si="22"/>
        <v/>
      </c>
      <c r="AG153" s="35"/>
      <c r="AH153" s="35"/>
      <c r="AI153" s="35"/>
      <c r="AJ153" s="35">
        <v>150.0</v>
      </c>
      <c r="AK153" s="35">
        <f t="shared" si="1"/>
        <v>4.723846633</v>
      </c>
    </row>
    <row r="154" ht="12.75" customHeight="1">
      <c r="A154" s="35"/>
      <c r="B154" s="37">
        <v>150.0</v>
      </c>
      <c r="C154" s="38">
        <f t="shared" si="2"/>
        <v>-43.30127019</v>
      </c>
      <c r="D154" s="38">
        <f t="shared" si="3"/>
        <v>-25</v>
      </c>
      <c r="E154" s="38">
        <f>'演算'!U154</f>
        <v>-6.070977203</v>
      </c>
      <c r="F154" s="38">
        <f t="shared" si="4"/>
        <v>6.070977203</v>
      </c>
      <c r="G154" s="38">
        <f t="shared" si="5"/>
        <v>-590.2166743</v>
      </c>
      <c r="H154" s="38">
        <f t="shared" si="6"/>
        <v>-83.16821034</v>
      </c>
      <c r="I154" s="39">
        <f t="shared" si="7"/>
        <v>596.0475433</v>
      </c>
      <c r="J154" s="38">
        <f t="shared" si="8"/>
        <v>-8.020814995</v>
      </c>
      <c r="K154" s="38" t="str">
        <f t="shared" si="9"/>
        <v/>
      </c>
      <c r="L154" s="38">
        <f t="shared" si="10"/>
        <v>1</v>
      </c>
      <c r="M154" s="38">
        <f t="shared" si="11"/>
        <v>171.979185</v>
      </c>
      <c r="N154" s="39">
        <f t="shared" si="12"/>
        <v>121.979185</v>
      </c>
      <c r="O154" s="39">
        <f t="shared" si="13"/>
        <v>-315.6734199</v>
      </c>
      <c r="P154" s="39">
        <f t="shared" si="14"/>
        <v>-505.5916987</v>
      </c>
      <c r="Q154" s="38">
        <f t="shared" si="15"/>
        <v>-519.6152423</v>
      </c>
      <c r="R154" s="38">
        <f t="shared" si="16"/>
        <v>300</v>
      </c>
      <c r="S154" s="40">
        <v>150.0</v>
      </c>
      <c r="T154" s="37">
        <f t="shared" si="17"/>
        <v>23.9290228</v>
      </c>
      <c r="U154" s="37">
        <f t="shared" si="18"/>
        <v>-6.070977203</v>
      </c>
      <c r="V154" s="37">
        <f t="shared" si="23"/>
        <v>0.2116918854</v>
      </c>
      <c r="W154" s="37">
        <f>'入力・結果'!$I$7/V154</f>
        <v>1523440.539</v>
      </c>
      <c r="X154" s="39">
        <f>(W154/I154*10)*'入力・結果'!$I$8</f>
        <v>15335.42641</v>
      </c>
      <c r="Y154" s="38">
        <f>DEGREES(ACOS(('入力・結果'!$G$3-('入力・結果'!$G$4*COS(RADIANS(S154))))/((('入力・結果'!$G$3^2)+('入力・結果'!$G$4^2)-(2*'入力・結果'!$G$3*'入力・結果'!$G$4*COS(RADIANS(S154))))^(1/2))))</f>
        <v>18.83236399</v>
      </c>
      <c r="Z154" s="38">
        <f>DEGREES(ACOS((('入力・結果'!$G$3^2)+('入力・結果'!$G$4^2)-('入力・結果'!$G$5^2)+('入力・結果'!$G$6^2)-(2*'入力・結果'!$G$3*'入力・結果'!$G$4*COS(RADIANS(S154))))/(2*'入力・結果'!$G$6*(('入力・結果'!$G$3^2)+('入力・結果'!$G$4^2)-(2*'入力・結果'!$G$3*'入力・結果'!$G$4*(COS(RADIANS(S154)))))^(1/2))))</f>
        <v>16.49926577</v>
      </c>
      <c r="AA154" s="38">
        <f>DEGREES(ACOS(('入力・結果'!$G$4-('入力・結果'!$G$3*COS(RADIANS(S154))))/((('入力・結果'!$G$3^2)+('入力・結果'!$G$4^2)-(2*'入力・結果'!$G$3*'入力・結果'!$G$4*COS(RADIANS(S154))))^(1/2))))</f>
        <v>11.16763601</v>
      </c>
      <c r="AB154" s="38">
        <f>DEGREES(ACOS((('入力・結果'!$G$3^2)+('入力・結果'!$G$4^2)+('入力・結果'!$G$5^2)-('入力・結果'!$G$6^2)-(2*'入力・結果'!$G$3*'入力・結果'!$G$4*COS(RADIANS(S154))))/(2*'入力・結果'!$G$5*(('入力・結果'!$G$3^2)+('入力・結果'!$G$4^2)-(2*'入力・結果'!$G$3*'入力・結果'!$G$4*(COS(RADIANS(S154)))))^(1/2))))</f>
        <v>12.76138678</v>
      </c>
      <c r="AC154" s="37">
        <f t="shared" si="19"/>
        <v>12035.42641</v>
      </c>
      <c r="AD154" s="37">
        <f t="shared" si="20"/>
        <v>12035.42641</v>
      </c>
      <c r="AE154" s="37" t="str">
        <f t="shared" si="21"/>
        <v/>
      </c>
      <c r="AF154" s="37" t="str">
        <f t="shared" si="22"/>
        <v/>
      </c>
      <c r="AG154" s="35"/>
      <c r="AH154" s="35"/>
      <c r="AI154" s="35"/>
      <c r="AJ154" s="35">
        <v>151.0</v>
      </c>
      <c r="AK154" s="35">
        <f t="shared" si="1"/>
        <v>4.744375279</v>
      </c>
    </row>
    <row r="155" ht="12.75" customHeight="1">
      <c r="A155" s="35"/>
      <c r="B155" s="37">
        <v>151.0</v>
      </c>
      <c r="C155" s="38">
        <f t="shared" si="2"/>
        <v>-43.73098536</v>
      </c>
      <c r="D155" s="38">
        <f t="shared" si="3"/>
        <v>-24.24048101</v>
      </c>
      <c r="E155" s="38">
        <f>'演算'!U155</f>
        <v>-5.860201297</v>
      </c>
      <c r="F155" s="38">
        <f t="shared" si="4"/>
        <v>5.860201297</v>
      </c>
      <c r="G155" s="38">
        <f t="shared" si="5"/>
        <v>-590.8566737</v>
      </c>
      <c r="H155" s="38">
        <f t="shared" si="6"/>
        <v>-80.39634625</v>
      </c>
      <c r="I155" s="39">
        <f t="shared" si="7"/>
        <v>596.3012505</v>
      </c>
      <c r="J155" s="38">
        <f t="shared" si="8"/>
        <v>-7.748503536</v>
      </c>
      <c r="K155" s="38" t="str">
        <f t="shared" si="9"/>
        <v/>
      </c>
      <c r="L155" s="38">
        <f t="shared" si="10"/>
        <v>1</v>
      </c>
      <c r="M155" s="38">
        <f t="shared" si="11"/>
        <v>172.2514965</v>
      </c>
      <c r="N155" s="39">
        <f t="shared" si="12"/>
        <v>122.2514965</v>
      </c>
      <c r="O155" s="39">
        <f t="shared" si="13"/>
        <v>-318.2081746</v>
      </c>
      <c r="P155" s="39">
        <f t="shared" si="14"/>
        <v>-504.3002468</v>
      </c>
      <c r="Q155" s="38">
        <f t="shared" si="15"/>
        <v>-524.7718243</v>
      </c>
      <c r="R155" s="38">
        <f t="shared" si="16"/>
        <v>290.8857721</v>
      </c>
      <c r="S155" s="40">
        <v>151.0</v>
      </c>
      <c r="T155" s="37">
        <f t="shared" si="17"/>
        <v>23.1397987</v>
      </c>
      <c r="U155" s="37">
        <f t="shared" si="18"/>
        <v>-5.860201297</v>
      </c>
      <c r="V155" s="37">
        <f t="shared" si="23"/>
        <v>0.2107759064</v>
      </c>
      <c r="W155" s="37">
        <f>'入力・結果'!$I$7/V155</f>
        <v>1530061.028</v>
      </c>
      <c r="X155" s="39">
        <f>(W155/I155*10)*'入力・結果'!$I$8</f>
        <v>15395.51721</v>
      </c>
      <c r="Y155" s="38">
        <f>DEGREES(ACOS(('入力・結果'!$G$3-('入力・結果'!$G$4*COS(RADIANS(S155))))/((('入力・結果'!$G$3^2)+('入力・結果'!$G$4^2)-(2*'入力・結果'!$G$3*'入力・結果'!$G$4*COS(RADIANS(S155))))^(1/2))))</f>
        <v>18.1992752</v>
      </c>
      <c r="Z155" s="38">
        <f>DEGREES(ACOS((('入力・結果'!$G$3^2)+('入力・結果'!$G$4^2)-('入力・結果'!$G$5^2)+('入力・結果'!$G$6^2)-(2*'入力・結果'!$G$3*'入力・結果'!$G$4*COS(RADIANS(S155))))/(2*'入力・結果'!$G$6*(('入力・結果'!$G$3^2)+('入力・結果'!$G$4^2)-(2*'入力・結果'!$G$3*'入力・結果'!$G$4*(COS(RADIANS(S155)))))^(1/2))))</f>
        <v>15.94728539</v>
      </c>
      <c r="AA155" s="38">
        <f>DEGREES(ACOS(('入力・結果'!$G$4-('入力・結果'!$G$3*COS(RADIANS(S155))))/((('入力・結果'!$G$3^2)+('入力・結果'!$G$4^2)-(2*'入力・結果'!$G$3*'入力・結果'!$G$4*COS(RADIANS(S155))))^(1/2))))</f>
        <v>10.8007248</v>
      </c>
      <c r="AB155" s="38">
        <f>DEGREES(ACOS((('入力・結果'!$G$3^2)+('入力・結果'!$G$4^2)+('入力・結果'!$G$5^2)-('入力・結果'!$G$6^2)-(2*'入力・結果'!$G$3*'入力・結果'!$G$4*COS(RADIANS(S155))))/(2*'入力・結果'!$G$5*(('入力・結果'!$G$3^2)+('入力・結果'!$G$4^2)-(2*'入力・結果'!$G$3*'入力・結果'!$G$4*(COS(RADIANS(S155)))))^(1/2))))</f>
        <v>12.3390739</v>
      </c>
      <c r="AC155" s="37">
        <f t="shared" si="19"/>
        <v>12095.51721</v>
      </c>
      <c r="AD155" s="37">
        <f t="shared" si="20"/>
        <v>12095.51721</v>
      </c>
      <c r="AE155" s="37" t="str">
        <f t="shared" si="21"/>
        <v/>
      </c>
      <c r="AF155" s="37" t="str">
        <f t="shared" si="22"/>
        <v/>
      </c>
      <c r="AG155" s="35"/>
      <c r="AH155" s="35"/>
      <c r="AI155" s="35"/>
      <c r="AJ155" s="35">
        <v>152.0</v>
      </c>
      <c r="AK155" s="35">
        <f t="shared" si="1"/>
        <v>4.76428029</v>
      </c>
    </row>
    <row r="156" ht="12.75" customHeight="1">
      <c r="A156" s="35"/>
      <c r="B156" s="37">
        <v>152.0</v>
      </c>
      <c r="C156" s="38">
        <f t="shared" si="2"/>
        <v>-44.14737964</v>
      </c>
      <c r="D156" s="38">
        <f t="shared" si="3"/>
        <v>-23.47357814</v>
      </c>
      <c r="E156" s="38">
        <f>'演算'!U156</f>
        <v>-5.650306005</v>
      </c>
      <c r="F156" s="38">
        <f t="shared" si="4"/>
        <v>5.650306005</v>
      </c>
      <c r="G156" s="38">
        <f t="shared" si="5"/>
        <v>-591.4751156</v>
      </c>
      <c r="H156" s="38">
        <f t="shared" si="6"/>
        <v>-77.62475054</v>
      </c>
      <c r="I156" s="39">
        <f t="shared" si="7"/>
        <v>596.5470763</v>
      </c>
      <c r="J156" s="38">
        <f t="shared" si="8"/>
        <v>-7.476724805</v>
      </c>
      <c r="K156" s="38" t="str">
        <f t="shared" si="9"/>
        <v/>
      </c>
      <c r="L156" s="38">
        <f t="shared" si="10"/>
        <v>1</v>
      </c>
      <c r="M156" s="38">
        <f t="shared" si="11"/>
        <v>172.5232752</v>
      </c>
      <c r="N156" s="39">
        <f t="shared" si="12"/>
        <v>122.5232752</v>
      </c>
      <c r="O156" s="39">
        <f t="shared" si="13"/>
        <v>-320.7288669</v>
      </c>
      <c r="P156" s="39">
        <f t="shared" si="14"/>
        <v>-502.9924534</v>
      </c>
      <c r="Q156" s="38">
        <f t="shared" si="15"/>
        <v>-529.7685557</v>
      </c>
      <c r="R156" s="38">
        <f t="shared" si="16"/>
        <v>281.6829377</v>
      </c>
      <c r="S156" s="40">
        <v>152.0</v>
      </c>
      <c r="T156" s="37">
        <f t="shared" si="17"/>
        <v>22.34969399</v>
      </c>
      <c r="U156" s="37">
        <f t="shared" si="18"/>
        <v>-5.650306005</v>
      </c>
      <c r="V156" s="37">
        <f t="shared" si="23"/>
        <v>0.2098952914</v>
      </c>
      <c r="W156" s="37">
        <f>'入力・結果'!$I$7/V156</f>
        <v>1536480.394</v>
      </c>
      <c r="X156" s="39">
        <f>(W156/I156*10)*'入力・結果'!$I$8</f>
        <v>15453.73823</v>
      </c>
      <c r="Y156" s="38">
        <f>DEGREES(ACOS(('入力・結果'!$G$3-('入力・結果'!$G$4*COS(RADIANS(S156))))/((('入力・結果'!$G$3^2)+('入力・結果'!$G$4^2)-(2*'入力・結果'!$G$3*'入力・結果'!$G$4*COS(RADIANS(S156))))^(1/2))))</f>
        <v>17.56674608</v>
      </c>
      <c r="Z156" s="38">
        <f>DEGREES(ACOS((('入力・結果'!$G$3^2)+('入力・結果'!$G$4^2)-('入力・結果'!$G$5^2)+('入力・結果'!$G$6^2)-(2*'入力・結果'!$G$3*'入力・結果'!$G$4*COS(RADIANS(S156))))/(2*'入力・結果'!$G$6*(('入力・結果'!$G$3^2)+('入力・結果'!$G$4^2)-(2*'入力・結果'!$G$3*'入力・結果'!$G$4*(COS(RADIANS(S156)))))^(1/2))))</f>
        <v>15.39551458</v>
      </c>
      <c r="AA156" s="38">
        <f>DEGREES(ACOS(('入力・結果'!$G$4-('入力・結果'!$G$3*COS(RADIANS(S156))))/((('入力・結果'!$G$3^2)+('入力・結果'!$G$4^2)-(2*'入力・結果'!$G$3*'入力・結果'!$G$4*COS(RADIANS(S156))))^(1/2))))</f>
        <v>10.43325392</v>
      </c>
      <c r="AB156" s="38">
        <f>DEGREES(ACOS((('入力・結果'!$G$3^2)+('入力・結果'!$G$4^2)+('入力・結果'!$G$5^2)-('入力・結果'!$G$6^2)-(2*'入力・結果'!$G$3*'入力・結果'!$G$4*COS(RADIANS(S156))))/(2*'入力・結果'!$G$5*(('入力・結果'!$G$3^2)+('入力・結果'!$G$4^2)-(2*'入力・結果'!$G$3*'入力・結果'!$G$4*(COS(RADIANS(S156)))))^(1/2))))</f>
        <v>11.91644007</v>
      </c>
      <c r="AC156" s="37">
        <f t="shared" si="19"/>
        <v>12153.73823</v>
      </c>
      <c r="AD156" s="37">
        <f t="shared" si="20"/>
        <v>12153.73823</v>
      </c>
      <c r="AE156" s="37" t="str">
        <f t="shared" si="21"/>
        <v/>
      </c>
      <c r="AF156" s="37" t="str">
        <f t="shared" si="22"/>
        <v/>
      </c>
      <c r="AG156" s="35"/>
      <c r="AH156" s="35"/>
      <c r="AI156" s="35"/>
      <c r="AJ156" s="35">
        <v>153.0</v>
      </c>
      <c r="AK156" s="35">
        <f t="shared" si="1"/>
        <v>4.783555598</v>
      </c>
    </row>
    <row r="157" ht="12.75" customHeight="1">
      <c r="A157" s="35"/>
      <c r="B157" s="37">
        <v>153.0</v>
      </c>
      <c r="C157" s="38">
        <f t="shared" si="2"/>
        <v>-44.55032621</v>
      </c>
      <c r="D157" s="38">
        <f t="shared" si="3"/>
        <v>-22.69952499</v>
      </c>
      <c r="E157" s="38">
        <f>'演算'!U157</f>
        <v>-5.441256486</v>
      </c>
      <c r="F157" s="38">
        <f t="shared" si="4"/>
        <v>5.441256486</v>
      </c>
      <c r="G157" s="38">
        <f t="shared" si="5"/>
        <v>-592.0719947</v>
      </c>
      <c r="H157" s="38">
        <f t="shared" si="6"/>
        <v>-74.85336008</v>
      </c>
      <c r="I157" s="39">
        <f t="shared" si="7"/>
        <v>596.7849466</v>
      </c>
      <c r="J157" s="38">
        <f t="shared" si="8"/>
        <v>-7.205455273</v>
      </c>
      <c r="K157" s="38" t="str">
        <f t="shared" si="9"/>
        <v/>
      </c>
      <c r="L157" s="38">
        <f t="shared" si="10"/>
        <v>1</v>
      </c>
      <c r="M157" s="38">
        <f t="shared" si="11"/>
        <v>172.7945447</v>
      </c>
      <c r="N157" s="39">
        <f t="shared" si="12"/>
        <v>122.7945447</v>
      </c>
      <c r="O157" s="39">
        <f t="shared" si="13"/>
        <v>-323.2355417</v>
      </c>
      <c r="P157" s="39">
        <f t="shared" si="14"/>
        <v>-501.6682739</v>
      </c>
      <c r="Q157" s="38">
        <f t="shared" si="15"/>
        <v>-534.6039145</v>
      </c>
      <c r="R157" s="38">
        <f t="shared" si="16"/>
        <v>272.3942998</v>
      </c>
      <c r="S157" s="40">
        <v>153.0</v>
      </c>
      <c r="T157" s="37">
        <f t="shared" si="17"/>
        <v>21.55874351</v>
      </c>
      <c r="U157" s="37">
        <f t="shared" si="18"/>
        <v>-5.441256486</v>
      </c>
      <c r="V157" s="37">
        <f t="shared" si="23"/>
        <v>0.2090495197</v>
      </c>
      <c r="W157" s="37">
        <f>'入力・結果'!$I$7/V157</f>
        <v>1542696.68</v>
      </c>
      <c r="X157" s="39">
        <f>(W157/I157*10)*'入力・結果'!$I$8</f>
        <v>15510.07634</v>
      </c>
      <c r="Y157" s="38">
        <f>DEGREES(ACOS(('入力・結果'!$G$3-('入力・結果'!$G$4*COS(RADIANS(S157))))/((('入力・結果'!$G$3^2)+('入力・結果'!$G$4^2)-(2*'入力・結果'!$G$3*'入力・結果'!$G$4*COS(RADIANS(S157))))^(1/2))))</f>
        <v>16.93475446</v>
      </c>
      <c r="Z157" s="38">
        <f>DEGREES(ACOS((('入力・結果'!$G$3^2)+('入力・結果'!$G$4^2)-('入力・結果'!$G$5^2)+('入力・結果'!$G$6^2)-(2*'入力・結果'!$G$3*'入力・結果'!$G$4*COS(RADIANS(S157))))/(2*'入力・結果'!$G$6*(('入力・結果'!$G$3^2)+('入力・結果'!$G$4^2)-(2*'入力・結果'!$G$3*'入力・結果'!$G$4*(COS(RADIANS(S157)))))^(1/2))))</f>
        <v>14.84394511</v>
      </c>
      <c r="AA157" s="38">
        <f>DEGREES(ACOS(('入力・結果'!$G$4-('入力・結果'!$G$3*COS(RADIANS(S157))))/((('入力・結果'!$G$3^2)+('入力・結果'!$G$4^2)-(2*'入力・結果'!$G$3*'入力・結果'!$G$4*COS(RADIANS(S157))))^(1/2))))</f>
        <v>10.06524554</v>
      </c>
      <c r="AB157" s="38">
        <f>DEGREES(ACOS((('入力・結果'!$G$3^2)+('入力・結果'!$G$4^2)+('入力・結果'!$G$5^2)-('入力・結果'!$G$6^2)-(2*'入力・結果'!$G$3*'入力・結果'!$G$4*COS(RADIANS(S157))))/(2*'入力・結果'!$G$5*(('入力・結果'!$G$3^2)+('入力・結果'!$G$4^2)-(2*'入力・結果'!$G$3*'入力・結果'!$G$4*(COS(RADIANS(S157)))))^(1/2))))</f>
        <v>11.49349797</v>
      </c>
      <c r="AC157" s="37">
        <f t="shared" si="19"/>
        <v>12210.07634</v>
      </c>
      <c r="AD157" s="37">
        <f t="shared" si="20"/>
        <v>12210.07634</v>
      </c>
      <c r="AE157" s="37" t="str">
        <f t="shared" si="21"/>
        <v/>
      </c>
      <c r="AF157" s="37" t="str">
        <f t="shared" si="22"/>
        <v/>
      </c>
      <c r="AG157" s="35"/>
      <c r="AH157" s="35"/>
      <c r="AI157" s="35"/>
      <c r="AJ157" s="35">
        <v>154.0</v>
      </c>
      <c r="AK157" s="35">
        <f t="shared" si="1"/>
        <v>4.802195326</v>
      </c>
    </row>
    <row r="158" ht="12.75" customHeight="1">
      <c r="A158" s="35"/>
      <c r="B158" s="37">
        <v>154.0</v>
      </c>
      <c r="C158" s="38">
        <f t="shared" si="2"/>
        <v>-44.93970231</v>
      </c>
      <c r="D158" s="38">
        <f t="shared" si="3"/>
        <v>-21.91855734</v>
      </c>
      <c r="E158" s="38">
        <f>'演算'!U158</f>
        <v>-5.233018392</v>
      </c>
      <c r="F158" s="38">
        <f t="shared" si="4"/>
        <v>5.233018392</v>
      </c>
      <c r="G158" s="38">
        <f t="shared" si="5"/>
        <v>-592.6473043</v>
      </c>
      <c r="H158" s="38">
        <f t="shared" si="6"/>
        <v>-72.08211751</v>
      </c>
      <c r="I158" s="39">
        <f t="shared" si="7"/>
        <v>597.0147895</v>
      </c>
      <c r="J158" s="38">
        <f t="shared" si="8"/>
        <v>-6.934671986</v>
      </c>
      <c r="K158" s="38" t="str">
        <f t="shared" si="9"/>
        <v/>
      </c>
      <c r="L158" s="38">
        <f t="shared" si="10"/>
        <v>1</v>
      </c>
      <c r="M158" s="38">
        <f t="shared" si="11"/>
        <v>173.065328</v>
      </c>
      <c r="N158" s="39">
        <f t="shared" si="12"/>
        <v>123.065328</v>
      </c>
      <c r="O158" s="39">
        <f t="shared" si="13"/>
        <v>-325.7282385</v>
      </c>
      <c r="P158" s="39">
        <f t="shared" si="14"/>
        <v>-500.3276662</v>
      </c>
      <c r="Q158" s="38">
        <f t="shared" si="15"/>
        <v>-539.2764278</v>
      </c>
      <c r="R158" s="38">
        <f t="shared" si="16"/>
        <v>263.0226881</v>
      </c>
      <c r="S158" s="40">
        <v>154.0</v>
      </c>
      <c r="T158" s="37">
        <f t="shared" si="17"/>
        <v>20.76698161</v>
      </c>
      <c r="U158" s="37">
        <f t="shared" si="18"/>
        <v>-5.233018392</v>
      </c>
      <c r="V158" s="37">
        <f t="shared" si="23"/>
        <v>0.2082380936</v>
      </c>
      <c r="W158" s="37">
        <f>'入力・結果'!$I$7/V158</f>
        <v>1548707.993</v>
      </c>
      <c r="X158" s="39">
        <f>(W158/I158*10)*'入力・結果'!$I$8</f>
        <v>15564.51887</v>
      </c>
      <c r="Y158" s="38">
        <f>DEGREES(ACOS(('入力・結果'!$G$3-('入力・結果'!$G$4*COS(RADIANS(S158))))/((('入力・結果'!$G$3^2)+('入力・結果'!$G$4^2)-(2*'入力・結果'!$G$3*'入力・結果'!$G$4*COS(RADIANS(S158))))^(1/2))))</f>
        <v>16.30327847</v>
      </c>
      <c r="Z158" s="38">
        <f>DEGREES(ACOS((('入力・結果'!$G$3^2)+('入力・結果'!$G$4^2)-('入力・結果'!$G$5^2)+('入力・結果'!$G$6^2)-(2*'入力・結果'!$G$3*'入力・結果'!$G$4*COS(RADIANS(S158))))/(2*'入力・結果'!$G$6*(('入力・結果'!$G$3^2)+('入力・結果'!$G$4^2)-(2*'入力・結果'!$G$3*'入力・結果'!$G$4*(COS(RADIANS(S158)))))^(1/2))))</f>
        <v>14.29256888</v>
      </c>
      <c r="AA158" s="38">
        <f>DEGREES(ACOS(('入力・結果'!$G$4-('入力・結果'!$G$3*COS(RADIANS(S158))))/((('入力・結果'!$G$3^2)+('入力・結果'!$G$4^2)-(2*'入力・結果'!$G$3*'入力・結果'!$G$4*COS(RADIANS(S158))))^(1/2))))</f>
        <v>9.696721527</v>
      </c>
      <c r="AB158" s="38">
        <f>DEGREES(ACOS((('入力・結果'!$G$3^2)+('入力・結果'!$G$4^2)+('入力・結果'!$G$5^2)-('入力・結果'!$G$6^2)-(2*'入力・結果'!$G$3*'入力・結果'!$G$4*COS(RADIANS(S158))))/(2*'入力・結果'!$G$5*(('入力・結果'!$G$3^2)+('入力・結果'!$G$4^2)-(2*'入力・結果'!$G$3*'入力・結果'!$G$4*(COS(RADIANS(S158)))))^(1/2))))</f>
        <v>11.07026008</v>
      </c>
      <c r="AC158" s="37">
        <f t="shared" si="19"/>
        <v>12264.51887</v>
      </c>
      <c r="AD158" s="37">
        <f t="shared" si="20"/>
        <v>12264.51887</v>
      </c>
      <c r="AE158" s="37" t="str">
        <f t="shared" si="21"/>
        <v/>
      </c>
      <c r="AF158" s="37" t="str">
        <f t="shared" si="22"/>
        <v/>
      </c>
      <c r="AG158" s="35"/>
      <c r="AH158" s="35"/>
      <c r="AI158" s="35"/>
      <c r="AJ158" s="35">
        <v>155.0</v>
      </c>
      <c r="AK158" s="35">
        <f t="shared" si="1"/>
        <v>4.820193794</v>
      </c>
    </row>
    <row r="159" ht="12.75" customHeight="1">
      <c r="A159" s="35"/>
      <c r="B159" s="37">
        <v>155.0</v>
      </c>
      <c r="C159" s="38">
        <f t="shared" si="2"/>
        <v>-45.31538935</v>
      </c>
      <c r="D159" s="38">
        <f t="shared" si="3"/>
        <v>-21.13091309</v>
      </c>
      <c r="E159" s="38">
        <f>'演算'!U159</f>
        <v>-5.025557853</v>
      </c>
      <c r="F159" s="38">
        <f t="shared" si="4"/>
        <v>5.025557853</v>
      </c>
      <c r="G159" s="38">
        <f t="shared" si="5"/>
        <v>-593.2010362</v>
      </c>
      <c r="H159" s="38">
        <f t="shared" si="6"/>
        <v>-69.31097102</v>
      </c>
      <c r="I159" s="39">
        <f t="shared" si="7"/>
        <v>597.2365361</v>
      </c>
      <c r="J159" s="38">
        <f t="shared" si="8"/>
        <v>-6.664352534</v>
      </c>
      <c r="K159" s="38" t="str">
        <f t="shared" si="9"/>
        <v/>
      </c>
      <c r="L159" s="38">
        <f t="shared" si="10"/>
        <v>1</v>
      </c>
      <c r="M159" s="38">
        <f t="shared" si="11"/>
        <v>173.3356475</v>
      </c>
      <c r="N159" s="39">
        <f t="shared" si="12"/>
        <v>123.3356475</v>
      </c>
      <c r="O159" s="39">
        <f t="shared" si="13"/>
        <v>-328.2069919</v>
      </c>
      <c r="P159" s="39">
        <f t="shared" si="14"/>
        <v>-498.9705908</v>
      </c>
      <c r="Q159" s="38">
        <f t="shared" si="15"/>
        <v>-543.7846722</v>
      </c>
      <c r="R159" s="38">
        <f t="shared" si="16"/>
        <v>253.570957</v>
      </c>
      <c r="S159" s="40">
        <v>155.0</v>
      </c>
      <c r="T159" s="37">
        <f t="shared" si="17"/>
        <v>19.97444215</v>
      </c>
      <c r="U159" s="37">
        <f t="shared" si="18"/>
        <v>-5.025557853</v>
      </c>
      <c r="V159" s="37">
        <f t="shared" si="23"/>
        <v>0.2074605385</v>
      </c>
      <c r="W159" s="37">
        <f>'入力・結果'!$I$7/V159</f>
        <v>1554512.499</v>
      </c>
      <c r="X159" s="39">
        <f>(W159/I159*10)*'入力・結果'!$I$8</f>
        <v>15617.05359</v>
      </c>
      <c r="Y159" s="38">
        <f>DEGREES(ACOS(('入力・結果'!$G$3-('入力・結果'!$G$4*COS(RADIANS(S159))))/((('入力・結果'!$G$3^2)+('入力・結果'!$G$4^2)-(2*'入力・結果'!$G$3*'入力・結果'!$G$4*COS(RADIANS(S159))))^(1/2))))</f>
        <v>15.67229658</v>
      </c>
      <c r="Z159" s="38">
        <f>DEGREES(ACOS((('入力・結果'!$G$3^2)+('入力・結果'!$G$4^2)-('入力・結果'!$G$5^2)+('入力・結果'!$G$6^2)-(2*'入力・結果'!$G$3*'入力・結果'!$G$4*COS(RADIANS(S159))))/(2*'入力・結果'!$G$6*(('入力・結果'!$G$3^2)+('入力・結果'!$G$4^2)-(2*'入力・結果'!$G$3*'入力・結果'!$G$4*(COS(RADIANS(S159)))))^(1/2))))</f>
        <v>13.74137786</v>
      </c>
      <c r="AA159" s="38">
        <f>DEGREES(ACOS(('入力・結果'!$G$4-('入力・結果'!$G$3*COS(RADIANS(S159))))/((('入力・結果'!$G$3^2)+('入力・結果'!$G$4^2)-(2*'入力・結果'!$G$3*'入力・結果'!$G$4*COS(RADIANS(S159))))^(1/2))))</f>
        <v>9.327703418</v>
      </c>
      <c r="AB159" s="38">
        <f>DEGREES(ACOS((('入力・結果'!$G$3^2)+('入力・結果'!$G$4^2)+('入力・結果'!$G$5^2)-('入力・結果'!$G$6^2)-(2*'入力・結果'!$G$3*'入力・結果'!$G$4*COS(RADIANS(S159))))/(2*'入力・結果'!$G$5*(('入力・結果'!$G$3^2)+('入力・結果'!$G$4^2)-(2*'入力・結果'!$G$3*'入力・結果'!$G$4*(COS(RADIANS(S159)))))^(1/2))))</f>
        <v>10.64673873</v>
      </c>
      <c r="AC159" s="37">
        <f t="shared" si="19"/>
        <v>12317.05359</v>
      </c>
      <c r="AD159" s="37">
        <f t="shared" si="20"/>
        <v>12317.05359</v>
      </c>
      <c r="AE159" s="37" t="str">
        <f t="shared" si="21"/>
        <v/>
      </c>
      <c r="AF159" s="37" t="str">
        <f t="shared" si="22"/>
        <v/>
      </c>
      <c r="AG159" s="35"/>
      <c r="AH159" s="35"/>
      <c r="AI159" s="35"/>
      <c r="AJ159" s="35">
        <v>156.0</v>
      </c>
      <c r="AK159" s="35">
        <f t="shared" si="1"/>
        <v>4.837545515</v>
      </c>
    </row>
    <row r="160" ht="12.75" customHeight="1">
      <c r="A160" s="35"/>
      <c r="B160" s="37">
        <v>156.0</v>
      </c>
      <c r="C160" s="38">
        <f t="shared" si="2"/>
        <v>-45.67727288</v>
      </c>
      <c r="D160" s="38">
        <f t="shared" si="3"/>
        <v>-20.33683215</v>
      </c>
      <c r="E160" s="38">
        <f>'演算'!U160</f>
        <v>-4.818841452</v>
      </c>
      <c r="F160" s="38">
        <f t="shared" si="4"/>
        <v>4.818841452</v>
      </c>
      <c r="G160" s="38">
        <f t="shared" si="5"/>
        <v>-593.7331814</v>
      </c>
      <c r="H160" s="38">
        <f t="shared" si="6"/>
        <v>-66.53987413</v>
      </c>
      <c r="I160" s="39">
        <f t="shared" si="7"/>
        <v>597.4501198</v>
      </c>
      <c r="J160" s="38">
        <f t="shared" si="8"/>
        <v>-6.394475028</v>
      </c>
      <c r="K160" s="38" t="str">
        <f t="shared" si="9"/>
        <v/>
      </c>
      <c r="L160" s="38">
        <f t="shared" si="10"/>
        <v>1</v>
      </c>
      <c r="M160" s="38">
        <f t="shared" si="11"/>
        <v>173.605525</v>
      </c>
      <c r="N160" s="39">
        <f t="shared" si="12"/>
        <v>123.605525</v>
      </c>
      <c r="O160" s="39">
        <f t="shared" si="13"/>
        <v>-330.6718317</v>
      </c>
      <c r="P160" s="39">
        <f t="shared" si="14"/>
        <v>-497.597011</v>
      </c>
      <c r="Q160" s="38">
        <f t="shared" si="15"/>
        <v>-548.1272746</v>
      </c>
      <c r="R160" s="38">
        <f t="shared" si="16"/>
        <v>244.0419858</v>
      </c>
      <c r="S160" s="40">
        <v>156.0</v>
      </c>
      <c r="T160" s="37">
        <f t="shared" si="17"/>
        <v>19.18115855</v>
      </c>
      <c r="U160" s="37">
        <f t="shared" si="18"/>
        <v>-4.818841452</v>
      </c>
      <c r="V160" s="37">
        <f t="shared" si="23"/>
        <v>0.2067164013</v>
      </c>
      <c r="W160" s="37">
        <f>'入力・結果'!$I$7/V160</f>
        <v>1560108.429</v>
      </c>
      <c r="X160" s="39">
        <f>(W160/I160*10)*'入力・結果'!$I$8</f>
        <v>15667.66875</v>
      </c>
      <c r="Y160" s="38">
        <f>DEGREES(ACOS(('入力・結果'!$G$3-('入力・結果'!$G$4*COS(RADIANS(S160))))/((('入力・結果'!$G$3^2)+('入力・結果'!$G$4^2)-(2*'入力・結果'!$G$3*'入力・結果'!$G$4*COS(RADIANS(S160))))^(1/2))))</f>
        <v>15.04178752</v>
      </c>
      <c r="Z160" s="38">
        <f>DEGREES(ACOS((('入力・結果'!$G$3^2)+('入力・結果'!$G$4^2)-('入力・結果'!$G$5^2)+('入力・結果'!$G$6^2)-(2*'入力・結果'!$G$3*'入力・結果'!$G$4*COS(RADIANS(S160))))/(2*'入力・結果'!$G$6*(('入力・結果'!$G$3^2)+('入力・結果'!$G$4^2)-(2*'入力・結果'!$G$3*'入力・結果'!$G$4*(COS(RADIANS(S160)))))^(1/2))))</f>
        <v>13.19036415</v>
      </c>
      <c r="AA160" s="38">
        <f>DEGREES(ACOS(('入力・結果'!$G$4-('入力・結果'!$G$3*COS(RADIANS(S160))))/((('入力・結果'!$G$3^2)+('入力・結果'!$G$4^2)-(2*'入力・結果'!$G$3*'入力・結果'!$G$4*COS(RADIANS(S160))))^(1/2))))</f>
        <v>8.958212475</v>
      </c>
      <c r="AB160" s="38">
        <f>DEGREES(ACOS((('入力・結果'!$G$3^2)+('入力・結果'!$G$4^2)+('入力・結果'!$G$5^2)-('入力・結果'!$G$6^2)-(2*'入力・結果'!$G$3*'入力・結果'!$G$4*COS(RADIANS(S160))))/(2*'入力・結果'!$G$5*(('入力・結果'!$G$3^2)+('入力・結果'!$G$4^2)-(2*'入力・結果'!$G$3*'入力・結果'!$G$4*(COS(RADIANS(S160)))))^(1/2))))</f>
        <v>10.22294607</v>
      </c>
      <c r="AC160" s="37">
        <f t="shared" si="19"/>
        <v>12367.66875</v>
      </c>
      <c r="AD160" s="37">
        <f t="shared" si="20"/>
        <v>12367.66875</v>
      </c>
      <c r="AE160" s="37" t="str">
        <f t="shared" si="21"/>
        <v/>
      </c>
      <c r="AF160" s="37" t="str">
        <f t="shared" si="22"/>
        <v/>
      </c>
      <c r="AG160" s="35"/>
      <c r="AH160" s="35"/>
      <c r="AI160" s="35"/>
      <c r="AJ160" s="35">
        <v>157.0</v>
      </c>
      <c r="AK160" s="35">
        <f t="shared" si="1"/>
        <v>4.854245201</v>
      </c>
    </row>
    <row r="161" ht="12.75" customHeight="1">
      <c r="A161" s="35"/>
      <c r="B161" s="37">
        <v>157.0</v>
      </c>
      <c r="C161" s="38">
        <f t="shared" si="2"/>
        <v>-46.02524267</v>
      </c>
      <c r="D161" s="38">
        <f t="shared" si="3"/>
        <v>-19.53655642</v>
      </c>
      <c r="E161" s="38">
        <f>'演算'!U161</f>
        <v>-4.612836201</v>
      </c>
      <c r="F161" s="38">
        <f t="shared" si="4"/>
        <v>4.612836201</v>
      </c>
      <c r="G161" s="38">
        <f t="shared" si="5"/>
        <v>-594.2437301</v>
      </c>
      <c r="H161" s="38">
        <f t="shared" si="6"/>
        <v>-63.76878548</v>
      </c>
      <c r="I161" s="39">
        <f t="shared" si="7"/>
        <v>597.6554766</v>
      </c>
      <c r="J161" s="38">
        <f t="shared" si="8"/>
        <v>-6.125018075</v>
      </c>
      <c r="K161" s="38" t="str">
        <f t="shared" si="9"/>
        <v/>
      </c>
      <c r="L161" s="38">
        <f t="shared" si="10"/>
        <v>1</v>
      </c>
      <c r="M161" s="38">
        <f t="shared" si="11"/>
        <v>173.8749819</v>
      </c>
      <c r="N161" s="39">
        <f t="shared" si="12"/>
        <v>123.8749819</v>
      </c>
      <c r="O161" s="39">
        <f t="shared" si="13"/>
        <v>-333.1227831</v>
      </c>
      <c r="P161" s="39">
        <f t="shared" si="14"/>
        <v>-496.2068925</v>
      </c>
      <c r="Q161" s="38">
        <f t="shared" si="15"/>
        <v>-552.3029121</v>
      </c>
      <c r="R161" s="38">
        <f t="shared" si="16"/>
        <v>234.4386771</v>
      </c>
      <c r="S161" s="40">
        <v>157.0</v>
      </c>
      <c r="T161" s="37">
        <f t="shared" si="17"/>
        <v>18.3871638</v>
      </c>
      <c r="U161" s="37">
        <f t="shared" si="18"/>
        <v>-4.612836201</v>
      </c>
      <c r="V161" s="37">
        <f t="shared" si="23"/>
        <v>0.2060052508</v>
      </c>
      <c r="W161" s="37">
        <f>'入力・結果'!$I$7/V161</f>
        <v>1565494.077</v>
      </c>
      <c r="X161" s="39">
        <f>(W161/I161*10)*'入力・結果'!$I$8</f>
        <v>15716.35303</v>
      </c>
      <c r="Y161" s="38">
        <f>DEGREES(ACOS(('入力・結果'!$G$3-('入力・結果'!$G$4*COS(RADIANS(S161))))/((('入力・結果'!$G$3^2)+('入力・結果'!$G$4^2)-(2*'入力・結果'!$G$3*'入力・結果'!$G$4*COS(RADIANS(S161))))^(1/2))))</f>
        <v>14.41173032</v>
      </c>
      <c r="Z161" s="38">
        <f>DEGREES(ACOS((('入力・結果'!$G$3^2)+('入力・結果'!$G$4^2)-('入力・結果'!$G$5^2)+('入力・結果'!$G$6^2)-(2*'入力・結果'!$G$3*'入力・結果'!$G$4*COS(RADIANS(S161))))/(2*'入力・結果'!$G$6*(('入力・結果'!$G$3^2)+('入力・結果'!$G$4^2)-(2*'入力・結果'!$G$3*'入力・結果'!$G$4*(COS(RADIANS(S161)))))^(1/2))))</f>
        <v>12.63951993</v>
      </c>
      <c r="AA161" s="38">
        <f>DEGREES(ACOS(('入力・結果'!$G$4-('入力・結果'!$G$3*COS(RADIANS(S161))))/((('入力・結果'!$G$3^2)+('入力・結果'!$G$4^2)-(2*'入力・結果'!$G$3*'入力・結果'!$G$4*COS(RADIANS(S161))))^(1/2))))</f>
        <v>8.588269681</v>
      </c>
      <c r="AB161" s="38">
        <f>DEGREES(ACOS((('入力・結果'!$G$3^2)+('入力・結果'!$G$4^2)+('入力・結果'!$G$5^2)-('入力・結果'!$G$6^2)-(2*'入力・結果'!$G$3*'入力・結果'!$G$4*COS(RADIANS(S161))))/(2*'入力・結果'!$G$5*(('入力・結果'!$G$3^2)+('入力・結果'!$G$4^2)-(2*'入力・結果'!$G$3*'入力・結果'!$G$4*(COS(RADIANS(S161)))))^(1/2))))</f>
        <v>9.798894118</v>
      </c>
      <c r="AC161" s="37">
        <f t="shared" si="19"/>
        <v>12416.35303</v>
      </c>
      <c r="AD161" s="37">
        <f t="shared" si="20"/>
        <v>12416.35303</v>
      </c>
      <c r="AE161" s="37" t="str">
        <f t="shared" si="21"/>
        <v/>
      </c>
      <c r="AF161" s="37" t="str">
        <f t="shared" si="22"/>
        <v/>
      </c>
      <c r="AG161" s="35"/>
      <c r="AH161" s="35"/>
      <c r="AI161" s="35"/>
      <c r="AJ161" s="35">
        <v>158.0</v>
      </c>
      <c r="AK161" s="35">
        <f t="shared" si="1"/>
        <v>4.87028776</v>
      </c>
    </row>
    <row r="162" ht="12.75" customHeight="1">
      <c r="A162" s="35"/>
      <c r="B162" s="37">
        <v>158.0</v>
      </c>
      <c r="C162" s="38">
        <f t="shared" si="2"/>
        <v>-46.35919273</v>
      </c>
      <c r="D162" s="38">
        <f t="shared" si="3"/>
        <v>-18.73032967</v>
      </c>
      <c r="E162" s="38">
        <f>'演算'!U162</f>
        <v>-4.407509525</v>
      </c>
      <c r="F162" s="38">
        <f t="shared" si="4"/>
        <v>4.407509525</v>
      </c>
      <c r="G162" s="38">
        <f t="shared" si="5"/>
        <v>-594.7326714</v>
      </c>
      <c r="H162" s="38">
        <f t="shared" si="6"/>
        <v>-60.99766858</v>
      </c>
      <c r="I162" s="39">
        <f t="shared" si="7"/>
        <v>597.8525453</v>
      </c>
      <c r="J162" s="38">
        <f t="shared" si="8"/>
        <v>-5.855960758</v>
      </c>
      <c r="K162" s="38" t="str">
        <f t="shared" si="9"/>
        <v/>
      </c>
      <c r="L162" s="38">
        <f t="shared" si="10"/>
        <v>1</v>
      </c>
      <c r="M162" s="38">
        <f t="shared" si="11"/>
        <v>174.1440392</v>
      </c>
      <c r="N162" s="39">
        <f t="shared" si="12"/>
        <v>124.1440392</v>
      </c>
      <c r="O162" s="39">
        <f t="shared" si="13"/>
        <v>-335.5598672</v>
      </c>
      <c r="P162" s="39">
        <f t="shared" si="14"/>
        <v>-494.8002036</v>
      </c>
      <c r="Q162" s="38">
        <f t="shared" si="15"/>
        <v>-556.3103127</v>
      </c>
      <c r="R162" s="38">
        <f t="shared" si="16"/>
        <v>224.763956</v>
      </c>
      <c r="S162" s="40">
        <v>158.0</v>
      </c>
      <c r="T162" s="37">
        <f t="shared" si="17"/>
        <v>17.59249048</v>
      </c>
      <c r="U162" s="37">
        <f t="shared" si="18"/>
        <v>-4.407509525</v>
      </c>
      <c r="V162" s="37">
        <f t="shared" si="23"/>
        <v>0.2053266766</v>
      </c>
      <c r="W162" s="37">
        <f>'入力・結果'!$I$7/V162</f>
        <v>1570667.803</v>
      </c>
      <c r="X162" s="39">
        <f>(W162/I162*10)*'入力・結果'!$I$8</f>
        <v>15763.09558</v>
      </c>
      <c r="Y162" s="38">
        <f>DEGREES(ACOS(('入力・結果'!$G$3-('入力・結果'!$G$4*COS(RADIANS(S162))))/((('入力・結果'!$G$3^2)+('入力・結果'!$G$4^2)-(2*'入力・結果'!$G$3*'入力・結果'!$G$4*COS(RADIANS(S162))))^(1/2))))</f>
        <v>13.78210425</v>
      </c>
      <c r="Z162" s="38">
        <f>DEGREES(ACOS((('入力・結果'!$G$3^2)+('入力・結果'!$G$4^2)-('入力・結果'!$G$5^2)+('入力・結果'!$G$6^2)-(2*'入力・結果'!$G$3*'入力・結果'!$G$4*COS(RADIANS(S162))))/(2*'入力・結果'!$G$6*(('入力・結果'!$G$3^2)+('入力・結果'!$G$4^2)-(2*'入力・結果'!$G$3*'入力・結果'!$G$4*(COS(RADIANS(S162)))))^(1/2))))</f>
        <v>12.08883747</v>
      </c>
      <c r="AA162" s="38">
        <f>DEGREES(ACOS(('入力・結果'!$G$4-('入力・結果'!$G$3*COS(RADIANS(S162))))/((('入力・結果'!$G$3^2)+('入力・結果'!$G$4^2)-(2*'入力・結果'!$G$3*'入力・結果'!$G$4*COS(RADIANS(S162))))^(1/2))))</f>
        <v>8.217895752</v>
      </c>
      <c r="AB162" s="38">
        <f>DEGREES(ACOS((('入力・結果'!$G$3^2)+('入力・結果'!$G$4^2)+('入力・結果'!$G$5^2)-('入力・結果'!$G$6^2)-(2*'入力・結果'!$G$3*'入力・結果'!$G$4*COS(RADIANS(S162))))/(2*'入力・結果'!$G$5*(('入力・結果'!$G$3^2)+('入力・結果'!$G$4^2)-(2*'入力・結果'!$G$3*'入力・結果'!$G$4*(COS(RADIANS(S162)))))^(1/2))))</f>
        <v>9.374594724</v>
      </c>
      <c r="AC162" s="37">
        <f t="shared" si="19"/>
        <v>12463.09558</v>
      </c>
      <c r="AD162" s="37">
        <f t="shared" si="20"/>
        <v>12463.09558</v>
      </c>
      <c r="AE162" s="37" t="str">
        <f t="shared" si="21"/>
        <v/>
      </c>
      <c r="AF162" s="37" t="str">
        <f t="shared" si="22"/>
        <v/>
      </c>
      <c r="AG162" s="35"/>
      <c r="AH162" s="35"/>
      <c r="AI162" s="35"/>
      <c r="AJ162" s="35">
        <v>159.0</v>
      </c>
      <c r="AK162" s="35">
        <f t="shared" si="1"/>
        <v>4.885668304</v>
      </c>
    </row>
    <row r="163" ht="12.75" customHeight="1">
      <c r="A163" s="35"/>
      <c r="B163" s="37">
        <v>159.0</v>
      </c>
      <c r="C163" s="38">
        <f t="shared" si="2"/>
        <v>-46.67902132</v>
      </c>
      <c r="D163" s="38">
        <f t="shared" si="3"/>
        <v>-17.91839748</v>
      </c>
      <c r="E163" s="38">
        <f>'演算'!U163</f>
        <v>-4.202829236</v>
      </c>
      <c r="F163" s="38">
        <f t="shared" si="4"/>
        <v>4.202829236</v>
      </c>
      <c r="G163" s="38">
        <f t="shared" si="5"/>
        <v>-595.1999941</v>
      </c>
      <c r="H163" s="38">
        <f t="shared" si="6"/>
        <v>-58.22649163</v>
      </c>
      <c r="I163" s="39">
        <f t="shared" si="7"/>
        <v>598.0412672</v>
      </c>
      <c r="J163" s="38">
        <f t="shared" si="8"/>
        <v>-5.587282605</v>
      </c>
      <c r="K163" s="38" t="str">
        <f t="shared" si="9"/>
        <v/>
      </c>
      <c r="L163" s="38">
        <f t="shared" si="10"/>
        <v>1</v>
      </c>
      <c r="M163" s="38">
        <f t="shared" si="11"/>
        <v>174.4127174</v>
      </c>
      <c r="N163" s="39">
        <f t="shared" si="12"/>
        <v>124.4127174</v>
      </c>
      <c r="O163" s="39">
        <f t="shared" si="13"/>
        <v>-337.9831011</v>
      </c>
      <c r="P163" s="39">
        <f t="shared" si="14"/>
        <v>-493.3769154</v>
      </c>
      <c r="Q163" s="38">
        <f t="shared" si="15"/>
        <v>-560.1482559</v>
      </c>
      <c r="R163" s="38">
        <f t="shared" si="16"/>
        <v>215.0207697</v>
      </c>
      <c r="S163" s="40">
        <v>159.0</v>
      </c>
      <c r="T163" s="37">
        <f t="shared" si="17"/>
        <v>16.79717076</v>
      </c>
      <c r="U163" s="37">
        <f t="shared" si="18"/>
        <v>-4.202829236</v>
      </c>
      <c r="V163" s="37">
        <f t="shared" si="23"/>
        <v>0.2046802889</v>
      </c>
      <c r="W163" s="37">
        <f>'入力・結果'!$I$7/V163</f>
        <v>1575628.028</v>
      </c>
      <c r="X163" s="39">
        <f>(W163/I163*10)*'入力・結果'!$I$8</f>
        <v>15807.88599</v>
      </c>
      <c r="Y163" s="38">
        <f>DEGREES(ACOS(('入力・結果'!$G$3-('入力・結果'!$G$4*COS(RADIANS(S163))))/((('入力・結果'!$G$3^2)+('入力・結果'!$G$4^2)-(2*'入力・結果'!$G$3*'入力・結果'!$G$4*COS(RADIANS(S163))))^(1/2))))</f>
        <v>13.15288884</v>
      </c>
      <c r="Z163" s="38">
        <f>DEGREES(ACOS((('入力・結果'!$G$3^2)+('入力・結果'!$G$4^2)-('入力・結果'!$G$5^2)+('入力・結果'!$G$6^2)-(2*'入力・結果'!$G$3*'入力・結果'!$G$4*COS(RADIANS(S163))))/(2*'入力・結果'!$G$6*(('入力・結果'!$G$3^2)+('入力・結果'!$G$4^2)-(2*'入力・結果'!$G$3*'入力・結果'!$G$4*(COS(RADIANS(S163)))))^(1/2))))</f>
        <v>11.53830914</v>
      </c>
      <c r="AA163" s="38">
        <f>DEGREES(ACOS(('入力・結果'!$G$4-('入力・結果'!$G$3*COS(RADIANS(S163))))/((('入力・結果'!$G$3^2)+('入力・結果'!$G$4^2)-(2*'入力・結果'!$G$3*'入力・結果'!$G$4*COS(RADIANS(S163))))^(1/2))))</f>
        <v>7.847111156</v>
      </c>
      <c r="AB163" s="38">
        <f>DEGREES(ACOS((('入力・結果'!$G$3^2)+('入力・結果'!$G$4^2)+('入力・結果'!$G$5^2)-('入力・結果'!$G$6^2)-(2*'入力・結果'!$G$3*'入力・結果'!$G$4*COS(RADIANS(S163))))/(2*'入力・結果'!$G$5*(('入力・結果'!$G$3^2)+('入力・結果'!$G$4^2)-(2*'入力・結果'!$G$3*'入力・結果'!$G$4*(COS(RADIANS(S163)))))^(1/2))))</f>
        <v>8.950059609</v>
      </c>
      <c r="AC163" s="37">
        <f t="shared" si="19"/>
        <v>12507.88599</v>
      </c>
      <c r="AD163" s="37">
        <f t="shared" si="20"/>
        <v>12507.88599</v>
      </c>
      <c r="AE163" s="37" t="str">
        <f t="shared" si="21"/>
        <v/>
      </c>
      <c r="AF163" s="37" t="str">
        <f t="shared" si="22"/>
        <v/>
      </c>
      <c r="AG163" s="35"/>
      <c r="AH163" s="35"/>
      <c r="AI163" s="35"/>
      <c r="AJ163" s="35">
        <v>160.0</v>
      </c>
      <c r="AK163" s="35">
        <f t="shared" si="1"/>
        <v>4.900382144</v>
      </c>
    </row>
    <row r="164" ht="12.75" customHeight="1">
      <c r="A164" s="35"/>
      <c r="B164" s="37">
        <v>160.0</v>
      </c>
      <c r="C164" s="38">
        <f t="shared" si="2"/>
        <v>-46.98463104</v>
      </c>
      <c r="D164" s="38">
        <f t="shared" si="3"/>
        <v>-17.10100717</v>
      </c>
      <c r="E164" s="38">
        <f>'演算'!U164</f>
        <v>-3.998763518</v>
      </c>
      <c r="F164" s="38">
        <f t="shared" si="4"/>
        <v>3.998763518</v>
      </c>
      <c r="G164" s="38">
        <f t="shared" si="5"/>
        <v>-595.6456865</v>
      </c>
      <c r="H164" s="38">
        <f t="shared" si="6"/>
        <v>-55.45522725</v>
      </c>
      <c r="I164" s="39">
        <f t="shared" si="7"/>
        <v>598.2215861</v>
      </c>
      <c r="J164" s="38">
        <f t="shared" si="8"/>
        <v>-5.318963572</v>
      </c>
      <c r="K164" s="38" t="str">
        <f t="shared" si="9"/>
        <v/>
      </c>
      <c r="L164" s="38">
        <f t="shared" si="10"/>
        <v>1</v>
      </c>
      <c r="M164" s="38">
        <f t="shared" si="11"/>
        <v>174.6810364</v>
      </c>
      <c r="N164" s="39">
        <f t="shared" si="12"/>
        <v>124.6810364</v>
      </c>
      <c r="O164" s="39">
        <f t="shared" si="13"/>
        <v>-340.3924984</v>
      </c>
      <c r="P164" s="39">
        <f t="shared" si="14"/>
        <v>-491.9370012</v>
      </c>
      <c r="Q164" s="38">
        <f t="shared" si="15"/>
        <v>-563.8155725</v>
      </c>
      <c r="R164" s="38">
        <f t="shared" si="16"/>
        <v>205.212086</v>
      </c>
      <c r="S164" s="40">
        <v>160.0</v>
      </c>
      <c r="T164" s="37">
        <f t="shared" si="17"/>
        <v>16.00123648</v>
      </c>
      <c r="U164" s="37">
        <f t="shared" si="18"/>
        <v>-3.998763518</v>
      </c>
      <c r="V164" s="37">
        <f t="shared" si="23"/>
        <v>0.2040657179</v>
      </c>
      <c r="W164" s="37">
        <f>'入力・結果'!$I$7/V164</f>
        <v>1580373.241</v>
      </c>
      <c r="X164" s="39">
        <f>(W164/I164*10)*'入力・結果'!$I$8</f>
        <v>15850.7143</v>
      </c>
      <c r="Y164" s="38">
        <f>DEGREES(ACOS(('入力・結果'!$G$3-('入力・結果'!$G$4*COS(RADIANS(S164))))/((('入力・結果'!$G$3^2)+('入力・結果'!$G$4^2)-(2*'入力・結果'!$G$3*'入力・結果'!$G$4*COS(RADIANS(S164))))^(1/2))))</f>
        <v>12.52406388</v>
      </c>
      <c r="Z164" s="38">
        <f>DEGREES(ACOS((('入力・結果'!$G$3^2)+('入力・結果'!$G$4^2)-('入力・結果'!$G$5^2)+('入力・結果'!$G$6^2)-(2*'入力・結果'!$G$3*'入力・結果'!$G$4*COS(RADIANS(S164))))/(2*'入力・結果'!$G$6*(('入力・結果'!$G$3^2)+('入力・結果'!$G$4^2)-(2*'入力・結果'!$G$3*'入力・結果'!$G$4*(COS(RADIANS(S164)))))^(1/2))))</f>
        <v>10.98792738</v>
      </c>
      <c r="AA164" s="38">
        <f>DEGREES(ACOS(('入力・結果'!$G$4-('入力・結果'!$G$3*COS(RADIANS(S164))))/((('入力・結果'!$G$3^2)+('入力・結果'!$G$4^2)-(2*'入力・結果'!$G$3*'入力・結果'!$G$4*COS(RADIANS(S164))))^(1/2))))</f>
        <v>7.475936122</v>
      </c>
      <c r="AB164" s="38">
        <f>DEGREES(ACOS((('入力・結果'!$G$3^2)+('入力・結果'!$G$4^2)+('入力・結果'!$G$5^2)-('入力・結果'!$G$6^2)-(2*'入力・結果'!$G$3*'入力・結果'!$G$4*COS(RADIANS(S164))))/(2*'入力・結果'!$G$5*(('入力・結果'!$G$3^2)+('入力・結果'!$G$4^2)-(2*'入力・結果'!$G$3*'入力・結果'!$G$4*(COS(RADIANS(S164)))))^(1/2))))</f>
        <v>8.52530036</v>
      </c>
      <c r="AC164" s="37">
        <f t="shared" si="19"/>
        <v>12550.7143</v>
      </c>
      <c r="AD164" s="37">
        <f t="shared" si="20"/>
        <v>12550.7143</v>
      </c>
      <c r="AE164" s="37" t="str">
        <f t="shared" si="21"/>
        <v/>
      </c>
      <c r="AF164" s="37" t="str">
        <f t="shared" si="22"/>
        <v/>
      </c>
      <c r="AG164" s="35"/>
      <c r="AH164" s="35"/>
      <c r="AI164" s="35"/>
      <c r="AJ164" s="35">
        <v>161.0</v>
      </c>
      <c r="AK164" s="35">
        <f t="shared" si="1"/>
        <v>4.914424795</v>
      </c>
    </row>
    <row r="165" ht="12.75" customHeight="1">
      <c r="A165" s="35"/>
      <c r="B165" s="37">
        <v>161.0</v>
      </c>
      <c r="C165" s="38">
        <f t="shared" si="2"/>
        <v>-47.27592878</v>
      </c>
      <c r="D165" s="38">
        <f t="shared" si="3"/>
        <v>-16.27840772</v>
      </c>
      <c r="E165" s="38">
        <f>'演算'!U165</f>
        <v>-3.795280905</v>
      </c>
      <c r="F165" s="38">
        <f t="shared" si="4"/>
        <v>3.795280905</v>
      </c>
      <c r="G165" s="38">
        <f t="shared" si="5"/>
        <v>-596.0697367</v>
      </c>
      <c r="H165" s="38">
        <f t="shared" si="6"/>
        <v>-52.68385235</v>
      </c>
      <c r="I165" s="39">
        <f t="shared" si="7"/>
        <v>598.3934486</v>
      </c>
      <c r="J165" s="38">
        <f t="shared" si="8"/>
        <v>-5.050984019</v>
      </c>
      <c r="K165" s="38" t="str">
        <f t="shared" si="9"/>
        <v/>
      </c>
      <c r="L165" s="38">
        <f t="shared" si="10"/>
        <v>1</v>
      </c>
      <c r="M165" s="38">
        <f t="shared" si="11"/>
        <v>174.949016</v>
      </c>
      <c r="N165" s="39">
        <f t="shared" si="12"/>
        <v>124.949016</v>
      </c>
      <c r="O165" s="39">
        <f t="shared" si="13"/>
        <v>-342.7880689</v>
      </c>
      <c r="P165" s="39">
        <f t="shared" si="14"/>
        <v>-490.480437</v>
      </c>
      <c r="Q165" s="38">
        <f t="shared" si="15"/>
        <v>-567.3111454</v>
      </c>
      <c r="R165" s="38">
        <f t="shared" si="16"/>
        <v>195.3408927</v>
      </c>
      <c r="S165" s="40">
        <v>161.0</v>
      </c>
      <c r="T165" s="37">
        <f t="shared" si="17"/>
        <v>15.2047191</v>
      </c>
      <c r="U165" s="37">
        <f t="shared" si="18"/>
        <v>-3.795280905</v>
      </c>
      <c r="V165" s="37">
        <f t="shared" si="23"/>
        <v>0.2034826133</v>
      </c>
      <c r="W165" s="37">
        <f>'入力・結果'!$I$7/V165</f>
        <v>1584901.996</v>
      </c>
      <c r="X165" s="39">
        <f>(W165/I165*10)*'入力・結果'!$I$8</f>
        <v>15891.57101</v>
      </c>
      <c r="Y165" s="38">
        <f>DEGREES(ACOS(('入力・結果'!$G$3-('入力・結果'!$G$4*COS(RADIANS(S165))))/((('入力・結果'!$G$3^2)+('入力・結果'!$G$4^2)-(2*'入力・結果'!$G$3*'入力・結果'!$G$4*COS(RADIANS(S165))))^(1/2))))</f>
        <v>11.89560934</v>
      </c>
      <c r="Z165" s="38">
        <f>DEGREES(ACOS((('入力・結果'!$G$3^2)+('入力・結果'!$G$4^2)-('入力・結果'!$G$5^2)+('入力・結果'!$G$6^2)-(2*'入力・結果'!$G$3*'入力・結果'!$G$4*COS(RADIANS(S165))))/(2*'入力・結果'!$G$6*(('入力・結果'!$G$3^2)+('入力・結果'!$G$4^2)-(2*'入力・結果'!$G$3*'入力・結果'!$G$4*(COS(RADIANS(S165)))))^(1/2))))</f>
        <v>10.43768473</v>
      </c>
      <c r="AA165" s="38">
        <f>DEGREES(ACOS(('入力・結果'!$G$4-('入力・結果'!$G$3*COS(RADIANS(S165))))/((('入力・結果'!$G$3^2)+('入力・結果'!$G$4^2)-(2*'入力・結果'!$G$3*'入力・結果'!$G$4*COS(RADIANS(S165))))^(1/2))))</f>
        <v>7.104390656</v>
      </c>
      <c r="AB165" s="38">
        <f>DEGREES(ACOS((('入力・結果'!$G$3^2)+('入力・結果'!$G$4^2)+('入力・結果'!$G$5^2)-('入力・結果'!$G$6^2)-(2*'入力・結果'!$G$3*'入力・結果'!$G$4*COS(RADIANS(S165))))/(2*'入力・結果'!$G$5*(('入力・結果'!$G$3^2)+('入力・結果'!$G$4^2)-(2*'入力・結果'!$G$3*'入力・結果'!$G$4*(COS(RADIANS(S165)))))^(1/2))))</f>
        <v>8.100328439</v>
      </c>
      <c r="AC165" s="37">
        <f t="shared" si="19"/>
        <v>12591.57101</v>
      </c>
      <c r="AD165" s="37">
        <f t="shared" si="20"/>
        <v>12591.57101</v>
      </c>
      <c r="AE165" s="37" t="str">
        <f t="shared" si="21"/>
        <v/>
      </c>
      <c r="AF165" s="37" t="str">
        <f t="shared" si="22"/>
        <v/>
      </c>
      <c r="AG165" s="35"/>
      <c r="AH165" s="35"/>
      <c r="AI165" s="35"/>
      <c r="AJ165" s="35">
        <v>162.0</v>
      </c>
      <c r="AK165" s="35">
        <f t="shared" si="1"/>
        <v>4.927791977</v>
      </c>
    </row>
    <row r="166" ht="12.75" customHeight="1">
      <c r="A166" s="35"/>
      <c r="B166" s="37">
        <v>162.0</v>
      </c>
      <c r="C166" s="38">
        <f t="shared" si="2"/>
        <v>-47.55282581</v>
      </c>
      <c r="D166" s="38">
        <f t="shared" si="3"/>
        <v>-15.45084972</v>
      </c>
      <c r="E166" s="38">
        <f>'演算'!U166</f>
        <v>-3.592350261</v>
      </c>
      <c r="F166" s="38">
        <f t="shared" si="4"/>
        <v>3.592350261</v>
      </c>
      <c r="G166" s="38">
        <f t="shared" si="5"/>
        <v>-596.4721324</v>
      </c>
      <c r="H166" s="38">
        <f t="shared" si="6"/>
        <v>-49.91234783</v>
      </c>
      <c r="I166" s="39">
        <f t="shared" si="7"/>
        <v>598.5568037</v>
      </c>
      <c r="J166" s="38">
        <f t="shared" si="8"/>
        <v>-4.783324686</v>
      </c>
      <c r="K166" s="38" t="str">
        <f t="shared" si="9"/>
        <v/>
      </c>
      <c r="L166" s="38">
        <f t="shared" si="10"/>
        <v>1</v>
      </c>
      <c r="M166" s="38">
        <f t="shared" si="11"/>
        <v>175.2166753</v>
      </c>
      <c r="N166" s="39">
        <f t="shared" si="12"/>
        <v>125.2166753</v>
      </c>
      <c r="O166" s="39">
        <f t="shared" si="13"/>
        <v>-345.1698195</v>
      </c>
      <c r="P166" s="39">
        <f t="shared" si="14"/>
        <v>-489.0072013</v>
      </c>
      <c r="Q166" s="38">
        <f t="shared" si="15"/>
        <v>-570.6339098</v>
      </c>
      <c r="R166" s="38">
        <f t="shared" si="16"/>
        <v>185.4101966</v>
      </c>
      <c r="S166" s="40">
        <v>162.0</v>
      </c>
      <c r="T166" s="37">
        <f t="shared" si="17"/>
        <v>14.40764974</v>
      </c>
      <c r="U166" s="37">
        <f t="shared" si="18"/>
        <v>-3.592350261</v>
      </c>
      <c r="V166" s="37">
        <f t="shared" si="23"/>
        <v>0.2029306441</v>
      </c>
      <c r="W166" s="37">
        <f>'入力・結果'!$I$7/V166</f>
        <v>1589212.913</v>
      </c>
      <c r="X166" s="39">
        <f>(W166/I166*10)*'入力・結果'!$I$8</f>
        <v>15930.44706</v>
      </c>
      <c r="Y166" s="38">
        <f>DEGREES(ACOS(('入力・結果'!$G$3-('入力・結果'!$G$4*COS(RADIANS(S166))))/((('入力・結果'!$G$3^2)+('入力・結果'!$G$4^2)-(2*'入力・結果'!$G$3*'入力・結果'!$G$4*COS(RADIANS(S166))))^(1/2))))</f>
        <v>11.26750545</v>
      </c>
      <c r="Z166" s="38">
        <f>DEGREES(ACOS((('入力・結果'!$G$3^2)+('入力・結果'!$G$4^2)-('入力・結果'!$G$5^2)+('入力・結果'!$G$6^2)-(2*'入力・結果'!$G$3*'入力・結果'!$G$4*COS(RADIANS(S166))))/(2*'入力・結果'!$G$6*(('入力・結果'!$G$3^2)+('入力・結果'!$G$4^2)-(2*'入力・結果'!$G$3*'入力・結果'!$G$4*(COS(RADIANS(S166)))))^(1/2))))</f>
        <v>9.887573781</v>
      </c>
      <c r="AA166" s="38">
        <f>DEGREES(ACOS(('入力・結果'!$G$4-('入力・結果'!$G$3*COS(RADIANS(S166))))/((('入力・結果'!$G$3^2)+('入力・結果'!$G$4^2)-(2*'入力・結果'!$G$3*'入力・結果'!$G$4*COS(RADIANS(S166))))^(1/2))))</f>
        <v>6.73249455</v>
      </c>
      <c r="AB166" s="38">
        <f>DEGREES(ACOS((('入力・結果'!$G$3^2)+('入力・結果'!$G$4^2)+('入力・結果'!$G$5^2)-('入力・結果'!$G$6^2)-(2*'入力・結果'!$G$3*'入力・結果'!$G$4*COS(RADIANS(S166))))/(2*'入力・結果'!$G$5*(('入力・結果'!$G$3^2)+('入力・結果'!$G$4^2)-(2*'入力・結果'!$G$3*'入力・結果'!$G$4*(COS(RADIANS(S166)))))^(1/2))))</f>
        <v>7.67515519</v>
      </c>
      <c r="AC166" s="37">
        <f t="shared" si="19"/>
        <v>12630.44706</v>
      </c>
      <c r="AD166" s="37">
        <f t="shared" si="20"/>
        <v>12630.44706</v>
      </c>
      <c r="AE166" s="37" t="str">
        <f t="shared" si="21"/>
        <v/>
      </c>
      <c r="AF166" s="37" t="str">
        <f t="shared" si="22"/>
        <v/>
      </c>
      <c r="AG166" s="35"/>
      <c r="AH166" s="35"/>
      <c r="AI166" s="35"/>
      <c r="AJ166" s="35">
        <v>163.0</v>
      </c>
      <c r="AK166" s="35">
        <f t="shared" si="1"/>
        <v>4.940479616</v>
      </c>
    </row>
    <row r="167" ht="12.75" customHeight="1">
      <c r="A167" s="35"/>
      <c r="B167" s="37">
        <v>163.0</v>
      </c>
      <c r="C167" s="38">
        <f t="shared" si="2"/>
        <v>-47.8152378</v>
      </c>
      <c r="D167" s="38">
        <f t="shared" si="3"/>
        <v>-14.61858524</v>
      </c>
      <c r="E167" s="38">
        <f>'演算'!U167</f>
        <v>-3.389940762</v>
      </c>
      <c r="F167" s="38">
        <f t="shared" si="4"/>
        <v>3.389940762</v>
      </c>
      <c r="G167" s="38">
        <f t="shared" si="5"/>
        <v>-596.8528614</v>
      </c>
      <c r="H167" s="38">
        <f t="shared" si="6"/>
        <v>-47.14069842</v>
      </c>
      <c r="I167" s="39">
        <f t="shared" si="7"/>
        <v>598.7116031</v>
      </c>
      <c r="J167" s="38">
        <f t="shared" si="8"/>
        <v>-4.515966675</v>
      </c>
      <c r="K167" s="38" t="str">
        <f t="shared" si="9"/>
        <v/>
      </c>
      <c r="L167" s="38">
        <f t="shared" si="10"/>
        <v>1</v>
      </c>
      <c r="M167" s="38">
        <f t="shared" si="11"/>
        <v>175.4840333</v>
      </c>
      <c r="N167" s="39">
        <f t="shared" si="12"/>
        <v>125.4840333</v>
      </c>
      <c r="O167" s="39">
        <f t="shared" si="13"/>
        <v>-347.5377541</v>
      </c>
      <c r="P167" s="39">
        <f t="shared" si="14"/>
        <v>-487.5172747</v>
      </c>
      <c r="Q167" s="38">
        <f t="shared" si="15"/>
        <v>-573.7828536</v>
      </c>
      <c r="R167" s="38">
        <f t="shared" si="16"/>
        <v>175.4230228</v>
      </c>
      <c r="S167" s="40">
        <v>163.0</v>
      </c>
      <c r="T167" s="37">
        <f t="shared" si="17"/>
        <v>13.61005924</v>
      </c>
      <c r="U167" s="37">
        <f t="shared" si="18"/>
        <v>-3.389940762</v>
      </c>
      <c r="V167" s="37">
        <f t="shared" si="23"/>
        <v>0.2024094982</v>
      </c>
      <c r="W167" s="37">
        <f>'入力・結果'!$I$7/V167</f>
        <v>1593304.676</v>
      </c>
      <c r="X167" s="39">
        <f>(W167/I167*10)*'入力・結果'!$I$8</f>
        <v>15967.33387</v>
      </c>
      <c r="Y167" s="38">
        <f>DEGREES(ACOS(('入力・結果'!$G$3-('入力・結果'!$G$4*COS(RADIANS(S167))))/((('入力・結果'!$G$3^2)+('入力・結果'!$G$4^2)-(2*'入力・結果'!$G$3*'入力・結果'!$G$4*COS(RADIANS(S167))))^(1/2))))</f>
        <v>10.6397326</v>
      </c>
      <c r="Z167" s="38">
        <f>DEGREES(ACOS((('入力・結果'!$G$3^2)+('入力・結果'!$G$4^2)-('入力・結果'!$G$5^2)+('入力・結果'!$G$6^2)-(2*'入力・結果'!$G$3*'入力・結果'!$G$4*COS(RADIANS(S167))))/(2*'入力・結果'!$G$6*(('入力・結果'!$G$3^2)+('入力・結果'!$G$4^2)-(2*'入力・結果'!$G$3*'入力・結果'!$G$4*(COS(RADIANS(S167)))))^(1/2))))</f>
        <v>9.3375872</v>
      </c>
      <c r="AA167" s="38">
        <f>DEGREES(ACOS(('入力・結果'!$G$4-('入力・結果'!$G$3*COS(RADIANS(S167))))/((('入力・結果'!$G$3^2)+('入力・結果'!$G$4^2)-(2*'入力・結果'!$G$3*'入力・結果'!$G$4*COS(RADIANS(S167))))^(1/2))))</f>
        <v>6.360267395</v>
      </c>
      <c r="AB167" s="38">
        <f>DEGREES(ACOS((('入力・結果'!$G$3^2)+('入力・結果'!$G$4^2)+('入力・結果'!$G$5^2)-('入力・結果'!$G$6^2)-(2*'入力・結果'!$G$3*'入力・結果'!$G$4*COS(RADIANS(S167))))/(2*'入力・結果'!$G$5*(('入力・結果'!$G$3^2)+('入力・結果'!$G$4^2)-(2*'入力・結果'!$G$3*'入力・結果'!$G$4*(COS(RADIANS(S167)))))^(1/2))))</f>
        <v>7.249791842</v>
      </c>
      <c r="AC167" s="37">
        <f t="shared" si="19"/>
        <v>12667.33387</v>
      </c>
      <c r="AD167" s="37">
        <f t="shared" si="20"/>
        <v>12667.33387</v>
      </c>
      <c r="AE167" s="37" t="str">
        <f t="shared" si="21"/>
        <v/>
      </c>
      <c r="AF167" s="37" t="str">
        <f t="shared" si="22"/>
        <v/>
      </c>
      <c r="AG167" s="35"/>
      <c r="AH167" s="35"/>
      <c r="AI167" s="35"/>
      <c r="AJ167" s="35">
        <v>164.0</v>
      </c>
      <c r="AK167" s="35">
        <f t="shared" si="1"/>
        <v>4.952483845</v>
      </c>
    </row>
    <row r="168" ht="12.75" customHeight="1">
      <c r="A168" s="35"/>
      <c r="B168" s="37">
        <v>164.0</v>
      </c>
      <c r="C168" s="38">
        <f t="shared" si="2"/>
        <v>-48.0630848</v>
      </c>
      <c r="D168" s="38">
        <f t="shared" si="3"/>
        <v>-13.78186779</v>
      </c>
      <c r="E168" s="38">
        <f>'演算'!U168</f>
        <v>-3.188021881</v>
      </c>
      <c r="F168" s="38">
        <f t="shared" si="4"/>
        <v>3.188021881</v>
      </c>
      <c r="G168" s="38">
        <f t="shared" si="5"/>
        <v>-597.2119115</v>
      </c>
      <c r="H168" s="38">
        <f t="shared" si="6"/>
        <v>-44.36889246</v>
      </c>
      <c r="I168" s="39">
        <f t="shared" si="7"/>
        <v>598.8578011</v>
      </c>
      <c r="J168" s="38">
        <f t="shared" si="8"/>
        <v>-4.248891425</v>
      </c>
      <c r="K168" s="38" t="str">
        <f t="shared" si="9"/>
        <v/>
      </c>
      <c r="L168" s="38">
        <f t="shared" si="10"/>
        <v>1</v>
      </c>
      <c r="M168" s="38">
        <f t="shared" si="11"/>
        <v>175.7511086</v>
      </c>
      <c r="N168" s="39">
        <f t="shared" si="12"/>
        <v>125.7511086</v>
      </c>
      <c r="O168" s="39">
        <f t="shared" si="13"/>
        <v>-349.8918736</v>
      </c>
      <c r="P168" s="39">
        <f t="shared" si="14"/>
        <v>-486.0106405</v>
      </c>
      <c r="Q168" s="38">
        <f t="shared" si="15"/>
        <v>-576.7570176</v>
      </c>
      <c r="R168" s="38">
        <f t="shared" si="16"/>
        <v>165.3824135</v>
      </c>
      <c r="S168" s="40">
        <v>164.0</v>
      </c>
      <c r="T168" s="37">
        <f t="shared" si="17"/>
        <v>12.81197812</v>
      </c>
      <c r="U168" s="37">
        <f t="shared" si="18"/>
        <v>-3.188021881</v>
      </c>
      <c r="V168" s="37">
        <f t="shared" si="23"/>
        <v>0.2019188818</v>
      </c>
      <c r="W168" s="37">
        <f>'入力・結果'!$I$7/V168</f>
        <v>1597176.04</v>
      </c>
      <c r="X168" s="39">
        <f>(W168/I168*10)*'入力・結果'!$I$8</f>
        <v>16002.22327</v>
      </c>
      <c r="Y168" s="38">
        <f>DEGREES(ACOS(('入力・結果'!$G$3-('入力・結果'!$G$4*COS(RADIANS(S168))))/((('入力・結果'!$G$3^2)+('入力・結果'!$G$4^2)-(2*'入力・結果'!$G$3*'入力・結果'!$G$4*COS(RADIANS(S168))))^(1/2))))</f>
        <v>10.0122714</v>
      </c>
      <c r="Z168" s="38">
        <f>DEGREES(ACOS((('入力・結果'!$G$3^2)+('入力・結果'!$G$4^2)-('入力・結果'!$G$5^2)+('入力・結果'!$G$6^2)-(2*'入力・結果'!$G$3*'入力・結果'!$G$4*COS(RADIANS(S168))))/(2*'入力・結果'!$G$6*(('入力・結果'!$G$3^2)+('入力・結果'!$G$4^2)-(2*'入力・結果'!$G$3*'入力・結果'!$G$4*(COS(RADIANS(S168)))))^(1/2))))</f>
        <v>8.787717723</v>
      </c>
      <c r="AA168" s="38">
        <f>DEGREES(ACOS(('入力・結果'!$G$4-('入力・結果'!$G$3*COS(RADIANS(S168))))/((('入力・結果'!$G$3^2)+('入力・結果'!$G$4^2)-(2*'入力・結果'!$G$3*'入力・結果'!$G$4*COS(RADIANS(S168))))^(1/2))))</f>
        <v>5.987728596</v>
      </c>
      <c r="AB168" s="38">
        <f>DEGREES(ACOS((('入力・結果'!$G$3^2)+('入力・結果'!$G$4^2)+('入力・結果'!$G$5^2)-('入力・結果'!$G$6^2)-(2*'入力・結果'!$G$3*'入力・結果'!$G$4*COS(RADIANS(S168))))/(2*'入力・結果'!$G$5*(('入力・結果'!$G$3^2)+('入力・結果'!$G$4^2)-(2*'入力・結果'!$G$3*'入力・結果'!$G$4*(COS(RADIANS(S168)))))^(1/2))))</f>
        <v>6.824249523</v>
      </c>
      <c r="AC168" s="37">
        <f t="shared" si="19"/>
        <v>12702.22327</v>
      </c>
      <c r="AD168" s="37">
        <f t="shared" si="20"/>
        <v>12702.22327</v>
      </c>
      <c r="AE168" s="37" t="str">
        <f t="shared" si="21"/>
        <v/>
      </c>
      <c r="AF168" s="37" t="str">
        <f t="shared" si="22"/>
        <v/>
      </c>
      <c r="AG168" s="35"/>
      <c r="AH168" s="35"/>
      <c r="AI168" s="35"/>
      <c r="AJ168" s="35">
        <v>165.0</v>
      </c>
      <c r="AK168" s="35">
        <f t="shared" si="1"/>
        <v>4.963801004</v>
      </c>
    </row>
    <row r="169" ht="12.75" customHeight="1">
      <c r="A169" s="35"/>
      <c r="B169" s="37">
        <v>165.0</v>
      </c>
      <c r="C169" s="38">
        <f t="shared" si="2"/>
        <v>-48.29629131</v>
      </c>
      <c r="D169" s="38">
        <f t="shared" si="3"/>
        <v>-12.94095226</v>
      </c>
      <c r="E169" s="38">
        <f>'演算'!U169</f>
        <v>-2.986563361</v>
      </c>
      <c r="F169" s="38">
        <f t="shared" si="4"/>
        <v>2.986563361</v>
      </c>
      <c r="G169" s="38">
        <f t="shared" si="5"/>
        <v>-597.5492707</v>
      </c>
      <c r="H169" s="38">
        <f t="shared" si="6"/>
        <v>-41.59692169</v>
      </c>
      <c r="I169" s="39">
        <f t="shared" si="7"/>
        <v>598.9953546</v>
      </c>
      <c r="J169" s="38">
        <f t="shared" si="8"/>
        <v>-3.982080693</v>
      </c>
      <c r="K169" s="38" t="str">
        <f t="shared" si="9"/>
        <v/>
      </c>
      <c r="L169" s="38">
        <f t="shared" si="10"/>
        <v>1</v>
      </c>
      <c r="M169" s="38">
        <f t="shared" si="11"/>
        <v>176.0179193</v>
      </c>
      <c r="N169" s="39">
        <f t="shared" si="12"/>
        <v>126.0179193</v>
      </c>
      <c r="O169" s="39">
        <f t="shared" si="13"/>
        <v>-352.2321767</v>
      </c>
      <c r="P169" s="39">
        <f t="shared" si="14"/>
        <v>-484.4872842</v>
      </c>
      <c r="Q169" s="38">
        <f t="shared" si="15"/>
        <v>-579.5554958</v>
      </c>
      <c r="R169" s="38">
        <f t="shared" si="16"/>
        <v>155.2914271</v>
      </c>
      <c r="S169" s="40">
        <v>165.0</v>
      </c>
      <c r="T169" s="37">
        <f t="shared" si="17"/>
        <v>12.01343664</v>
      </c>
      <c r="U169" s="37">
        <f t="shared" si="18"/>
        <v>-2.986563361</v>
      </c>
      <c r="V169" s="37">
        <f t="shared" si="23"/>
        <v>0.2014585192</v>
      </c>
      <c r="W169" s="37">
        <f>'入力・結果'!$I$7/V169</f>
        <v>1600825.824</v>
      </c>
      <c r="X169" s="39">
        <f>(W169/I169*10)*'入力・結果'!$I$8</f>
        <v>16035.10757</v>
      </c>
      <c r="Y169" s="38">
        <f>DEGREES(ACOS(('入力・結果'!$G$3-('入力・結果'!$G$4*COS(RADIANS(S169))))/((('入力・結果'!$G$3^2)+('入力・結果'!$G$4^2)-(2*'入力・結果'!$G$3*'入力・結果'!$G$4*COS(RADIANS(S169))))^(1/2))))</f>
        <v>9.385102621</v>
      </c>
      <c r="Z169" s="38">
        <f>DEGREES(ACOS((('入力・結果'!$G$3^2)+('入力・結果'!$G$4^2)-('入力・結果'!$G$5^2)+('入力・結果'!$G$6^2)-(2*'入力・結果'!$G$3*'入力・結果'!$G$4*COS(RADIANS(S169))))/(2*'入力・結果'!$G$6*(('入力・結果'!$G$3^2)+('入力・結果'!$G$4^2)-(2*'入力・結果'!$G$3*'入力・結果'!$G$4*(COS(RADIANS(S169)))))^(1/2))))</f>
        <v>8.237958149</v>
      </c>
      <c r="AA169" s="38">
        <f>DEGREES(ACOS(('入力・結果'!$G$4-('入力・結果'!$G$3*COS(RADIANS(S169))))/((('入力・結果'!$G$3^2)+('入力・結果'!$G$4^2)-(2*'入力・結果'!$G$3*'入力・結果'!$G$4*COS(RADIANS(S169))))^(1/2))))</f>
        <v>5.614897379</v>
      </c>
      <c r="AB169" s="38">
        <f>DEGREES(ACOS((('入力・結果'!$G$3^2)+('入力・結果'!$G$4^2)+('入力・結果'!$G$5^2)-('入力・結果'!$G$6^2)-(2*'入力・結果'!$G$3*'入力・結果'!$G$4*COS(RADIANS(S169))))/(2*'入力・結果'!$G$5*(('入力・結果'!$G$3^2)+('入力・結果'!$G$4^2)-(2*'入力・結果'!$G$3*'入力・結果'!$G$4*(COS(RADIANS(S169)))))^(1/2))))</f>
        <v>6.39853926</v>
      </c>
      <c r="AC169" s="37">
        <f t="shared" si="19"/>
        <v>12735.10757</v>
      </c>
      <c r="AD169" s="37">
        <f t="shared" si="20"/>
        <v>12735.10757</v>
      </c>
      <c r="AE169" s="37" t="str">
        <f t="shared" si="21"/>
        <v/>
      </c>
      <c r="AF169" s="37" t="str">
        <f t="shared" si="22"/>
        <v/>
      </c>
      <c r="AG169" s="35"/>
      <c r="AH169" s="35"/>
      <c r="AI169" s="35"/>
      <c r="AJ169" s="35">
        <v>166.0</v>
      </c>
      <c r="AK169" s="35">
        <f t="shared" si="1"/>
        <v>4.974427645</v>
      </c>
    </row>
    <row r="170" ht="12.75" customHeight="1">
      <c r="A170" s="35"/>
      <c r="B170" s="37">
        <v>166.0</v>
      </c>
      <c r="C170" s="38">
        <f t="shared" si="2"/>
        <v>-48.51478631</v>
      </c>
      <c r="D170" s="38">
        <f t="shared" si="3"/>
        <v>-12.09609478</v>
      </c>
      <c r="E170" s="38">
        <f>'演算'!U170</f>
        <v>-2.785535209</v>
      </c>
      <c r="F170" s="38">
        <f t="shared" si="4"/>
        <v>2.785535209</v>
      </c>
      <c r="G170" s="38">
        <f t="shared" si="5"/>
        <v>-597.8649272</v>
      </c>
      <c r="H170" s="38">
        <f t="shared" si="6"/>
        <v>-38.82478105</v>
      </c>
      <c r="I170" s="39">
        <f t="shared" si="7"/>
        <v>599.1242232</v>
      </c>
      <c r="J170" s="38">
        <f t="shared" si="8"/>
        <v>-3.715516536</v>
      </c>
      <c r="K170" s="38" t="str">
        <f t="shared" si="9"/>
        <v/>
      </c>
      <c r="L170" s="38">
        <f t="shared" si="10"/>
        <v>1</v>
      </c>
      <c r="M170" s="38">
        <f t="shared" si="11"/>
        <v>176.2844835</v>
      </c>
      <c r="N170" s="39">
        <f t="shared" si="12"/>
        <v>126.2844835</v>
      </c>
      <c r="O170" s="39">
        <f t="shared" si="13"/>
        <v>-354.5586597</v>
      </c>
      <c r="P170" s="39">
        <f t="shared" si="14"/>
        <v>-482.9471935</v>
      </c>
      <c r="Q170" s="38">
        <f t="shared" si="15"/>
        <v>-582.1774358</v>
      </c>
      <c r="R170" s="38">
        <f t="shared" si="16"/>
        <v>145.1531374</v>
      </c>
      <c r="S170" s="40">
        <v>166.0</v>
      </c>
      <c r="T170" s="37">
        <f t="shared" si="17"/>
        <v>11.21446479</v>
      </c>
      <c r="U170" s="37">
        <f t="shared" si="18"/>
        <v>-2.785535209</v>
      </c>
      <c r="V170" s="37">
        <f t="shared" si="23"/>
        <v>0.2010281527</v>
      </c>
      <c r="W170" s="37">
        <f>'入力・結果'!$I$7/V170</f>
        <v>1604252.915</v>
      </c>
      <c r="X170" s="39">
        <f>(W170/I170*10)*'入力・結果'!$I$8</f>
        <v>16065.97951</v>
      </c>
      <c r="Y170" s="38">
        <f>DEGREES(ACOS(('入力・結果'!$G$3-('入力・結果'!$G$4*COS(RADIANS(S170))))/((('入力・結果'!$G$3^2)+('入力・結果'!$G$4^2)-(2*'入力・結果'!$G$3*'入力・結果'!$G$4*COS(RADIANS(S170))))^(1/2))))</f>
        <v>8.758207196</v>
      </c>
      <c r="Z170" s="38">
        <f>DEGREES(ACOS((('入力・結果'!$G$3^2)+('入力・結果'!$G$4^2)-('入力・結果'!$G$5^2)+('入力・結果'!$G$6^2)-(2*'入力・結果'!$G$3*'入力・結果'!$G$4*COS(RADIANS(S170))))/(2*'入力・結果'!$G$6*(('入力・結果'!$G$3^2)+('入力・結果'!$G$4^2)-(2*'入力・結果'!$G$3*'入力・結果'!$G$4*(COS(RADIANS(S170)))))^(1/2))))</f>
        <v>7.688301334</v>
      </c>
      <c r="AA170" s="38">
        <f>DEGREES(ACOS(('入力・結果'!$G$4-('入力・結果'!$G$3*COS(RADIANS(S170))))/((('入力・結果'!$G$3^2)+('入力・結果'!$G$4^2)-(2*'入力・結果'!$G$3*'入力・結果'!$G$4*COS(RADIANS(S170))))^(1/2))))</f>
        <v>5.241792804</v>
      </c>
      <c r="AB170" s="38">
        <f>DEGREES(ACOS((('入力・結果'!$G$3^2)+('入力・結果'!$G$4^2)+('入力・結果'!$G$5^2)-('入力・結果'!$G$6^2)-(2*'入力・結果'!$G$3*'入力・結果'!$G$4*COS(RADIANS(S170))))/(2*'入力・結果'!$G$5*(('入力・結果'!$G$3^2)+('入力・結果'!$G$4^2)-(2*'入力・結果'!$G$3*'入力・結果'!$G$4*(COS(RADIANS(S170)))))^(1/2))))</f>
        <v>5.972671987</v>
      </c>
      <c r="AC170" s="37">
        <f t="shared" si="19"/>
        <v>12765.97951</v>
      </c>
      <c r="AD170" s="37">
        <f t="shared" si="20"/>
        <v>12765.97951</v>
      </c>
      <c r="AE170" s="37" t="str">
        <f t="shared" si="21"/>
        <v/>
      </c>
      <c r="AF170" s="37" t="str">
        <f t="shared" si="22"/>
        <v/>
      </c>
      <c r="AG170" s="35"/>
      <c r="AH170" s="35"/>
      <c r="AI170" s="35"/>
      <c r="AJ170" s="35">
        <v>167.0</v>
      </c>
      <c r="AK170" s="35">
        <f t="shared" si="1"/>
        <v>4.984360528</v>
      </c>
    </row>
    <row r="171" ht="12.75" customHeight="1">
      <c r="A171" s="35"/>
      <c r="B171" s="37">
        <v>167.0</v>
      </c>
      <c r="C171" s="38">
        <f t="shared" si="2"/>
        <v>-48.71850324</v>
      </c>
      <c r="D171" s="38">
        <f t="shared" si="3"/>
        <v>-11.24755272</v>
      </c>
      <c r="E171" s="38">
        <f>'演算'!U171</f>
        <v>-2.584907667</v>
      </c>
      <c r="F171" s="38">
        <f t="shared" si="4"/>
        <v>2.584907667</v>
      </c>
      <c r="G171" s="38">
        <f t="shared" si="5"/>
        <v>-598.1588696</v>
      </c>
      <c r="H171" s="38">
        <f t="shared" si="6"/>
        <v>-36.05246847</v>
      </c>
      <c r="I171" s="39">
        <f t="shared" si="7"/>
        <v>599.244369</v>
      </c>
      <c r="J171" s="38">
        <f t="shared" si="8"/>
        <v>-3.449181286</v>
      </c>
      <c r="K171" s="38" t="str">
        <f t="shared" si="9"/>
        <v/>
      </c>
      <c r="L171" s="38">
        <f t="shared" si="10"/>
        <v>1</v>
      </c>
      <c r="M171" s="38">
        <f t="shared" si="11"/>
        <v>176.5508187</v>
      </c>
      <c r="N171" s="39">
        <f t="shared" si="12"/>
        <v>126.5508187</v>
      </c>
      <c r="O171" s="39">
        <f t="shared" si="13"/>
        <v>-356.8713169</v>
      </c>
      <c r="P171" s="39">
        <f t="shared" si="14"/>
        <v>-481.3903582</v>
      </c>
      <c r="Q171" s="38">
        <f t="shared" si="15"/>
        <v>-584.6220389</v>
      </c>
      <c r="R171" s="38">
        <f t="shared" si="16"/>
        <v>134.9706326</v>
      </c>
      <c r="S171" s="40">
        <v>167.0</v>
      </c>
      <c r="T171" s="37">
        <f t="shared" si="17"/>
        <v>10.41509233</v>
      </c>
      <c r="U171" s="37">
        <f t="shared" si="18"/>
        <v>-2.584907667</v>
      </c>
      <c r="V171" s="37">
        <f t="shared" si="23"/>
        <v>0.2006275418</v>
      </c>
      <c r="W171" s="37">
        <f>'入力・結果'!$I$7/V171</f>
        <v>1607456.27</v>
      </c>
      <c r="X171" s="39">
        <f>(W171/I171*10)*'入力・結果'!$I$8</f>
        <v>16094.83229</v>
      </c>
      <c r="Y171" s="38">
        <f>DEGREES(ACOS(('入力・結果'!$G$3-('入力・結果'!$G$4*COS(RADIANS(S171))))/((('入力・結果'!$G$3^2)+('入力・結果'!$G$4^2)-(2*'入力・結果'!$G$3*'入力・結果'!$G$4*COS(RADIANS(S171))))^(1/2))))</f>
        <v>8.131566221</v>
      </c>
      <c r="Z171" s="38">
        <f>DEGREES(ACOS((('入力・結果'!$G$3^2)+('入力・結果'!$G$4^2)-('入力・結果'!$G$5^2)+('入力・結果'!$G$6^2)-(2*'入力・結果'!$G$3*'入力・結果'!$G$4*COS(RADIANS(S171))))/(2*'入力・結果'!$G$6*(('入力・結果'!$G$3^2)+('入力・結果'!$G$4^2)-(2*'入力・結果'!$G$3*'入力・結果'!$G$4*(COS(RADIANS(S171)))))^(1/2))))</f>
        <v>7.138740186</v>
      </c>
      <c r="AA171" s="38">
        <f>DEGREES(ACOS(('入力・結果'!$G$4-('入力・結果'!$G$3*COS(RADIANS(S171))))/((('入力・結果'!$G$3^2)+('入力・結果'!$G$4^2)-(2*'入力・結果'!$G$3*'入力・結果'!$G$4*COS(RADIANS(S171))))^(1/2))))</f>
        <v>4.868433779</v>
      </c>
      <c r="AB171" s="38">
        <f>DEGREES(ACOS((('入力・結果'!$G$3^2)+('入力・結果'!$G$4^2)+('入力・結果'!$G$5^2)-('入力・結果'!$G$6^2)-(2*'入力・結果'!$G$3*'入力・結果'!$G$4*COS(RADIANS(S171))))/(2*'入力・結果'!$G$5*(('入力・結果'!$G$3^2)+('入力・結果'!$G$4^2)-(2*'入力・結果'!$G$3*'入力・結果'!$G$4*(COS(RADIANS(S171)))))^(1/2))))</f>
        <v>5.546658554</v>
      </c>
      <c r="AC171" s="37">
        <f t="shared" si="19"/>
        <v>12794.83229</v>
      </c>
      <c r="AD171" s="37">
        <f t="shared" si="20"/>
        <v>12794.83229</v>
      </c>
      <c r="AE171" s="37" t="str">
        <f t="shared" si="21"/>
        <v/>
      </c>
      <c r="AF171" s="37" t="str">
        <f t="shared" si="22"/>
        <v/>
      </c>
      <c r="AG171" s="35"/>
      <c r="AH171" s="35"/>
      <c r="AI171" s="35"/>
      <c r="AJ171" s="35">
        <v>168.0</v>
      </c>
      <c r="AK171" s="35">
        <f t="shared" si="1"/>
        <v>4.993596626</v>
      </c>
    </row>
    <row r="172" ht="12.75" customHeight="1">
      <c r="A172" s="35"/>
      <c r="B172" s="37">
        <v>168.0</v>
      </c>
      <c r="C172" s="38">
        <f t="shared" si="2"/>
        <v>-48.90738004</v>
      </c>
      <c r="D172" s="38">
        <f t="shared" si="3"/>
        <v>-10.39558454</v>
      </c>
      <c r="E172" s="38">
        <f>'演算'!U172</f>
        <v>-2.384651203</v>
      </c>
      <c r="F172" s="38">
        <f t="shared" si="4"/>
        <v>2.384651203</v>
      </c>
      <c r="G172" s="38">
        <f t="shared" si="5"/>
        <v>-598.4310867</v>
      </c>
      <c r="H172" s="38">
        <f t="shared" si="6"/>
        <v>-33.27998464</v>
      </c>
      <c r="I172" s="39">
        <f t="shared" si="7"/>
        <v>599.3557566</v>
      </c>
      <c r="J172" s="38">
        <f t="shared" si="8"/>
        <v>-3.183057532</v>
      </c>
      <c r="K172" s="38" t="str">
        <f t="shared" si="9"/>
        <v/>
      </c>
      <c r="L172" s="38">
        <f t="shared" si="10"/>
        <v>1</v>
      </c>
      <c r="M172" s="38">
        <f t="shared" si="11"/>
        <v>176.8169425</v>
      </c>
      <c r="N172" s="39">
        <f t="shared" si="12"/>
        <v>126.8169425</v>
      </c>
      <c r="O172" s="39">
        <f t="shared" si="13"/>
        <v>-359.1701405</v>
      </c>
      <c r="P172" s="39">
        <f t="shared" si="14"/>
        <v>-479.8167704</v>
      </c>
      <c r="Q172" s="38">
        <f t="shared" si="15"/>
        <v>-586.8885604</v>
      </c>
      <c r="R172" s="38">
        <f t="shared" si="16"/>
        <v>124.7470145</v>
      </c>
      <c r="S172" s="40">
        <v>168.0</v>
      </c>
      <c r="T172" s="37">
        <f t="shared" si="17"/>
        <v>9.615348797</v>
      </c>
      <c r="U172" s="37">
        <f t="shared" si="18"/>
        <v>-2.384651203</v>
      </c>
      <c r="V172" s="37">
        <f t="shared" si="23"/>
        <v>0.2002564634</v>
      </c>
      <c r="W172" s="37">
        <f>'入力・結果'!$I$7/V172</f>
        <v>1610434.912</v>
      </c>
      <c r="X172" s="39">
        <f>(W172/I172*10)*'入力・結果'!$I$8</f>
        <v>16121.65957</v>
      </c>
      <c r="Y172" s="38">
        <f>DEGREES(ACOS(('入力・結果'!$G$3-('入力・結果'!$G$4*COS(RADIANS(S172))))/((('入力・結果'!$G$3^2)+('入力・結果'!$G$4^2)-(2*'入力・結果'!$G$3*'入力・結果'!$G$4*COS(RADIANS(S172))))^(1/2))))</f>
        <v>7.505160933</v>
      </c>
      <c r="Z172" s="38">
        <f>DEGREES(ACOS((('入力・結果'!$G$3^2)+('入力・結果'!$G$4^2)-('入力・結果'!$G$5^2)+('入力・結果'!$G$6^2)-(2*'入力・結果'!$G$3*'入力・結果'!$G$4*COS(RADIANS(S172))))/(2*'入力・結果'!$G$6*(('入力・結果'!$G$3^2)+('入力・結果'!$G$4^2)-(2*'入力・結果'!$G$3*'入力・結果'!$G$4*(COS(RADIANS(S172)))))^(1/2))))</f>
        <v>6.589267665</v>
      </c>
      <c r="AA172" s="38">
        <f>DEGREES(ACOS(('入力・結果'!$G$4-('入力・結果'!$G$3*COS(RADIANS(S172))))/((('入力・結果'!$G$3^2)+('入力・結果'!$G$4^2)-(2*'入力・結果'!$G$3*'入力・結果'!$G$4*COS(RADIANS(S172))))^(1/2))))</f>
        <v>4.494839067</v>
      </c>
      <c r="AB172" s="38">
        <f>DEGREES(ACOS((('入力・結果'!$G$3^2)+('入力・結果'!$G$4^2)+('入力・結果'!$G$5^2)-('入力・結果'!$G$6^2)-(2*'入力・結果'!$G$3*'入力・結果'!$G$4*COS(RADIANS(S172))))/(2*'入力・結果'!$G$5*(('入力・結果'!$G$3^2)+('入力・結果'!$G$4^2)-(2*'入力・結果'!$G$3*'入力・結果'!$G$4*(COS(RADIANS(S172)))))^(1/2))))</f>
        <v>5.120509729</v>
      </c>
      <c r="AC172" s="37">
        <f t="shared" si="19"/>
        <v>12821.65957</v>
      </c>
      <c r="AD172" s="37">
        <f t="shared" si="20"/>
        <v>12821.65957</v>
      </c>
      <c r="AE172" s="37" t="str">
        <f t="shared" si="21"/>
        <v/>
      </c>
      <c r="AF172" s="37" t="str">
        <f t="shared" si="22"/>
        <v/>
      </c>
      <c r="AG172" s="35"/>
      <c r="AH172" s="35"/>
      <c r="AI172" s="35"/>
      <c r="AJ172" s="35">
        <v>169.0</v>
      </c>
      <c r="AK172" s="35">
        <f t="shared" si="1"/>
        <v>5.002133124</v>
      </c>
    </row>
    <row r="173" ht="12.75" customHeight="1">
      <c r="A173" s="35"/>
      <c r="B173" s="37">
        <v>169.0</v>
      </c>
      <c r="C173" s="38">
        <f t="shared" si="2"/>
        <v>-49.08135917</v>
      </c>
      <c r="D173" s="38">
        <f t="shared" si="3"/>
        <v>-9.540449769</v>
      </c>
      <c r="E173" s="38">
        <f>'演算'!U173</f>
        <v>-2.184736492</v>
      </c>
      <c r="F173" s="38">
        <f t="shared" si="4"/>
        <v>2.184736492</v>
      </c>
      <c r="G173" s="38">
        <f t="shared" si="5"/>
        <v>-598.6815682</v>
      </c>
      <c r="H173" s="38">
        <f t="shared" si="6"/>
        <v>-30.50733286</v>
      </c>
      <c r="I173" s="39">
        <f t="shared" si="7"/>
        <v>599.4583534</v>
      </c>
      <c r="J173" s="38">
        <f t="shared" si="8"/>
        <v>-2.917128103</v>
      </c>
      <c r="K173" s="38" t="str">
        <f t="shared" si="9"/>
        <v/>
      </c>
      <c r="L173" s="38">
        <f t="shared" si="10"/>
        <v>1</v>
      </c>
      <c r="M173" s="38">
        <f t="shared" si="11"/>
        <v>177.0828719</v>
      </c>
      <c r="N173" s="39">
        <f t="shared" si="12"/>
        <v>127.0828719</v>
      </c>
      <c r="O173" s="39">
        <f t="shared" si="13"/>
        <v>-361.4551214</v>
      </c>
      <c r="P173" s="39">
        <f t="shared" si="14"/>
        <v>-478.2264241</v>
      </c>
      <c r="Q173" s="38">
        <f t="shared" si="15"/>
        <v>-588.9763101</v>
      </c>
      <c r="R173" s="38">
        <f t="shared" si="16"/>
        <v>114.4853972</v>
      </c>
      <c r="S173" s="40">
        <v>169.0</v>
      </c>
      <c r="T173" s="37">
        <f t="shared" si="17"/>
        <v>8.815263508</v>
      </c>
      <c r="U173" s="37">
        <f t="shared" si="18"/>
        <v>-2.184736492</v>
      </c>
      <c r="V173" s="37">
        <f t="shared" si="23"/>
        <v>0.1999147114</v>
      </c>
      <c r="W173" s="37">
        <f>'入力・結果'!$I$7/V173</f>
        <v>1613187.932</v>
      </c>
      <c r="X173" s="39">
        <f>(W173/I173*10)*'入力・結果'!$I$8</f>
        <v>16146.45544</v>
      </c>
      <c r="Y173" s="38">
        <f>DEGREES(ACOS(('入力・結果'!$G$3-('入力・結果'!$G$4*COS(RADIANS(S173))))/((('入力・結果'!$G$3^2)+('入力・結果'!$G$4^2)-(2*'入力・結果'!$G$3*'入力・結果'!$G$4*COS(RADIANS(S173))))^(1/2))))</f>
        <v>6.8789727</v>
      </c>
      <c r="Z173" s="38">
        <f>DEGREES(ACOS((('入力・結果'!$G$3^2)+('入力・結果'!$G$4^2)-('入力・結果'!$G$5^2)+('入力・結果'!$G$6^2)-(2*'入力・結果'!$G$3*'入力・結果'!$G$4*COS(RADIANS(S173))))/(2*'入力・結果'!$G$6*(('入力・結果'!$G$3^2)+('入力・結果'!$G$4^2)-(2*'入力・結果'!$G$3*'入力・結果'!$G$4*(COS(RADIANS(S173)))))^(1/2))))</f>
        <v>6.039876777</v>
      </c>
      <c r="AA173" s="38">
        <f>DEGREES(ACOS(('入力・結果'!$G$4-('入力・結果'!$G$3*COS(RADIANS(S173))))/((('入力・結果'!$G$3^2)+('入力・結果'!$G$4^2)-(2*'入力・結果'!$G$3*'入力・結果'!$G$4*COS(RADIANS(S173))))^(1/2))))</f>
        <v>4.1210273</v>
      </c>
      <c r="AB173" s="38">
        <f>DEGREES(ACOS((('入力・結果'!$G$3^2)+('入力・結果'!$G$4^2)+('入力・結果'!$G$5^2)-('入力・結果'!$G$6^2)-(2*'入力・結果'!$G$3*'入力・結果'!$G$4*COS(RADIANS(S173))))/(2*'入力・結果'!$G$5*(('入力・結果'!$G$3^2)+('入力・結果'!$G$4^2)-(2*'入力・結果'!$G$3*'入力・結果'!$G$4*(COS(RADIANS(S173)))))^(1/2))))</f>
        <v>4.694236208</v>
      </c>
      <c r="AC173" s="37">
        <f t="shared" si="19"/>
        <v>12846.45544</v>
      </c>
      <c r="AD173" s="37">
        <f t="shared" si="20"/>
        <v>12846.45544</v>
      </c>
      <c r="AE173" s="37" t="str">
        <f t="shared" si="21"/>
        <v/>
      </c>
      <c r="AF173" s="37" t="str">
        <f t="shared" si="22"/>
        <v/>
      </c>
      <c r="AG173" s="35"/>
      <c r="AH173" s="35"/>
      <c r="AI173" s="35"/>
      <c r="AJ173" s="35">
        <v>170.0</v>
      </c>
      <c r="AK173" s="35">
        <f t="shared" si="1"/>
        <v>5.00996742</v>
      </c>
    </row>
    <row r="174" ht="12.75" customHeight="1">
      <c r="A174" s="35"/>
      <c r="B174" s="37">
        <v>170.0</v>
      </c>
      <c r="C174" s="38">
        <f t="shared" si="2"/>
        <v>-49.24038765</v>
      </c>
      <c r="D174" s="38">
        <f t="shared" si="3"/>
        <v>-8.682408883</v>
      </c>
      <c r="E174" s="38">
        <f>'演算'!U174</f>
        <v>-1.985134396</v>
      </c>
      <c r="F174" s="38">
        <f t="shared" si="4"/>
        <v>1.985134396</v>
      </c>
      <c r="G174" s="38">
        <f t="shared" si="5"/>
        <v>-598.9103042</v>
      </c>
      <c r="H174" s="38">
        <f t="shared" si="6"/>
        <v>-27.7345188</v>
      </c>
      <c r="I174" s="39">
        <f t="shared" si="7"/>
        <v>599.5521295</v>
      </c>
      <c r="J174" s="38">
        <f t="shared" si="8"/>
        <v>-2.651376046</v>
      </c>
      <c r="K174" s="38" t="str">
        <f t="shared" si="9"/>
        <v/>
      </c>
      <c r="L174" s="38">
        <f t="shared" si="10"/>
        <v>1</v>
      </c>
      <c r="M174" s="38">
        <f t="shared" si="11"/>
        <v>177.348624</v>
      </c>
      <c r="N174" s="39">
        <f t="shared" si="12"/>
        <v>127.348624</v>
      </c>
      <c r="O174" s="39">
        <f t="shared" si="13"/>
        <v>-363.7262488</v>
      </c>
      <c r="P174" s="39">
        <f t="shared" si="14"/>
        <v>-476.6193155</v>
      </c>
      <c r="Q174" s="38">
        <f t="shared" si="15"/>
        <v>-590.8846518</v>
      </c>
      <c r="R174" s="38">
        <f t="shared" si="16"/>
        <v>104.1889066</v>
      </c>
      <c r="S174" s="40">
        <v>170.0</v>
      </c>
      <c r="T174" s="37">
        <f t="shared" si="17"/>
        <v>8.014865604</v>
      </c>
      <c r="U174" s="37">
        <f t="shared" si="18"/>
        <v>-1.985134396</v>
      </c>
      <c r="V174" s="37">
        <f t="shared" si="23"/>
        <v>0.1996020964</v>
      </c>
      <c r="W174" s="37">
        <f>'入力・結果'!$I$7/V174</f>
        <v>1615714.493</v>
      </c>
      <c r="X174" s="39">
        <f>(W174/I174*10)*'入力・結果'!$I$8</f>
        <v>16169.21445</v>
      </c>
      <c r="Y174" s="38">
        <f>DEGREES(ACOS(('入力・結果'!$G$3-('入力・結果'!$G$4*COS(RADIANS(S174))))/((('入力・結果'!$G$3^2)+('入力・結果'!$G$4^2)-(2*'入力・結果'!$G$3*'入力・結果'!$G$4*COS(RADIANS(S174))))^(1/2))))</f>
        <v>6.252983014</v>
      </c>
      <c r="Z174" s="38">
        <f>DEGREES(ACOS((('入力・結果'!$G$3^2)+('入力・結果'!$G$4^2)-('入力・結果'!$G$5^2)+('入力・結果'!$G$6^2)-(2*'入力・結果'!$G$3*'入力・結果'!$G$4*COS(RADIANS(S174))))/(2*'入力・結果'!$G$6*(('入力・結果'!$G$3^2)+('入力・結果'!$G$4^2)-(2*'入力・結果'!$G$3*'入力・結果'!$G$4*(COS(RADIANS(S174)))))^(1/2))))</f>
        <v>5.490560572</v>
      </c>
      <c r="AA174" s="38">
        <f>DEGREES(ACOS(('入力・結果'!$G$4-('入力・結果'!$G$3*COS(RADIANS(S174))))/((('入力・結果'!$G$3^2)+('入力・結果'!$G$4^2)-(2*'入力・結果'!$G$3*'入力・結果'!$G$4*COS(RADIANS(S174))))^(1/2))))</f>
        <v>3.747016986</v>
      </c>
      <c r="AB174" s="38">
        <f>DEGREES(ACOS((('入力・結果'!$G$3^2)+('入力・結果'!$G$4^2)+('入力・結果'!$G$5^2)-('入力・結果'!$G$6^2)-(2*'入力・結果'!$G$3*'入力・結果'!$G$4*COS(RADIANS(S174))))/(2*'入力・結果'!$G$5*(('入力・結果'!$G$3^2)+('入力・結果'!$G$4^2)-(2*'入力・結果'!$G$3*'入力・結果'!$G$4*(COS(RADIANS(S174)))))^(1/2))))</f>
        <v>4.267848618</v>
      </c>
      <c r="AC174" s="37">
        <f t="shared" si="19"/>
        <v>12869.21445</v>
      </c>
      <c r="AD174" s="37">
        <f t="shared" si="20"/>
        <v>12869.21445</v>
      </c>
      <c r="AE174" s="37" t="str">
        <f t="shared" si="21"/>
        <v/>
      </c>
      <c r="AF174" s="37" t="str">
        <f t="shared" si="22"/>
        <v/>
      </c>
      <c r="AG174" s="35"/>
      <c r="AH174" s="35"/>
      <c r="AI174" s="35"/>
      <c r="AJ174" s="35">
        <v>171.0</v>
      </c>
      <c r="AK174" s="35">
        <f t="shared" si="1"/>
        <v>5.017097126</v>
      </c>
    </row>
    <row r="175" ht="12.75" customHeight="1">
      <c r="A175" s="35"/>
      <c r="B175" s="37">
        <v>171.0</v>
      </c>
      <c r="C175" s="38">
        <f t="shared" si="2"/>
        <v>-49.38441703</v>
      </c>
      <c r="D175" s="38">
        <f t="shared" si="3"/>
        <v>-7.821723252</v>
      </c>
      <c r="E175" s="38">
        <f>'演算'!U175</f>
        <v>-1.78581595</v>
      </c>
      <c r="F175" s="38">
        <f t="shared" si="4"/>
        <v>1.78581595</v>
      </c>
      <c r="G175" s="38">
        <f t="shared" si="5"/>
        <v>-599.1172852</v>
      </c>
      <c r="H175" s="38">
        <f t="shared" si="6"/>
        <v>-24.9615503</v>
      </c>
      <c r="I175" s="39">
        <f t="shared" si="7"/>
        <v>599.6370572</v>
      </c>
      <c r="J175" s="38">
        <f t="shared" si="8"/>
        <v>-2.385784607</v>
      </c>
      <c r="K175" s="38" t="str">
        <f t="shared" si="9"/>
        <v/>
      </c>
      <c r="L175" s="38">
        <f t="shared" si="10"/>
        <v>1</v>
      </c>
      <c r="M175" s="38">
        <f t="shared" si="11"/>
        <v>177.6142154</v>
      </c>
      <c r="N175" s="39">
        <f t="shared" si="12"/>
        <v>127.6142154</v>
      </c>
      <c r="O175" s="39">
        <f t="shared" si="13"/>
        <v>-365.9835108</v>
      </c>
      <c r="P175" s="39">
        <f t="shared" si="14"/>
        <v>-474.9954423</v>
      </c>
      <c r="Q175" s="38">
        <f t="shared" si="15"/>
        <v>-592.6130044</v>
      </c>
      <c r="R175" s="38">
        <f t="shared" si="16"/>
        <v>93.86067902</v>
      </c>
      <c r="S175" s="40">
        <v>171.0</v>
      </c>
      <c r="T175" s="37">
        <f t="shared" si="17"/>
        <v>7.21418405</v>
      </c>
      <c r="U175" s="37">
        <f t="shared" si="18"/>
        <v>-1.78581595</v>
      </c>
      <c r="V175" s="37">
        <f t="shared" si="23"/>
        <v>0.1993184455</v>
      </c>
      <c r="W175" s="37">
        <f>'入力・結果'!$I$7/V175</f>
        <v>1618013.823</v>
      </c>
      <c r="X175" s="39">
        <f>(W175/I175*10)*'入力・結果'!$I$8</f>
        <v>16189.9316</v>
      </c>
      <c r="Y175" s="38">
        <f>DEGREES(ACOS(('入力・結果'!$G$3-('入力・結果'!$G$4*COS(RADIANS(S175))))/((('入力・結果'!$G$3^2)+('入力・結果'!$G$4^2)-(2*'入力・結果'!$G$3*'入力・結果'!$G$4*COS(RADIANS(S175))))^(1/2))))</f>
        <v>5.627173474</v>
      </c>
      <c r="Z175" s="38">
        <f>DEGREES(ACOS((('入力・結果'!$G$3^2)+('入力・結果'!$G$4^2)-('入力・結果'!$G$5^2)+('入力・結果'!$G$6^2)-(2*'入力・結果'!$G$3*'入力・結果'!$G$4*COS(RADIANS(S175))))/(2*'入力・結果'!$G$6*(('入力・結果'!$G$3^2)+('入力・結果'!$G$4^2)-(2*'入力・結果'!$G$3*'入力・結果'!$G$4*(COS(RADIANS(S175)))))^(1/2))))</f>
        <v>4.941312137</v>
      </c>
      <c r="AA175" s="38">
        <f>DEGREES(ACOS(('入力・結果'!$G$4-('入力・結果'!$G$3*COS(RADIANS(S175))))/((('入力・結果'!$G$3^2)+('入力・結果'!$G$4^2)-(2*'入力・結果'!$G$3*'入力・結果'!$G$4*COS(RADIANS(S175))))^(1/2))))</f>
        <v>3.372826526</v>
      </c>
      <c r="AB175" s="38">
        <f>DEGREES(ACOS((('入力・結果'!$G$3^2)+('入力・結果'!$G$4^2)+('入力・結果'!$G$5^2)-('入力・結果'!$G$6^2)-(2*'入力・結果'!$G$3*'入力・結果'!$G$4*COS(RADIANS(S175))))/(2*'入力・結果'!$G$5*(('入力・結果'!$G$3^2)+('入力・結果'!$G$4^2)-(2*'入力・結果'!$G$3*'入力・結果'!$G$4*(COS(RADIANS(S175)))))^(1/2))))</f>
        <v>3.841357524</v>
      </c>
      <c r="AC175" s="37">
        <f t="shared" si="19"/>
        <v>12889.9316</v>
      </c>
      <c r="AD175" s="37">
        <f t="shared" si="20"/>
        <v>12889.9316</v>
      </c>
      <c r="AE175" s="37" t="str">
        <f t="shared" si="21"/>
        <v/>
      </c>
      <c r="AF175" s="37" t="str">
        <f t="shared" si="22"/>
        <v/>
      </c>
      <c r="AG175" s="35"/>
      <c r="AH175" s="35"/>
      <c r="AI175" s="35"/>
      <c r="AJ175" s="35">
        <v>172.0</v>
      </c>
      <c r="AK175" s="35">
        <f t="shared" si="1"/>
        <v>5.023520069</v>
      </c>
    </row>
    <row r="176" ht="12.75" customHeight="1">
      <c r="A176" s="35"/>
      <c r="B176" s="37">
        <v>172.0</v>
      </c>
      <c r="C176" s="38">
        <f t="shared" si="2"/>
        <v>-49.51340344</v>
      </c>
      <c r="D176" s="38">
        <f t="shared" si="3"/>
        <v>-6.958655048</v>
      </c>
      <c r="E176" s="38">
        <f>'演算'!U176</f>
        <v>-1.586752348</v>
      </c>
      <c r="F176" s="38">
        <f t="shared" si="4"/>
        <v>1.586752348</v>
      </c>
      <c r="G176" s="38">
        <f t="shared" si="5"/>
        <v>-599.3025028</v>
      </c>
      <c r="H176" s="38">
        <f t="shared" si="6"/>
        <v>-22.18843719</v>
      </c>
      <c r="I176" s="39">
        <f t="shared" si="7"/>
        <v>599.7131119</v>
      </c>
      <c r="J176" s="38">
        <f t="shared" si="8"/>
        <v>-2.120337213</v>
      </c>
      <c r="K176" s="38" t="str">
        <f t="shared" si="9"/>
        <v/>
      </c>
      <c r="L176" s="38">
        <f t="shared" si="10"/>
        <v>1</v>
      </c>
      <c r="M176" s="38">
        <f t="shared" si="11"/>
        <v>177.8796628</v>
      </c>
      <c r="N176" s="39">
        <f t="shared" si="12"/>
        <v>127.8796628</v>
      </c>
      <c r="O176" s="39">
        <f t="shared" si="13"/>
        <v>-368.2268942</v>
      </c>
      <c r="P176" s="39">
        <f t="shared" si="14"/>
        <v>-473.3548045</v>
      </c>
      <c r="Q176" s="38">
        <f t="shared" si="15"/>
        <v>-594.1608412</v>
      </c>
      <c r="R176" s="38">
        <f t="shared" si="16"/>
        <v>83.50386058</v>
      </c>
      <c r="S176" s="40">
        <v>172.0</v>
      </c>
      <c r="T176" s="37">
        <f t="shared" si="17"/>
        <v>6.413247652</v>
      </c>
      <c r="U176" s="37">
        <f t="shared" si="18"/>
        <v>-1.586752348</v>
      </c>
      <c r="V176" s="37">
        <f t="shared" si="23"/>
        <v>0.1990636021</v>
      </c>
      <c r="W176" s="37">
        <f>'入力・結果'!$I$7/V176</f>
        <v>1620085.222</v>
      </c>
      <c r="X176" s="39">
        <f>(W176/I176*10)*'入力・結果'!$I$8</f>
        <v>16208.60232</v>
      </c>
      <c r="Y176" s="38">
        <f>DEGREES(ACOS(('入力・結果'!$G$3-('入力・結果'!$G$4*COS(RADIANS(S176))))/((('入力・結果'!$G$3^2)+('入力・結果'!$G$4^2)-(2*'入力・結果'!$G$3*'入力・結果'!$G$4*COS(RADIANS(S176))))^(1/2))))</f>
        <v>5.001525783</v>
      </c>
      <c r="Z176" s="38">
        <f>DEGREES(ACOS((('入力・結果'!$G$3^2)+('入力・結果'!$G$4^2)-('入力・結果'!$G$5^2)+('入力・結果'!$G$6^2)-(2*'入力・結果'!$G$3*'入力・結果'!$G$4*COS(RADIANS(S176))))/(2*'入力・結果'!$G$6*(('入力・結果'!$G$3^2)+('入力・結果'!$G$4^2)-(2*'入力・結果'!$G$3*'入力・結果'!$G$4*(COS(RADIANS(S176)))))^(1/2))))</f>
        <v>4.392124596</v>
      </c>
      <c r="AA176" s="38">
        <f>DEGREES(ACOS(('入力・結果'!$G$4-('入力・結果'!$G$3*COS(RADIANS(S176))))/((('入力・結果'!$G$3^2)+('入力・結果'!$G$4^2)-(2*'入力・結果'!$G$3*'入力・結果'!$G$4*COS(RADIANS(S176))))^(1/2))))</f>
        <v>2.998474217</v>
      </c>
      <c r="AB176" s="38">
        <f>DEGREES(ACOS((('入力・結果'!$G$3^2)+('入力・結果'!$G$4^2)+('入力・結果'!$G$5^2)-('入力・結果'!$G$6^2)-(2*'入力・結果'!$G$3*'入力・結果'!$G$4*COS(RADIANS(S176))))/(2*'入力・結果'!$G$5*(('入力・結果'!$G$3^2)+('入力・結果'!$G$4^2)-(2*'入力・結果'!$G$3*'入力・結果'!$G$4*(COS(RADIANS(S176)))))^(1/2))))</f>
        <v>3.414773435</v>
      </c>
      <c r="AC176" s="37">
        <f t="shared" si="19"/>
        <v>12908.60232</v>
      </c>
      <c r="AD176" s="37">
        <f t="shared" si="20"/>
        <v>12908.60232</v>
      </c>
      <c r="AE176" s="37" t="str">
        <f t="shared" si="21"/>
        <v/>
      </c>
      <c r="AF176" s="37" t="str">
        <f t="shared" si="22"/>
        <v/>
      </c>
      <c r="AG176" s="35"/>
      <c r="AH176" s="35"/>
      <c r="AI176" s="35"/>
      <c r="AJ176" s="35">
        <v>173.0</v>
      </c>
      <c r="AK176" s="35">
        <f t="shared" si="1"/>
        <v>5.029234292</v>
      </c>
    </row>
    <row r="177" ht="12.75" customHeight="1">
      <c r="A177" s="35"/>
      <c r="B177" s="37">
        <v>173.0</v>
      </c>
      <c r="C177" s="38">
        <f t="shared" si="2"/>
        <v>-49.62730758</v>
      </c>
      <c r="D177" s="38">
        <f t="shared" si="3"/>
        <v>-6.09346717</v>
      </c>
      <c r="E177" s="38">
        <f>'演算'!U177</f>
        <v>-1.387914922</v>
      </c>
      <c r="F177" s="38">
        <f t="shared" si="4"/>
        <v>1.387914922</v>
      </c>
      <c r="G177" s="38">
        <f t="shared" si="5"/>
        <v>-599.4659491</v>
      </c>
      <c r="H177" s="38">
        <f t="shared" si="6"/>
        <v>-19.41519107</v>
      </c>
      <c r="I177" s="39">
        <f t="shared" si="7"/>
        <v>599.7802712</v>
      </c>
      <c r="J177" s="38">
        <f t="shared" si="8"/>
        <v>-1.855017453</v>
      </c>
      <c r="K177" s="38" t="str">
        <f t="shared" si="9"/>
        <v/>
      </c>
      <c r="L177" s="38">
        <f t="shared" si="10"/>
        <v>1</v>
      </c>
      <c r="M177" s="38">
        <f t="shared" si="11"/>
        <v>178.1449825</v>
      </c>
      <c r="N177" s="39">
        <f t="shared" si="12"/>
        <v>128.1449825</v>
      </c>
      <c r="O177" s="39">
        <f t="shared" si="13"/>
        <v>-370.4563853</v>
      </c>
      <c r="P177" s="39">
        <f t="shared" si="14"/>
        <v>-471.6974034</v>
      </c>
      <c r="Q177" s="38">
        <f t="shared" si="15"/>
        <v>-595.527691</v>
      </c>
      <c r="R177" s="38">
        <f t="shared" si="16"/>
        <v>73.12160604</v>
      </c>
      <c r="S177" s="40">
        <v>173.0</v>
      </c>
      <c r="T177" s="37">
        <f t="shared" si="17"/>
        <v>5.612085078</v>
      </c>
      <c r="U177" s="37">
        <f t="shared" si="18"/>
        <v>-1.387914922</v>
      </c>
      <c r="V177" s="37">
        <f t="shared" si="23"/>
        <v>0.1988374257</v>
      </c>
      <c r="W177" s="37">
        <f>'入力・結果'!$I$7/V177</f>
        <v>1621928.059</v>
      </c>
      <c r="X177" s="39">
        <f>(W177/I177*10)*'入力・結果'!$I$8</f>
        <v>16225.22251</v>
      </c>
      <c r="Y177" s="38">
        <f>DEGREES(ACOS(('入力・結果'!$G$3-('入力・結果'!$G$4*COS(RADIANS(S177))))/((('入力・結果'!$G$3^2)+('入力・結果'!$G$4^2)-(2*'入力・結果'!$G$3*'入力・結果'!$G$4*COS(RADIANS(S177))))^(1/2))))</f>
        <v>4.376021731</v>
      </c>
      <c r="Z177" s="38">
        <f>DEGREES(ACOS((('入力・結果'!$G$3^2)+('入力・結果'!$G$4^2)-('入力・結果'!$G$5^2)+('入力・結果'!$G$6^2)-(2*'入力・結果'!$G$3*'入力・結果'!$G$4*COS(RADIANS(S177))))/(2*'入力・結果'!$G$6*(('入力・結果'!$G$3^2)+('入力・結果'!$G$4^2)-(2*'入力・結果'!$G$3*'入力・結果'!$G$4*(COS(RADIANS(S177)))))^(1/2))))</f>
        <v>3.842991102</v>
      </c>
      <c r="AA177" s="38">
        <f>DEGREES(ACOS(('入力・結果'!$G$4-('入力・結果'!$G$3*COS(RADIANS(S177))))/((('入力・結果'!$G$3^2)+('入力・結果'!$G$4^2)-(2*'入力・結果'!$G$3*'入力・結果'!$G$4*COS(RADIANS(S177))))^(1/2))))</f>
        <v>2.623978269</v>
      </c>
      <c r="AB177" s="38">
        <f>DEGREES(ACOS((('入力・結果'!$G$3^2)+('入力・結果'!$G$4^2)+('入力・結果'!$G$5^2)-('入力・結果'!$G$6^2)-(2*'入力・結果'!$G$3*'入力・結果'!$G$4*COS(RADIANS(S177))))/(2*'入力・結果'!$G$5*(('入力・結果'!$G$3^2)+('入力・結果'!$G$4^2)-(2*'入力・結果'!$G$3*'入力・結果'!$G$4*(COS(RADIANS(S177)))))^(1/2))))</f>
        <v>2.988106809</v>
      </c>
      <c r="AC177" s="37">
        <f t="shared" si="19"/>
        <v>12925.22251</v>
      </c>
      <c r="AD177" s="37">
        <f t="shared" si="20"/>
        <v>12925.22251</v>
      </c>
      <c r="AE177" s="37" t="str">
        <f t="shared" si="21"/>
        <v/>
      </c>
      <c r="AF177" s="37" t="str">
        <f t="shared" si="22"/>
        <v/>
      </c>
      <c r="AG177" s="35"/>
      <c r="AH177" s="35"/>
      <c r="AI177" s="35"/>
      <c r="AJ177" s="35">
        <v>174.0</v>
      </c>
      <c r="AK177" s="35">
        <f t="shared" si="1"/>
        <v>5.034238053</v>
      </c>
    </row>
    <row r="178" ht="12.75" customHeight="1">
      <c r="A178" s="35"/>
      <c r="B178" s="37">
        <v>174.0</v>
      </c>
      <c r="C178" s="38">
        <f t="shared" si="2"/>
        <v>-49.72609477</v>
      </c>
      <c r="D178" s="38">
        <f t="shared" si="3"/>
        <v>-5.226423163</v>
      </c>
      <c r="E178" s="38">
        <f>'演算'!U178</f>
        <v>-1.18927513</v>
      </c>
      <c r="F178" s="38">
        <f t="shared" si="4"/>
        <v>1.18927513</v>
      </c>
      <c r="G178" s="38">
        <f t="shared" si="5"/>
        <v>-599.6076171</v>
      </c>
      <c r="H178" s="38">
        <f t="shared" si="6"/>
        <v>-16.64182512</v>
      </c>
      <c r="I178" s="39">
        <f t="shared" si="7"/>
        <v>599.8385156</v>
      </c>
      <c r="J178" s="38">
        <f t="shared" si="8"/>
        <v>-1.589809061</v>
      </c>
      <c r="K178" s="38" t="str">
        <f t="shared" si="9"/>
        <v/>
      </c>
      <c r="L178" s="38">
        <f t="shared" si="10"/>
        <v>1</v>
      </c>
      <c r="M178" s="38">
        <f t="shared" si="11"/>
        <v>178.4101909</v>
      </c>
      <c r="N178" s="39">
        <f t="shared" si="12"/>
        <v>128.4101909</v>
      </c>
      <c r="O178" s="39">
        <f t="shared" si="13"/>
        <v>-372.6719693</v>
      </c>
      <c r="P178" s="39">
        <f t="shared" si="14"/>
        <v>-470.0232421</v>
      </c>
      <c r="Q178" s="38">
        <f t="shared" si="15"/>
        <v>-596.7131372</v>
      </c>
      <c r="R178" s="38">
        <f t="shared" si="16"/>
        <v>62.71707796</v>
      </c>
      <c r="S178" s="40">
        <v>174.0</v>
      </c>
      <c r="T178" s="37">
        <f t="shared" si="17"/>
        <v>4.81072487</v>
      </c>
      <c r="U178" s="37">
        <f t="shared" si="18"/>
        <v>-1.18927513</v>
      </c>
      <c r="V178" s="37">
        <f t="shared" si="23"/>
        <v>0.1986397921</v>
      </c>
      <c r="W178" s="37">
        <f>'入力・結果'!$I$7/V178</f>
        <v>1623541.772</v>
      </c>
      <c r="X178" s="39">
        <f>(W178/I178*10)*'入力・結果'!$I$8</f>
        <v>16239.78851</v>
      </c>
      <c r="Y178" s="38">
        <f>DEGREES(ACOS(('入力・結果'!$G$3-('入力・結果'!$G$4*COS(RADIANS(S178))))/((('入力・結果'!$G$3^2)+('入力・結果'!$G$4^2)-(2*'入力・結果'!$G$3*'入力・結果'!$G$4*COS(RADIANS(S178))))^(1/2))))</f>
        <v>3.750643192</v>
      </c>
      <c r="Z178" s="38">
        <f>DEGREES(ACOS((('入力・結果'!$G$3^2)+('入力・結果'!$G$4^2)-('入力・結果'!$G$5^2)+('入力・結果'!$G$6^2)-(2*'入力・結果'!$G$3*'入力・結果'!$G$4*COS(RADIANS(S178))))/(2*'入力・結果'!$G$6*(('入力・結果'!$G$3^2)+('入力・結果'!$G$4^2)-(2*'入力・結果'!$G$3*'入力・結果'!$G$4*(COS(RADIANS(S178)))))^(1/2))))</f>
        <v>3.29390484</v>
      </c>
      <c r="AA178" s="38">
        <f>DEGREES(ACOS(('入力・結果'!$G$4-('入力・結果'!$G$3*COS(RADIANS(S178))))/((('入力・結果'!$G$3^2)+('入力・結果'!$G$4^2)-(2*'入力・結果'!$G$3*'入力・結果'!$G$4*COS(RADIANS(S178))))^(1/2))))</f>
        <v>2.249356808</v>
      </c>
      <c r="AB178" s="38">
        <f>DEGREES(ACOS((('入力・結果'!$G$3^2)+('入力・結果'!$G$4^2)+('入力・結果'!$G$5^2)-('入力・結果'!$G$6^2)-(2*'入力・結果'!$G$3*'入力・結果'!$G$4*COS(RADIANS(S178))))/(2*'入力・結果'!$G$5*(('入力・結果'!$G$3^2)+('入力・結果'!$G$4^2)-(2*'入力・結果'!$G$3*'入力・結果'!$G$4*(COS(RADIANS(S178)))))^(1/2))))</f>
        <v>2.561368061</v>
      </c>
      <c r="AC178" s="37">
        <f t="shared" si="19"/>
        <v>12939.78851</v>
      </c>
      <c r="AD178" s="37">
        <f t="shared" si="20"/>
        <v>12939.78851</v>
      </c>
      <c r="AE178" s="37" t="str">
        <f t="shared" si="21"/>
        <v/>
      </c>
      <c r="AF178" s="37" t="str">
        <f t="shared" si="22"/>
        <v/>
      </c>
      <c r="AG178" s="35"/>
      <c r="AH178" s="35"/>
      <c r="AI178" s="35"/>
      <c r="AJ178" s="35">
        <v>175.0</v>
      </c>
      <c r="AK178" s="35">
        <f t="shared" si="1"/>
        <v>5.038529826</v>
      </c>
    </row>
    <row r="179" ht="12.75" customHeight="1">
      <c r="A179" s="35"/>
      <c r="B179" s="37">
        <v>175.0</v>
      </c>
      <c r="C179" s="38">
        <f t="shared" si="2"/>
        <v>-49.8097349</v>
      </c>
      <c r="D179" s="38">
        <f t="shared" si="3"/>
        <v>-4.357787137</v>
      </c>
      <c r="E179" s="38">
        <f>'演算'!U179</f>
        <v>-0.9908045378</v>
      </c>
      <c r="F179" s="38">
        <f t="shared" si="4"/>
        <v>0.9908045378</v>
      </c>
      <c r="G179" s="38">
        <f t="shared" si="5"/>
        <v>-599.7275007</v>
      </c>
      <c r="H179" s="38">
        <f t="shared" si="6"/>
        <v>-13.8683539</v>
      </c>
      <c r="I179" s="39">
        <f t="shared" si="7"/>
        <v>599.8878281</v>
      </c>
      <c r="J179" s="38">
        <f t="shared" si="8"/>
        <v>-1.324695895</v>
      </c>
      <c r="K179" s="38" t="str">
        <f t="shared" si="9"/>
        <v/>
      </c>
      <c r="L179" s="38">
        <f t="shared" si="10"/>
        <v>1</v>
      </c>
      <c r="M179" s="38">
        <f t="shared" si="11"/>
        <v>178.6753041</v>
      </c>
      <c r="N179" s="39">
        <f t="shared" si="12"/>
        <v>128.6753041</v>
      </c>
      <c r="O179" s="39">
        <f t="shared" si="13"/>
        <v>-374.8736312</v>
      </c>
      <c r="P179" s="39">
        <f t="shared" si="14"/>
        <v>-468.3323253</v>
      </c>
      <c r="Q179" s="38">
        <f t="shared" si="15"/>
        <v>-597.7168189</v>
      </c>
      <c r="R179" s="38">
        <f t="shared" si="16"/>
        <v>52.29344565</v>
      </c>
      <c r="S179" s="40">
        <v>175.0</v>
      </c>
      <c r="T179" s="37">
        <f t="shared" si="17"/>
        <v>4.009195462</v>
      </c>
      <c r="U179" s="37">
        <f t="shared" si="18"/>
        <v>-0.9908045378</v>
      </c>
      <c r="V179" s="37">
        <f t="shared" si="23"/>
        <v>0.1984705925</v>
      </c>
      <c r="W179" s="37">
        <f>'入力・結果'!$I$7/V179</f>
        <v>1624925.869</v>
      </c>
      <c r="X179" s="39">
        <f>(W179/I179*10)*'入力・結果'!$I$8</f>
        <v>16252.29711</v>
      </c>
      <c r="Y179" s="38">
        <f>DEGREES(ACOS(('入力・結果'!$G$3-('入力・結果'!$G$4*COS(RADIANS(S179))))/((('入力・結果'!$G$3^2)+('入力・結果'!$G$4^2)-(2*'入力・結果'!$G$3*'入力・結果'!$G$4*COS(RADIANS(S179))))^(1/2))))</f>
        <v>3.125372104</v>
      </c>
      <c r="Z179" s="38">
        <f>DEGREES(ACOS((('入力・結果'!$G$3^2)+('入力・結果'!$G$4^2)-('入力・結果'!$G$5^2)+('入力・結果'!$G$6^2)-(2*'入力・結果'!$G$3*'入力・結果'!$G$4*COS(RADIANS(S179))))/(2*'入力・結果'!$G$6*(('入力・結果'!$G$3^2)+('入力・結果'!$G$4^2)-(2*'入力・結果'!$G$3*'入力・結果'!$G$4*(COS(RADIANS(S179)))))^(1/2))))</f>
        <v>2.744859016</v>
      </c>
      <c r="AA179" s="38">
        <f>DEGREES(ACOS(('入力・結果'!$G$4-('入力・結果'!$G$3*COS(RADIANS(S179))))/((('入力・結果'!$G$3^2)+('入力・結果'!$G$4^2)-(2*'入力・結果'!$G$3*'入力・結果'!$G$4*COS(RADIANS(S179))))^(1/2))))</f>
        <v>1.874627896</v>
      </c>
      <c r="AB179" s="38">
        <f>DEGREES(ACOS((('入力・結果'!$G$3^2)+('入力・結果'!$G$4^2)+('入力・結果'!$G$5^2)-('入力・結果'!$G$6^2)-(2*'入力・結果'!$G$3*'入力・結果'!$G$4*COS(RADIANS(S179))))/(2*'入力・結果'!$G$5*(('入力・結果'!$G$3^2)+('入力・結果'!$G$4^2)-(2*'入力・結果'!$G$3*'入力・結果'!$G$4*(COS(RADIANS(S179)))))^(1/2))))</f>
        <v>2.134567566</v>
      </c>
      <c r="AC179" s="37">
        <f t="shared" si="19"/>
        <v>12952.29711</v>
      </c>
      <c r="AD179" s="37">
        <f t="shared" si="20"/>
        <v>12952.29711</v>
      </c>
      <c r="AE179" s="37" t="str">
        <f t="shared" si="21"/>
        <v/>
      </c>
      <c r="AF179" s="37" t="str">
        <f t="shared" si="22"/>
        <v/>
      </c>
      <c r="AG179" s="35"/>
      <c r="AH179" s="35"/>
      <c r="AI179" s="35"/>
      <c r="AJ179" s="35">
        <v>176.0</v>
      </c>
      <c r="AK179" s="35">
        <f t="shared" si="1"/>
        <v>5.042108304</v>
      </c>
    </row>
    <row r="180" ht="12.75" customHeight="1">
      <c r="A180" s="35"/>
      <c r="B180" s="37">
        <v>176.0</v>
      </c>
      <c r="C180" s="38">
        <f t="shared" si="2"/>
        <v>-49.87820251</v>
      </c>
      <c r="D180" s="38">
        <f t="shared" si="3"/>
        <v>-3.487823687</v>
      </c>
      <c r="E180" s="38">
        <f>'演算'!U180</f>
        <v>-0.7924748036</v>
      </c>
      <c r="F180" s="38">
        <f t="shared" si="4"/>
        <v>0.7924748036</v>
      </c>
      <c r="G180" s="38">
        <f t="shared" si="5"/>
        <v>-599.8255946</v>
      </c>
      <c r="H180" s="38">
        <f t="shared" si="6"/>
        <v>-11.09479315</v>
      </c>
      <c r="I180" s="39">
        <f t="shared" si="7"/>
        <v>599.9281943</v>
      </c>
      <c r="J180" s="38">
        <f t="shared" si="8"/>
        <v>-1.059661921</v>
      </c>
      <c r="K180" s="38" t="str">
        <f t="shared" si="9"/>
        <v/>
      </c>
      <c r="L180" s="38">
        <f t="shared" si="10"/>
        <v>1</v>
      </c>
      <c r="M180" s="38">
        <f t="shared" si="11"/>
        <v>178.9403381</v>
      </c>
      <c r="N180" s="39">
        <f t="shared" si="12"/>
        <v>128.9403381</v>
      </c>
      <c r="O180" s="39">
        <f t="shared" si="13"/>
        <v>-377.0613555</v>
      </c>
      <c r="P180" s="39">
        <f t="shared" si="14"/>
        <v>-466.6246591</v>
      </c>
      <c r="Q180" s="38">
        <f t="shared" si="15"/>
        <v>-598.5384302</v>
      </c>
      <c r="R180" s="38">
        <f t="shared" si="16"/>
        <v>41.85388425</v>
      </c>
      <c r="S180" s="40">
        <v>176.0</v>
      </c>
      <c r="T180" s="37">
        <f t="shared" si="17"/>
        <v>3.207525196</v>
      </c>
      <c r="U180" s="37">
        <f t="shared" si="18"/>
        <v>-0.7924748036</v>
      </c>
      <c r="V180" s="37">
        <f t="shared" si="23"/>
        <v>0.1983297342</v>
      </c>
      <c r="W180" s="37">
        <f>'入力・結果'!$I$7/V180</f>
        <v>1626079.928</v>
      </c>
      <c r="X180" s="39">
        <f>(W180/I180*10)*'入力・結果'!$I$8</f>
        <v>16262.74554</v>
      </c>
      <c r="Y180" s="38">
        <f>DEGREES(ACOS(('入力・結果'!$G$3-('入力・結果'!$G$4*COS(RADIANS(S180))))/((('入力・結果'!$G$3^2)+('入力・結果'!$G$4^2)-(2*'入力・結果'!$G$3*'入力・結果'!$G$4*COS(RADIANS(S180))))^(1/2))))</f>
        <v>2.50019047</v>
      </c>
      <c r="Z180" s="38">
        <f>DEGREES(ACOS((('入力・結果'!$G$3^2)+('入力・結果'!$G$4^2)-('入力・結果'!$G$5^2)+('入力・結果'!$G$6^2)-(2*'入力・結果'!$G$3*'入力・結果'!$G$4*COS(RADIANS(S180))))/(2*'入力・結果'!$G$6*(('入力・結果'!$G$3^2)+('入力・結果'!$G$4^2)-(2*'入力・結果'!$G$3*'入力・結果'!$G$4*(COS(RADIANS(S180)))))^(1/2))))</f>
        <v>2.195846859</v>
      </c>
      <c r="AA180" s="38">
        <f>DEGREES(ACOS(('入力・結果'!$G$4-('入力・結果'!$G$3*COS(RADIANS(S180))))/((('入力・結果'!$G$3^2)+('入力・結果'!$G$4^2)-(2*'入力・結果'!$G$3*'入力・結果'!$G$4*COS(RADIANS(S180))))^(1/2))))</f>
        <v>1.49980953</v>
      </c>
      <c r="AB180" s="38">
        <f>DEGREES(ACOS((('入力・結果'!$G$3^2)+('入力・結果'!$G$4^2)+('入力・結果'!$G$5^2)-('入力・結果'!$G$6^2)-(2*'入力・結果'!$G$3*'入力・結果'!$G$4*COS(RADIANS(S180))))/(2*'入力・結果'!$G$5*(('入力・結果'!$G$3^2)+('入力・結果'!$G$4^2)-(2*'入力・結果'!$G$3*'入力・結果'!$G$4*(COS(RADIANS(S180)))))^(1/2))))</f>
        <v>1.707715666</v>
      </c>
      <c r="AC180" s="37">
        <f t="shared" si="19"/>
        <v>12962.74554</v>
      </c>
      <c r="AD180" s="37">
        <f t="shared" si="20"/>
        <v>12962.74554</v>
      </c>
      <c r="AE180" s="37" t="str">
        <f t="shared" si="21"/>
        <v/>
      </c>
      <c r="AF180" s="37" t="str">
        <f t="shared" si="22"/>
        <v/>
      </c>
      <c r="AG180" s="35"/>
      <c r="AH180" s="35"/>
      <c r="AI180" s="35"/>
      <c r="AJ180" s="35">
        <v>177.0</v>
      </c>
      <c r="AK180" s="35">
        <f t="shared" si="1"/>
        <v>5.044972397</v>
      </c>
    </row>
    <row r="181" ht="12.75" customHeight="1">
      <c r="A181" s="35"/>
      <c r="B181" s="37">
        <v>177.0</v>
      </c>
      <c r="C181" s="38">
        <f t="shared" si="2"/>
        <v>-49.93147674</v>
      </c>
      <c r="D181" s="38">
        <f t="shared" si="3"/>
        <v>-2.616797812</v>
      </c>
      <c r="E181" s="38">
        <f>'演算'!U181</f>
        <v>-0.5942576635</v>
      </c>
      <c r="F181" s="38">
        <f t="shared" si="4"/>
        <v>0.5942576635</v>
      </c>
      <c r="G181" s="38">
        <f t="shared" si="5"/>
        <v>-599.9018944</v>
      </c>
      <c r="H181" s="38">
        <f t="shared" si="6"/>
        <v>-8.321159597</v>
      </c>
      <c r="I181" s="39">
        <f t="shared" si="7"/>
        <v>599.9596024</v>
      </c>
      <c r="J181" s="38">
        <f t="shared" si="8"/>
        <v>-0.7946911932</v>
      </c>
      <c r="K181" s="38" t="str">
        <f t="shared" si="9"/>
        <v/>
      </c>
      <c r="L181" s="38">
        <f t="shared" si="10"/>
        <v>1</v>
      </c>
      <c r="M181" s="38">
        <f t="shared" si="11"/>
        <v>179.2053088</v>
      </c>
      <c r="N181" s="39">
        <f t="shared" si="12"/>
        <v>129.2053088</v>
      </c>
      <c r="O181" s="39">
        <f t="shared" si="13"/>
        <v>-379.2351267</v>
      </c>
      <c r="P181" s="39">
        <f t="shared" si="14"/>
        <v>-464.9002509</v>
      </c>
      <c r="Q181" s="38">
        <f t="shared" si="15"/>
        <v>-599.1777209</v>
      </c>
      <c r="R181" s="38">
        <f t="shared" si="16"/>
        <v>31.40157375</v>
      </c>
      <c r="S181" s="40">
        <v>177.0</v>
      </c>
      <c r="T181" s="37">
        <f t="shared" si="17"/>
        <v>2.405742336</v>
      </c>
      <c r="U181" s="37">
        <f t="shared" si="18"/>
        <v>-0.5942576635</v>
      </c>
      <c r="V181" s="37">
        <f t="shared" si="23"/>
        <v>0.19821714</v>
      </c>
      <c r="W181" s="37">
        <f>'入力・結果'!$I$7/V181</f>
        <v>1627003.598</v>
      </c>
      <c r="X181" s="39">
        <f>(W181/I181*10)*'入力・結果'!$I$8</f>
        <v>16271.1315</v>
      </c>
      <c r="Y181" s="38">
        <f>DEGREES(ACOS(('入力・結果'!$G$3-('入力・結果'!$G$4*COS(RADIANS(S181))))/((('入力・結果'!$G$3^2)+('入力・結果'!$G$4^2)-(2*'入力・結果'!$G$3*'入力・結果'!$G$4*COS(RADIANS(S181))))^(1/2))))</f>
        <v>1.875080339</v>
      </c>
      <c r="Z181" s="38">
        <f>DEGREES(ACOS((('入力・結果'!$G$3^2)+('入力・結果'!$G$4^2)-('入力・結果'!$G$5^2)+('入力・結果'!$G$6^2)-(2*'入力・結果'!$G$3*'入力・結果'!$G$4*COS(RADIANS(S181))))/(2*'入力・結果'!$G$6*(('入力・結果'!$G$3^2)+('入力・結果'!$G$4^2)-(2*'入力・結果'!$G$3*'入力・結果'!$G$4*(COS(RADIANS(S181)))))^(1/2))))</f>
        <v>1.646861614</v>
      </c>
      <c r="AA181" s="38">
        <f>DEGREES(ACOS(('入力・結果'!$G$4-('入力・結果'!$G$3*COS(RADIANS(S181))))/((('入力・結果'!$G$3^2)+('入力・結果'!$G$4^2)-(2*'入力・結果'!$G$3*'入力・結果'!$G$4*COS(RADIANS(S181))))^(1/2))))</f>
        <v>1.124919661</v>
      </c>
      <c r="AB181" s="38">
        <f>DEGREES(ACOS((('入力・結果'!$G$3^2)+('入力・結果'!$G$4^2)+('入力・結果'!$G$5^2)-('入力・結果'!$G$6^2)-(2*'入力・結果'!$G$3*'入力・結果'!$G$4*COS(RADIANS(S181))))/(2*'入力・結果'!$G$5*(('入力・結果'!$G$3^2)+('入力・結果'!$G$4^2)-(2*'入力・結果'!$G$3*'入力・結果'!$G$4*(COS(RADIANS(S181)))))^(1/2))))</f>
        <v>1.280822675</v>
      </c>
      <c r="AC181" s="37">
        <f t="shared" si="19"/>
        <v>12971.1315</v>
      </c>
      <c r="AD181" s="37">
        <f t="shared" si="20"/>
        <v>12971.1315</v>
      </c>
      <c r="AE181" s="37" t="str">
        <f t="shared" si="21"/>
        <v/>
      </c>
      <c r="AF181" s="37" t="str">
        <f t="shared" si="22"/>
        <v/>
      </c>
      <c r="AG181" s="35"/>
      <c r="AH181" s="35"/>
      <c r="AI181" s="35"/>
      <c r="AJ181" s="35">
        <v>178.0</v>
      </c>
      <c r="AK181" s="35">
        <f t="shared" si="1"/>
        <v>5.04712123</v>
      </c>
    </row>
    <row r="182" ht="12.75" customHeight="1">
      <c r="A182" s="35"/>
      <c r="B182" s="37">
        <v>178.0</v>
      </c>
      <c r="C182" s="38">
        <f t="shared" si="2"/>
        <v>-49.96954135</v>
      </c>
      <c r="D182" s="38">
        <f t="shared" si="3"/>
        <v>-1.744974835</v>
      </c>
      <c r="E182" s="38">
        <f>'演算'!U182</f>
        <v>-0.3961249153</v>
      </c>
      <c r="F182" s="38">
        <f t="shared" si="4"/>
        <v>0.3961249153</v>
      </c>
      <c r="G182" s="38">
        <f t="shared" si="5"/>
        <v>-599.9563967</v>
      </c>
      <c r="H182" s="38">
        <f t="shared" si="6"/>
        <v>-5.547470754</v>
      </c>
      <c r="I182" s="39">
        <f t="shared" si="7"/>
        <v>599.9820433</v>
      </c>
      <c r="J182" s="38">
        <f t="shared" si="8"/>
        <v>-0.5297678383</v>
      </c>
      <c r="K182" s="38" t="str">
        <f t="shared" si="9"/>
        <v/>
      </c>
      <c r="L182" s="38">
        <f t="shared" si="10"/>
        <v>1</v>
      </c>
      <c r="M182" s="38">
        <f t="shared" si="11"/>
        <v>179.4702322</v>
      </c>
      <c r="N182" s="39">
        <f t="shared" si="12"/>
        <v>129.4702322</v>
      </c>
      <c r="O182" s="39">
        <f t="shared" si="13"/>
        <v>-381.394929</v>
      </c>
      <c r="P182" s="39">
        <f t="shared" si="14"/>
        <v>-463.1591092</v>
      </c>
      <c r="Q182" s="38">
        <f t="shared" si="15"/>
        <v>-599.6344962</v>
      </c>
      <c r="R182" s="38">
        <f t="shared" si="16"/>
        <v>20.93969802</v>
      </c>
      <c r="S182" s="40">
        <v>178.0</v>
      </c>
      <c r="T182" s="37">
        <f t="shared" si="17"/>
        <v>1.603875085</v>
      </c>
      <c r="U182" s="37">
        <f t="shared" si="18"/>
        <v>-0.3961249153</v>
      </c>
      <c r="V182" s="37">
        <f t="shared" si="23"/>
        <v>0.1981327482</v>
      </c>
      <c r="W182" s="37">
        <f>'入力・結果'!$I$7/V182</f>
        <v>1627696.597</v>
      </c>
      <c r="X182" s="39">
        <f>(W182/I182*10)*'入力・結果'!$I$8</f>
        <v>16277.45311</v>
      </c>
      <c r="Y182" s="38">
        <f>DEGREES(ACOS(('入力・結果'!$G$3-('入力・結果'!$G$4*COS(RADIANS(S182))))/((('入力・結果'!$G$3^2)+('入力・結果'!$G$4^2)-(2*'入力・結果'!$G$3*'入力・結果'!$G$4*COS(RADIANS(S182))))^(1/2))))</f>
        <v>1.250023801</v>
      </c>
      <c r="Z182" s="38">
        <f>DEGREES(ACOS((('入力・結果'!$G$3^2)+('入力・結果'!$G$4^2)-('入力・結果'!$G$5^2)+('入力・結果'!$G$6^2)-(2*'入力・結果'!$G$3*'入力・結果'!$G$4*COS(RADIANS(S182))))/(2*'入力・結果'!$G$6*(('入力・結果'!$G$3^2)+('入力・結果'!$G$4^2)-(2*'入力・結果'!$G$3*'入力・結果'!$G$4*(COS(RADIANS(S182)))))^(1/2))))</f>
        <v>1.097896541</v>
      </c>
      <c r="AA182" s="38">
        <f>DEGREES(ACOS(('入力・結果'!$G$4-('入力・結果'!$G$3*COS(RADIANS(S182))))/((('入力・結果'!$G$3^2)+('入力・結果'!$G$4^2)-(2*'入力・結果'!$G$3*'入力・結果'!$G$4*COS(RADIANS(S182))))^(1/2))))</f>
        <v>0.7499761991</v>
      </c>
      <c r="AB182" s="38">
        <f>DEGREES(ACOS((('入力・結果'!$G$3^2)+('入力・結果'!$G$4^2)+('入力・結果'!$G$5^2)-('入力・結果'!$G$6^2)-(2*'入力・結果'!$G$3*'入力・結果'!$G$4*COS(RADIANS(S182))))/(2*'入力・結果'!$G$5*(('入力・結果'!$G$3^2)+('入力・結果'!$G$4^2)-(2*'入力・結果'!$G$3*'入力・結果'!$G$4*(COS(RADIANS(S182)))))^(1/2))))</f>
        <v>0.8538988856</v>
      </c>
      <c r="AC182" s="37">
        <f t="shared" si="19"/>
        <v>12977.45311</v>
      </c>
      <c r="AD182" s="37">
        <f t="shared" si="20"/>
        <v>12977.45311</v>
      </c>
      <c r="AE182" s="37" t="str">
        <f t="shared" si="21"/>
        <v/>
      </c>
      <c r="AF182" s="37" t="str">
        <f t="shared" si="22"/>
        <v/>
      </c>
      <c r="AG182" s="35"/>
      <c r="AH182" s="35"/>
      <c r="AI182" s="35"/>
      <c r="AJ182" s="35">
        <v>179.0</v>
      </c>
      <c r="AK182" s="35">
        <f t="shared" si="1"/>
        <v>5.048554149</v>
      </c>
    </row>
    <row r="183" ht="12.75" customHeight="1">
      <c r="A183" s="35"/>
      <c r="B183" s="37">
        <v>179.0</v>
      </c>
      <c r="C183" s="38">
        <f t="shared" si="2"/>
        <v>-49.99238476</v>
      </c>
      <c r="D183" s="38">
        <f t="shared" si="3"/>
        <v>-0.8726203219</v>
      </c>
      <c r="E183" s="38">
        <f>'演算'!U183</f>
        <v>-0.1980484026</v>
      </c>
      <c r="F183" s="38">
        <f t="shared" si="4"/>
        <v>0.1980484026</v>
      </c>
      <c r="G183" s="38">
        <f t="shared" si="5"/>
        <v>-599.989099</v>
      </c>
      <c r="H183" s="38">
        <f t="shared" si="6"/>
        <v>-2.773744723</v>
      </c>
      <c r="I183" s="39">
        <f t="shared" si="7"/>
        <v>599.9955105</v>
      </c>
      <c r="J183" s="38">
        <f t="shared" si="8"/>
        <v>-0.2648760355</v>
      </c>
      <c r="K183" s="38" t="str">
        <f t="shared" si="9"/>
        <v/>
      </c>
      <c r="L183" s="38">
        <f t="shared" si="10"/>
        <v>1</v>
      </c>
      <c r="M183" s="38">
        <f t="shared" si="11"/>
        <v>179.735124</v>
      </c>
      <c r="N183" s="39">
        <f t="shared" si="12"/>
        <v>129.735124</v>
      </c>
      <c r="O183" s="39">
        <f t="shared" si="13"/>
        <v>-383.5407471</v>
      </c>
      <c r="P183" s="39">
        <f t="shared" si="14"/>
        <v>-461.401244</v>
      </c>
      <c r="Q183" s="38">
        <f t="shared" si="15"/>
        <v>-599.9086171</v>
      </c>
      <c r="R183" s="38">
        <f t="shared" si="16"/>
        <v>10.47144386</v>
      </c>
      <c r="S183" s="40">
        <v>179.0</v>
      </c>
      <c r="T183" s="37">
        <f t="shared" si="17"/>
        <v>0.8019515974</v>
      </c>
      <c r="U183" s="37">
        <f t="shared" si="18"/>
        <v>-0.1980484026</v>
      </c>
      <c r="V183" s="37">
        <f t="shared" si="23"/>
        <v>0.1980765127</v>
      </c>
      <c r="W183" s="37">
        <f>'入力・結果'!$I$7/V183</f>
        <v>1628158.713</v>
      </c>
      <c r="X183" s="39">
        <f>(W183/I183*10)*'入力・結果'!$I$8</f>
        <v>16281.70896</v>
      </c>
      <c r="Y183" s="38">
        <f>DEGREES(ACOS(('入力・結果'!$G$3-('入力・結果'!$G$4*COS(RADIANS(S183))))/((('入力・結果'!$G$3^2)+('入力・結果'!$G$4^2)-(2*'入力・結果'!$G$3*'入力・結果'!$G$4*COS(RADIANS(S183))))^(1/2))))</f>
        <v>0.6250029749</v>
      </c>
      <c r="Z183" s="38">
        <f>DEGREES(ACOS((('入力・結果'!$G$3^2)+('入力・結果'!$G$4^2)-('入力・結果'!$G$5^2)+('入力・結果'!$G$6^2)-(2*'入力・結果'!$G$3*'入力・結果'!$G$4*COS(RADIANS(S183))))/(2*'入力・結果'!$G$6*(('入力・結果'!$G$3^2)+('入力・結果'!$G$4^2)-(2*'入力・結果'!$G$3*'入力・結果'!$G$4*(COS(RADIANS(S183)))))^(1/2))))</f>
        <v>0.5489449108</v>
      </c>
      <c r="AA183" s="38">
        <f>DEGREES(ACOS(('入力・結果'!$G$4-('入力・結果'!$G$3*COS(RADIANS(S183))))/((('入力・結果'!$G$3^2)+('入力・結果'!$G$4^2)-(2*'入力・結果'!$G$3*'入力・結果'!$G$4*COS(RADIANS(S183))))^(1/2))))</f>
        <v>0.3749970251</v>
      </c>
      <c r="AB183" s="38">
        <f>DEGREES(ACOS((('入力・結果'!$G$3^2)+('入力・結果'!$G$4^2)+('入力・結果'!$G$5^2)-('入力・結果'!$G$6^2)-(2*'入力・結果'!$G$3*'入力・結果'!$G$4*COS(RADIANS(S183))))/(2*'入力・結果'!$G$5*(('入力・結果'!$G$3^2)+('入力・結果'!$G$4^2)-(2*'入力・結果'!$G$3*'入力・結果'!$G$4*(COS(RADIANS(S183)))))^(1/2))))</f>
        <v>0.4269545723</v>
      </c>
      <c r="AC183" s="37">
        <f t="shared" si="19"/>
        <v>12981.70896</v>
      </c>
      <c r="AD183" s="37">
        <f t="shared" si="20"/>
        <v>12981.70896</v>
      </c>
      <c r="AE183" s="37" t="str">
        <f t="shared" si="21"/>
        <v/>
      </c>
      <c r="AF183" s="37" t="str">
        <f t="shared" si="22"/>
        <v/>
      </c>
      <c r="AG183" s="35"/>
      <c r="AH183" s="35"/>
      <c r="AI183" s="35"/>
      <c r="AJ183" s="35">
        <v>180.0</v>
      </c>
      <c r="AK183" s="35">
        <f t="shared" si="1"/>
        <v>5.049270718</v>
      </c>
    </row>
    <row r="184" ht="12.75" customHeight="1">
      <c r="A184" s="35"/>
      <c r="B184" s="37">
        <v>180.0</v>
      </c>
      <c r="C184" s="38">
        <f t="shared" si="2"/>
        <v>-50</v>
      </c>
      <c r="D184" s="38">
        <f t="shared" si="3"/>
        <v>0</v>
      </c>
      <c r="E184" s="38">
        <f>'演算'!U184</f>
        <v>0</v>
      </c>
      <c r="F184" s="38">
        <f t="shared" si="4"/>
        <v>0</v>
      </c>
      <c r="G184" s="38">
        <f t="shared" si="5"/>
        <v>-600</v>
      </c>
      <c r="H184" s="38">
        <f t="shared" si="6"/>
        <v>0</v>
      </c>
      <c r="I184" s="39">
        <f t="shared" si="7"/>
        <v>600</v>
      </c>
      <c r="J184" s="38">
        <f t="shared" si="8"/>
        <v>0</v>
      </c>
      <c r="K184" s="38" t="str">
        <f t="shared" si="9"/>
        <v/>
      </c>
      <c r="L184" s="38">
        <f t="shared" si="10"/>
        <v>1</v>
      </c>
      <c r="M184" s="38">
        <f t="shared" si="11"/>
        <v>180</v>
      </c>
      <c r="N184" s="39">
        <f t="shared" si="12"/>
        <v>130</v>
      </c>
      <c r="O184" s="39">
        <f t="shared" si="13"/>
        <v>-385.6725658</v>
      </c>
      <c r="P184" s="39">
        <f t="shared" si="14"/>
        <v>-459.6266659</v>
      </c>
      <c r="Q184" s="38">
        <f t="shared" si="15"/>
        <v>-600</v>
      </c>
      <c r="R184" s="38">
        <f t="shared" si="16"/>
        <v>0</v>
      </c>
      <c r="S184" s="40">
        <v>180.0</v>
      </c>
      <c r="T184" s="37">
        <f t="shared" ref="T184:T364" si="24">-AA184+AB184</f>
        <v>0</v>
      </c>
      <c r="U184" s="37">
        <f t="shared" si="18"/>
        <v>0</v>
      </c>
      <c r="V184" s="37">
        <f t="shared" si="23"/>
        <v>0.1980484026</v>
      </c>
      <c r="W184" s="37">
        <f>'入力・結果'!$I$7/V184</f>
        <v>1628389.807</v>
      </c>
      <c r="X184" s="39">
        <f>(W184/I184*10)*'入力・結果'!$I$8</f>
        <v>16283.89807</v>
      </c>
      <c r="Y184" s="38">
        <f>DEGREES(ACOS(('入力・結果'!$G$3-('入力・結果'!$G$4*COS(RADIANS(S184))))/((('入力・結果'!$G$3^2)+('入力・結果'!$G$4^2)-(2*'入力・結果'!$G$3*'入力・結果'!$G$4*COS(RADIANS(S184))))^(1/2))))</f>
        <v>0</v>
      </c>
      <c r="Z184" s="38">
        <f>DEGREES(ACOS((('入力・結果'!$G$3^2)+('入力・結果'!$G$4^2)-('入力・結果'!$G$5^2)+('入力・結果'!$G$6^2)-(2*'入力・結果'!$G$3*'入力・結果'!$G$4*COS(RADIANS(S184))))/(2*'入力・結果'!$G$6*(('入力・結果'!$G$3^2)+('入力・結果'!$G$4^2)-(2*'入力・結果'!$G$3*'入力・結果'!$G$4*(COS(RADIANS(S184)))))^(1/2))))</f>
        <v>0</v>
      </c>
      <c r="AA184" s="38">
        <f>DEGREES(ACOS(('入力・結果'!$G$4-('入力・結果'!$G$3*COS(RADIANS(S184))))/((('入力・結果'!$G$3^2)+('入力・結果'!$G$4^2)-(2*'入力・結果'!$G$3*'入力・結果'!$G$4*COS(RADIANS(S184))))^(1/2))))</f>
        <v>0</v>
      </c>
      <c r="AB184" s="38">
        <f>DEGREES(ACOS((('入力・結果'!$G$3^2)+('入力・結果'!$G$4^2)+('入力・結果'!$G$5^2)-('入力・結果'!$G$6^2)-(2*'入力・結果'!$G$3*'入力・結果'!$G$4*COS(RADIANS(S184))))/(2*'入力・結果'!$G$5*(('入力・結果'!$G$3^2)+('入力・結果'!$G$4^2)-(2*'入力・結果'!$G$3*'入力・結果'!$G$4*(COS(RADIANS(S184)))))^(1/2))))</f>
        <v>0</v>
      </c>
      <c r="AC184" s="37">
        <f t="shared" si="19"/>
        <v>12983.89807</v>
      </c>
      <c r="AD184" s="37">
        <f t="shared" si="20"/>
        <v>12983.89807</v>
      </c>
      <c r="AE184" s="37" t="str">
        <f t="shared" si="21"/>
        <v/>
      </c>
      <c r="AF184" s="37" t="str">
        <f t="shared" si="22"/>
        <v>a</v>
      </c>
      <c r="AG184" s="35"/>
      <c r="AH184" s="35"/>
      <c r="AI184" s="35"/>
      <c r="AJ184" s="35">
        <v>181.0</v>
      </c>
      <c r="AK184" s="35">
        <f t="shared" si="1"/>
        <v>0.9506087035</v>
      </c>
    </row>
    <row r="185" ht="12.75" customHeight="1">
      <c r="A185" s="35"/>
      <c r="B185" s="37">
        <v>181.0</v>
      </c>
      <c r="C185" s="38">
        <f t="shared" si="2"/>
        <v>-49.99238476</v>
      </c>
      <c r="D185" s="38">
        <f t="shared" si="3"/>
        <v>0.8726203219</v>
      </c>
      <c r="E185" s="38">
        <f>'演算'!U185</f>
        <v>1.051957547</v>
      </c>
      <c r="F185" s="38">
        <f t="shared" si="4"/>
        <v>-1.051957547</v>
      </c>
      <c r="G185" s="38">
        <f t="shared" si="5"/>
        <v>-599.8996865</v>
      </c>
      <c r="H185" s="38">
        <f t="shared" si="6"/>
        <v>10.97012053</v>
      </c>
      <c r="I185" s="39">
        <f t="shared" si="7"/>
        <v>599.9999812</v>
      </c>
      <c r="J185" s="38">
        <f t="shared" si="8"/>
        <v>1.047627752</v>
      </c>
      <c r="K185" s="38" t="str">
        <f t="shared" si="9"/>
        <v/>
      </c>
      <c r="L185" s="38">
        <f t="shared" si="10"/>
        <v>1</v>
      </c>
      <c r="M185" s="38">
        <f t="shared" si="11"/>
        <v>181.0476278</v>
      </c>
      <c r="N185" s="39">
        <f t="shared" si="12"/>
        <v>131.0476278</v>
      </c>
      <c r="O185" s="39">
        <f t="shared" si="13"/>
        <v>-394.0116854</v>
      </c>
      <c r="P185" s="39">
        <f t="shared" si="14"/>
        <v>-452.4983637</v>
      </c>
      <c r="Q185" s="38">
        <f t="shared" si="15"/>
        <v>-599.9086171</v>
      </c>
      <c r="R185" s="38">
        <f t="shared" si="16"/>
        <v>-10.47144386</v>
      </c>
      <c r="S185" s="40">
        <v>181.0</v>
      </c>
      <c r="T185" s="37">
        <f t="shared" si="24"/>
        <v>0.05195754713</v>
      </c>
      <c r="U185" s="37">
        <f t="shared" si="18"/>
        <v>1.051957547</v>
      </c>
      <c r="V185" s="37">
        <f t="shared" si="23"/>
        <v>1.051957547</v>
      </c>
      <c r="W185" s="37">
        <f>'入力・結果'!$I$7/V185</f>
        <v>306571.3069</v>
      </c>
      <c r="X185" s="39">
        <f>(W185/I185*10)*'入力・結果'!$I$8</f>
        <v>3065.713165</v>
      </c>
      <c r="Y185" s="38">
        <f>DEGREES(ACOS(('入力・結果'!$G$3-('入力・結果'!$G$4*COS(RADIANS(S185))))/((('入力・結果'!$G$3^2)+('入力・結果'!$G$4^2)-(2*'入力・結果'!$G$3*'入力・結果'!$G$4*COS(RADIANS(S185))))^(1/2))))</f>
        <v>0.6250029749</v>
      </c>
      <c r="Z185" s="38">
        <f>DEGREES(ACOS((('入力・結果'!$G$3^2)+('入力・結果'!$G$4^2)-('入力・結果'!$G$5^2)+('入力・結果'!$G$6^2)-(2*'入力・結果'!$G$3*'入力・結果'!$G$4*COS(RADIANS(S185))))/(2*'入力・結果'!$G$6*(('入力・結果'!$G$3^2)+('入力・結果'!$G$4^2)-(2*'入力・結果'!$G$3*'入力・結果'!$G$4*(COS(RADIANS(S185)))))^(1/2))))</f>
        <v>0.5489449108</v>
      </c>
      <c r="AA185" s="38">
        <f>DEGREES(ACOS(('入力・結果'!$G$4-('入力・結果'!$G$3*COS(RADIANS(S185))))/((('入力・結果'!$G$3^2)+('入力・結果'!$G$4^2)-(2*'入力・結果'!$G$3*'入力・結果'!$G$4*COS(RADIANS(S185))))^(1/2))))</f>
        <v>0.3749970251</v>
      </c>
      <c r="AB185" s="38">
        <f>DEGREES(ACOS((('入力・結果'!$G$3^2)+('入力・結果'!$G$4^2)+('入力・結果'!$G$5^2)-('入力・結果'!$G$6^2)-(2*'入力・結果'!$G$3*'入力・結果'!$G$4*COS(RADIANS(S185))))/(2*'入力・結果'!$G$5*(('入力・結果'!$G$3^2)+('入力・結果'!$G$4^2)-(2*'入力・結果'!$G$3*'入力・結果'!$G$4*(COS(RADIANS(S185)))))^(1/2))))</f>
        <v>0.4269545723</v>
      </c>
      <c r="AC185" s="37">
        <f t="shared" si="19"/>
        <v>-234.286835</v>
      </c>
      <c r="AD185" s="37">
        <f t="shared" si="20"/>
        <v>0</v>
      </c>
      <c r="AE185" s="37" t="str">
        <f t="shared" si="21"/>
        <v/>
      </c>
      <c r="AF185" s="37" t="str">
        <f t="shared" si="22"/>
        <v/>
      </c>
      <c r="AG185" s="35"/>
      <c r="AH185" s="35"/>
      <c r="AI185" s="35"/>
      <c r="AJ185" s="35">
        <v>182.0</v>
      </c>
      <c r="AK185" s="35">
        <f t="shared" si="1"/>
        <v>0.9506018428</v>
      </c>
    </row>
    <row r="186" ht="12.75" customHeight="1">
      <c r="A186" s="35"/>
      <c r="B186" s="37">
        <v>182.0</v>
      </c>
      <c r="C186" s="38">
        <f t="shared" si="2"/>
        <v>-49.96954135</v>
      </c>
      <c r="D186" s="38">
        <f t="shared" si="3"/>
        <v>1.744974835</v>
      </c>
      <c r="E186" s="38">
        <f>'演算'!U186</f>
        <v>2.103922686</v>
      </c>
      <c r="F186" s="38">
        <f t="shared" si="4"/>
        <v>-2.103922686</v>
      </c>
      <c r="G186" s="38">
        <f t="shared" si="5"/>
        <v>-599.5987768</v>
      </c>
      <c r="H186" s="38">
        <f t="shared" si="6"/>
        <v>21.93664437</v>
      </c>
      <c r="I186" s="39">
        <f t="shared" si="7"/>
        <v>599.9999246</v>
      </c>
      <c r="J186" s="38">
        <f t="shared" si="8"/>
        <v>2.095262466</v>
      </c>
      <c r="K186" s="38" t="str">
        <f t="shared" si="9"/>
        <v/>
      </c>
      <c r="L186" s="38">
        <f t="shared" si="10"/>
        <v>1</v>
      </c>
      <c r="M186" s="38">
        <f t="shared" si="11"/>
        <v>182.0952625</v>
      </c>
      <c r="N186" s="39">
        <f t="shared" si="12"/>
        <v>132.0952625</v>
      </c>
      <c r="O186" s="39">
        <f t="shared" si="13"/>
        <v>-402.219109</v>
      </c>
      <c r="P186" s="39">
        <f t="shared" si="14"/>
        <v>-445.2187079</v>
      </c>
      <c r="Q186" s="38">
        <f t="shared" si="15"/>
        <v>-599.6344962</v>
      </c>
      <c r="R186" s="38">
        <f t="shared" si="16"/>
        <v>-20.93969802</v>
      </c>
      <c r="S186" s="40">
        <v>182.0</v>
      </c>
      <c r="T186" s="37">
        <f t="shared" si="24"/>
        <v>0.1039226865</v>
      </c>
      <c r="U186" s="37">
        <f t="shared" si="18"/>
        <v>2.103922686</v>
      </c>
      <c r="V186" s="37">
        <f t="shared" si="23"/>
        <v>1.051965139</v>
      </c>
      <c r="W186" s="37">
        <f>'入力・結果'!$I$7/V186</f>
        <v>306569.0943</v>
      </c>
      <c r="X186" s="39">
        <f>(W186/I186*10)*'入力・結果'!$I$8</f>
        <v>3065.691328</v>
      </c>
      <c r="Y186" s="38">
        <f>DEGREES(ACOS(('入力・結果'!$G$3-('入力・結果'!$G$4*COS(RADIANS(S186))))/((('入力・結果'!$G$3^2)+('入力・結果'!$G$4^2)-(2*'入力・結果'!$G$3*'入力・結果'!$G$4*COS(RADIANS(S186))))^(1/2))))</f>
        <v>1.250023801</v>
      </c>
      <c r="Z186" s="38">
        <f>DEGREES(ACOS((('入力・結果'!$G$3^2)+('入力・結果'!$G$4^2)-('入力・結果'!$G$5^2)+('入力・結果'!$G$6^2)-(2*'入力・結果'!$G$3*'入力・結果'!$G$4*COS(RADIANS(S186))))/(2*'入力・結果'!$G$6*(('入力・結果'!$G$3^2)+('入力・結果'!$G$4^2)-(2*'入力・結果'!$G$3*'入力・結果'!$G$4*(COS(RADIANS(S186)))))^(1/2))))</f>
        <v>1.097896541</v>
      </c>
      <c r="AA186" s="38">
        <f>DEGREES(ACOS(('入力・結果'!$G$4-('入力・結果'!$G$3*COS(RADIANS(S186))))/((('入力・結果'!$G$3^2)+('入力・結果'!$G$4^2)-(2*'入力・結果'!$G$3*'入力・結果'!$G$4*COS(RADIANS(S186))))^(1/2))))</f>
        <v>0.7499761991</v>
      </c>
      <c r="AB186" s="38">
        <f>DEGREES(ACOS((('入力・結果'!$G$3^2)+('入力・結果'!$G$4^2)+('入力・結果'!$G$5^2)-('入力・結果'!$G$6^2)-(2*'入力・結果'!$G$3*'入力・結果'!$G$4*COS(RADIANS(S186))))/(2*'入力・結果'!$G$5*(('入力・結果'!$G$3^2)+('入力・結果'!$G$4^2)-(2*'入力・結果'!$G$3*'入力・結果'!$G$4*(COS(RADIANS(S186)))))^(1/2))))</f>
        <v>0.8538988856</v>
      </c>
      <c r="AC186" s="37">
        <f t="shared" si="19"/>
        <v>-234.3086718</v>
      </c>
      <c r="AD186" s="37">
        <f t="shared" si="20"/>
        <v>0</v>
      </c>
      <c r="AE186" s="37" t="str">
        <f t="shared" si="21"/>
        <v/>
      </c>
      <c r="AF186" s="37" t="str">
        <f t="shared" si="22"/>
        <v/>
      </c>
      <c r="AG186" s="35"/>
      <c r="AH186" s="35"/>
      <c r="AI186" s="35"/>
      <c r="AJ186" s="35">
        <v>183.0</v>
      </c>
      <c r="AK186" s="35">
        <f t="shared" si="1"/>
        <v>0.9505881178</v>
      </c>
    </row>
    <row r="187" ht="12.75" customHeight="1">
      <c r="A187" s="35"/>
      <c r="B187" s="37">
        <v>183.0</v>
      </c>
      <c r="C187" s="38">
        <f t="shared" si="2"/>
        <v>-49.93147674</v>
      </c>
      <c r="D187" s="38">
        <f t="shared" si="3"/>
        <v>2.616797812</v>
      </c>
      <c r="E187" s="38">
        <f>'演算'!U187</f>
        <v>3.155903014</v>
      </c>
      <c r="F187" s="38">
        <f t="shared" si="4"/>
        <v>-3.155903014</v>
      </c>
      <c r="G187" s="38">
        <f t="shared" si="5"/>
        <v>-599.0973637</v>
      </c>
      <c r="H187" s="38">
        <f t="shared" si="6"/>
        <v>32.89597586</v>
      </c>
      <c r="I187" s="39">
        <f t="shared" si="7"/>
        <v>599.9998303</v>
      </c>
      <c r="J187" s="38">
        <f t="shared" si="8"/>
        <v>3.142911109</v>
      </c>
      <c r="K187" s="38" t="str">
        <f t="shared" si="9"/>
        <v/>
      </c>
      <c r="L187" s="38">
        <f t="shared" si="10"/>
        <v>1</v>
      </c>
      <c r="M187" s="38">
        <f t="shared" si="11"/>
        <v>183.1429111</v>
      </c>
      <c r="N187" s="39">
        <f t="shared" si="12"/>
        <v>133.1429111</v>
      </c>
      <c r="O187" s="39">
        <f t="shared" si="13"/>
        <v>-410.2921419</v>
      </c>
      <c r="P187" s="39">
        <f t="shared" si="14"/>
        <v>-437.7900806</v>
      </c>
      <c r="Q187" s="38">
        <f t="shared" si="15"/>
        <v>-599.1777209</v>
      </c>
      <c r="R187" s="38">
        <f t="shared" si="16"/>
        <v>-31.40157375</v>
      </c>
      <c r="S187" s="40">
        <v>183.0</v>
      </c>
      <c r="T187" s="37">
        <f t="shared" si="24"/>
        <v>0.1559030145</v>
      </c>
      <c r="U187" s="37">
        <f t="shared" si="18"/>
        <v>3.155903014</v>
      </c>
      <c r="V187" s="37">
        <f t="shared" si="23"/>
        <v>1.051980328</v>
      </c>
      <c r="W187" s="37">
        <f>'入力・結果'!$I$7/V187</f>
        <v>306564.668</v>
      </c>
      <c r="X187" s="39">
        <f>(W187/I187*10)*'入力・結果'!$I$8</f>
        <v>3065.647547</v>
      </c>
      <c r="Y187" s="38">
        <f>DEGREES(ACOS(('入力・結果'!$G$3-('入力・結果'!$G$4*COS(RADIANS(S187))))/((('入力・結果'!$G$3^2)+('入力・結果'!$G$4^2)-(2*'入力・結果'!$G$3*'入力・結果'!$G$4*COS(RADIANS(S187))))^(1/2))))</f>
        <v>1.875080339</v>
      </c>
      <c r="Z187" s="38">
        <f>DEGREES(ACOS((('入力・結果'!$G$3^2)+('入力・結果'!$G$4^2)-('入力・結果'!$G$5^2)+('入力・結果'!$G$6^2)-(2*'入力・結果'!$G$3*'入力・結果'!$G$4*COS(RADIANS(S187))))/(2*'入力・結果'!$G$6*(('入力・結果'!$G$3^2)+('入力・結果'!$G$4^2)-(2*'入力・結果'!$G$3*'入力・結果'!$G$4*(COS(RADIANS(S187)))))^(1/2))))</f>
        <v>1.646861614</v>
      </c>
      <c r="AA187" s="38">
        <f>DEGREES(ACOS(('入力・結果'!$G$4-('入力・結果'!$G$3*COS(RADIANS(S187))))/((('入力・結果'!$G$3^2)+('入力・結果'!$G$4^2)-(2*'入力・結果'!$G$3*'入力・結果'!$G$4*COS(RADIANS(S187))))^(1/2))))</f>
        <v>1.124919661</v>
      </c>
      <c r="AB187" s="38">
        <f>DEGREES(ACOS((('入力・結果'!$G$3^2)+('入力・結果'!$G$4^2)+('入力・結果'!$G$5^2)-('入力・結果'!$G$6^2)-(2*'入力・結果'!$G$3*'入力・結果'!$G$4*COS(RADIANS(S187))))/(2*'入力・結果'!$G$5*(('入力・結果'!$G$3^2)+('入力・結果'!$G$4^2)-(2*'入力・結果'!$G$3*'入力・結果'!$G$4*(COS(RADIANS(S187)))))^(1/2))))</f>
        <v>1.280822675</v>
      </c>
      <c r="AC187" s="37">
        <f t="shared" si="19"/>
        <v>-234.3524531</v>
      </c>
      <c r="AD187" s="37">
        <f t="shared" si="20"/>
        <v>0</v>
      </c>
      <c r="AE187" s="37" t="str">
        <f t="shared" si="21"/>
        <v/>
      </c>
      <c r="AF187" s="37" t="str">
        <f t="shared" si="22"/>
        <v/>
      </c>
      <c r="AG187" s="35"/>
      <c r="AH187" s="35"/>
      <c r="AI187" s="35"/>
      <c r="AJ187" s="35">
        <v>184.0</v>
      </c>
      <c r="AK187" s="35">
        <f t="shared" si="1"/>
        <v>0.9505675212</v>
      </c>
    </row>
    <row r="188" ht="12.75" customHeight="1">
      <c r="A188" s="35"/>
      <c r="B188" s="37">
        <v>184.0</v>
      </c>
      <c r="C188" s="38">
        <f t="shared" si="2"/>
        <v>-49.87820251</v>
      </c>
      <c r="D188" s="38">
        <f t="shared" si="3"/>
        <v>3.487823687</v>
      </c>
      <c r="E188" s="38">
        <f>'演算'!U188</f>
        <v>4.207906136</v>
      </c>
      <c r="F188" s="38">
        <f t="shared" si="4"/>
        <v>-4.207906136</v>
      </c>
      <c r="G188" s="38">
        <f t="shared" si="5"/>
        <v>-598.3956015</v>
      </c>
      <c r="H188" s="38">
        <f t="shared" si="6"/>
        <v>43.84452137</v>
      </c>
      <c r="I188" s="39">
        <f t="shared" si="7"/>
        <v>599.9996983</v>
      </c>
      <c r="J188" s="38">
        <f t="shared" si="8"/>
        <v>4.190580654</v>
      </c>
      <c r="K188" s="38" t="str">
        <f t="shared" si="9"/>
        <v/>
      </c>
      <c r="L188" s="38">
        <f t="shared" si="10"/>
        <v>1</v>
      </c>
      <c r="M188" s="38">
        <f t="shared" si="11"/>
        <v>184.1905807</v>
      </c>
      <c r="N188" s="39">
        <f t="shared" si="12"/>
        <v>134.1905807</v>
      </c>
      <c r="O188" s="39">
        <f t="shared" si="13"/>
        <v>-418.2281303</v>
      </c>
      <c r="P188" s="39">
        <f t="shared" si="14"/>
        <v>-430.2149102</v>
      </c>
      <c r="Q188" s="38">
        <f t="shared" si="15"/>
        <v>-598.5384302</v>
      </c>
      <c r="R188" s="38">
        <f t="shared" si="16"/>
        <v>-41.85388425</v>
      </c>
      <c r="S188" s="40">
        <v>184.0</v>
      </c>
      <c r="T188" s="37">
        <f t="shared" si="24"/>
        <v>0.2079061365</v>
      </c>
      <c r="U188" s="37">
        <f t="shared" si="18"/>
        <v>4.207906136</v>
      </c>
      <c r="V188" s="37">
        <f t="shared" si="23"/>
        <v>1.052003122</v>
      </c>
      <c r="W188" s="37">
        <f>'入力・結果'!$I$7/V188</f>
        <v>306558.0256</v>
      </c>
      <c r="X188" s="39">
        <f>(W188/I188*10)*'入力・結果'!$I$8</f>
        <v>3065.581798</v>
      </c>
      <c r="Y188" s="38">
        <f>DEGREES(ACOS(('入力・結果'!$G$3-('入力・結果'!$G$4*COS(RADIANS(S188))))/((('入力・結果'!$G$3^2)+('入力・結果'!$G$4^2)-(2*'入力・結果'!$G$3*'入力・結果'!$G$4*COS(RADIANS(S188))))^(1/2))))</f>
        <v>2.50019047</v>
      </c>
      <c r="Z188" s="38">
        <f>DEGREES(ACOS((('入力・結果'!$G$3^2)+('入力・結果'!$G$4^2)-('入力・結果'!$G$5^2)+('入力・結果'!$G$6^2)-(2*'入力・結果'!$G$3*'入力・結果'!$G$4*COS(RADIANS(S188))))/(2*'入力・結果'!$G$6*(('入力・結果'!$G$3^2)+('入力・結果'!$G$4^2)-(2*'入力・結果'!$G$3*'入力・結果'!$G$4*(COS(RADIANS(S188)))))^(1/2))))</f>
        <v>2.195846859</v>
      </c>
      <c r="AA188" s="38">
        <f>DEGREES(ACOS(('入力・結果'!$G$4-('入力・結果'!$G$3*COS(RADIANS(S188))))/((('入力・結果'!$G$3^2)+('入力・結果'!$G$4^2)-(2*'入力・結果'!$G$3*'入力・結果'!$G$4*COS(RADIANS(S188))))^(1/2))))</f>
        <v>1.49980953</v>
      </c>
      <c r="AB188" s="38">
        <f>DEGREES(ACOS((('入力・結果'!$G$3^2)+('入力・結果'!$G$4^2)+('入力・結果'!$G$5^2)-('入力・結果'!$G$6^2)-(2*'入力・結果'!$G$3*'入力・結果'!$G$4*COS(RADIANS(S188))))/(2*'入力・結果'!$G$5*(('入力・結果'!$G$3^2)+('入力・結果'!$G$4^2)-(2*'入力・結果'!$G$3*'入力・結果'!$G$4*(COS(RADIANS(S188)))))^(1/2))))</f>
        <v>1.707715666</v>
      </c>
      <c r="AC188" s="37">
        <f t="shared" si="19"/>
        <v>-234.4182023</v>
      </c>
      <c r="AD188" s="37">
        <f t="shared" si="20"/>
        <v>0</v>
      </c>
      <c r="AE188" s="37" t="str">
        <f t="shared" si="21"/>
        <v/>
      </c>
      <c r="AF188" s="37" t="str">
        <f t="shared" si="22"/>
        <v/>
      </c>
      <c r="AG188" s="35"/>
      <c r="AH188" s="35"/>
      <c r="AI188" s="35"/>
      <c r="AJ188" s="35">
        <v>185.0</v>
      </c>
      <c r="AK188" s="35">
        <f t="shared" si="1"/>
        <v>0.9505400422</v>
      </c>
    </row>
    <row r="189" ht="12.75" customHeight="1">
      <c r="A189" s="35"/>
      <c r="B189" s="37">
        <v>185.0</v>
      </c>
      <c r="C189" s="38">
        <f t="shared" si="2"/>
        <v>-49.8097349</v>
      </c>
      <c r="D189" s="38">
        <f t="shared" si="3"/>
        <v>4.357787137</v>
      </c>
      <c r="E189" s="38">
        <f>'演算'!U189</f>
        <v>5.259939671</v>
      </c>
      <c r="F189" s="38">
        <f t="shared" si="4"/>
        <v>-5.259939671</v>
      </c>
      <c r="G189" s="38">
        <f t="shared" si="5"/>
        <v>-597.4937063</v>
      </c>
      <c r="H189" s="38">
        <f t="shared" si="6"/>
        <v>54.77869036</v>
      </c>
      <c r="I189" s="39">
        <f t="shared" si="7"/>
        <v>599.9995283</v>
      </c>
      <c r="J189" s="38">
        <f t="shared" si="8"/>
        <v>5.238278088</v>
      </c>
      <c r="K189" s="38" t="str">
        <f t="shared" si="9"/>
        <v/>
      </c>
      <c r="L189" s="38">
        <f t="shared" si="10"/>
        <v>1</v>
      </c>
      <c r="M189" s="38">
        <f t="shared" si="11"/>
        <v>185.2382781</v>
      </c>
      <c r="N189" s="39">
        <f t="shared" si="12"/>
        <v>135.2382781</v>
      </c>
      <c r="O189" s="39">
        <f t="shared" si="13"/>
        <v>-426.0244626</v>
      </c>
      <c r="P189" s="39">
        <f t="shared" si="14"/>
        <v>-422.4956701</v>
      </c>
      <c r="Q189" s="38">
        <f t="shared" si="15"/>
        <v>-597.7168189</v>
      </c>
      <c r="R189" s="38">
        <f t="shared" si="16"/>
        <v>-52.29344565</v>
      </c>
      <c r="S189" s="40">
        <v>185.0</v>
      </c>
      <c r="T189" s="37">
        <f t="shared" si="24"/>
        <v>0.2599396707</v>
      </c>
      <c r="U189" s="37">
        <f t="shared" si="18"/>
        <v>5.259939671</v>
      </c>
      <c r="V189" s="37">
        <f t="shared" si="23"/>
        <v>1.052033534</v>
      </c>
      <c r="W189" s="37">
        <f>'入力・結果'!$I$7/V189</f>
        <v>306549.1636</v>
      </c>
      <c r="X189" s="39">
        <f>(W189/I189*10)*'入力・結果'!$I$8</f>
        <v>3065.494046</v>
      </c>
      <c r="Y189" s="38">
        <f>DEGREES(ACOS(('入力・結果'!$G$3-('入力・結果'!$G$4*COS(RADIANS(S189))))/((('入力・結果'!$G$3^2)+('入力・結果'!$G$4^2)-(2*'入力・結果'!$G$3*'入力・結果'!$G$4*COS(RADIANS(S189))))^(1/2))))</f>
        <v>3.125372104</v>
      </c>
      <c r="Z189" s="38">
        <f>DEGREES(ACOS((('入力・結果'!$G$3^2)+('入力・結果'!$G$4^2)-('入力・結果'!$G$5^2)+('入力・結果'!$G$6^2)-(2*'入力・結果'!$G$3*'入力・結果'!$G$4*COS(RADIANS(S189))))/(2*'入力・結果'!$G$6*(('入力・結果'!$G$3^2)+('入力・結果'!$G$4^2)-(2*'入力・結果'!$G$3*'入力・結果'!$G$4*(COS(RADIANS(S189)))))^(1/2))))</f>
        <v>2.744859016</v>
      </c>
      <c r="AA189" s="38">
        <f>DEGREES(ACOS(('入力・結果'!$G$4-('入力・結果'!$G$3*COS(RADIANS(S189))))/((('入力・結果'!$G$3^2)+('入力・結果'!$G$4^2)-(2*'入力・結果'!$G$3*'入力・結果'!$G$4*COS(RADIANS(S189))))^(1/2))))</f>
        <v>1.874627896</v>
      </c>
      <c r="AB189" s="38">
        <f>DEGREES(ACOS((('入力・結果'!$G$3^2)+('入力・結果'!$G$4^2)+('入力・結果'!$G$5^2)-('入力・結果'!$G$6^2)-(2*'入力・結果'!$G$3*'入力・結果'!$G$4*COS(RADIANS(S189))))/(2*'入力・結果'!$G$5*(('入力・結果'!$G$3^2)+('入力・結果'!$G$4^2)-(2*'入力・結果'!$G$3*'入力・結果'!$G$4*(COS(RADIANS(S189)))))^(1/2))))</f>
        <v>2.134567566</v>
      </c>
      <c r="AC189" s="37">
        <f t="shared" si="19"/>
        <v>-234.505954</v>
      </c>
      <c r="AD189" s="37">
        <f t="shared" si="20"/>
        <v>0</v>
      </c>
      <c r="AE189" s="37" t="str">
        <f t="shared" si="21"/>
        <v/>
      </c>
      <c r="AF189" s="37" t="str">
        <f t="shared" si="22"/>
        <v/>
      </c>
      <c r="AG189" s="35"/>
      <c r="AH189" s="35"/>
      <c r="AI189" s="35"/>
      <c r="AJ189" s="35">
        <v>186.0</v>
      </c>
      <c r="AK189" s="35">
        <f t="shared" si="1"/>
        <v>0.9505056661</v>
      </c>
    </row>
    <row r="190" ht="12.75" customHeight="1">
      <c r="A190" s="35"/>
      <c r="B190" s="37">
        <v>186.0</v>
      </c>
      <c r="C190" s="38">
        <f t="shared" si="2"/>
        <v>-49.72609477</v>
      </c>
      <c r="D190" s="38">
        <f t="shared" si="3"/>
        <v>5.226423163</v>
      </c>
      <c r="E190" s="38">
        <f>'演算'!U190</f>
        <v>6.312011253</v>
      </c>
      <c r="F190" s="38">
        <f t="shared" si="4"/>
        <v>-6.312011253</v>
      </c>
      <c r="G190" s="38">
        <f t="shared" si="5"/>
        <v>-596.3919559</v>
      </c>
      <c r="H190" s="38">
        <f t="shared" si="6"/>
        <v>65.69489639</v>
      </c>
      <c r="I190" s="39">
        <f t="shared" si="7"/>
        <v>599.9993204</v>
      </c>
      <c r="J190" s="38">
        <f t="shared" si="8"/>
        <v>6.286010413</v>
      </c>
      <c r="K190" s="38" t="str">
        <f t="shared" si="9"/>
        <v/>
      </c>
      <c r="L190" s="38">
        <f t="shared" si="10"/>
        <v>1</v>
      </c>
      <c r="M190" s="38">
        <f t="shared" si="11"/>
        <v>186.2860104</v>
      </c>
      <c r="N190" s="39">
        <f t="shared" si="12"/>
        <v>136.2860104</v>
      </c>
      <c r="O190" s="39">
        <f t="shared" si="13"/>
        <v>-433.6785701</v>
      </c>
      <c r="P190" s="39">
        <f t="shared" si="14"/>
        <v>-414.6348783</v>
      </c>
      <c r="Q190" s="38">
        <f t="shared" si="15"/>
        <v>-596.7131372</v>
      </c>
      <c r="R190" s="38">
        <f t="shared" si="16"/>
        <v>-62.71707796</v>
      </c>
      <c r="S190" s="40">
        <v>186.0</v>
      </c>
      <c r="T190" s="37">
        <f t="shared" si="24"/>
        <v>0.3120112528</v>
      </c>
      <c r="U190" s="37">
        <f t="shared" si="18"/>
        <v>6.312011253</v>
      </c>
      <c r="V190" s="37">
        <f t="shared" si="23"/>
        <v>1.052071582</v>
      </c>
      <c r="W190" s="37">
        <f>'入力・結果'!$I$7/V190</f>
        <v>306538.0773</v>
      </c>
      <c r="X190" s="39">
        <f>(W190/I190*10)*'入力・結果'!$I$8</f>
        <v>3065.384245</v>
      </c>
      <c r="Y190" s="38">
        <f>DEGREES(ACOS(('入力・結果'!$G$3-('入力・結果'!$G$4*COS(RADIANS(S190))))/((('入力・結果'!$G$3^2)+('入力・結果'!$G$4^2)-(2*'入力・結果'!$G$3*'入力・結果'!$G$4*COS(RADIANS(S190))))^(1/2))))</f>
        <v>3.750643192</v>
      </c>
      <c r="Z190" s="38">
        <f>DEGREES(ACOS((('入力・結果'!$G$3^2)+('入力・結果'!$G$4^2)-('入力・結果'!$G$5^2)+('入力・結果'!$G$6^2)-(2*'入力・結果'!$G$3*'入力・結果'!$G$4*COS(RADIANS(S190))))/(2*'入力・結果'!$G$6*(('入力・結果'!$G$3^2)+('入力・結果'!$G$4^2)-(2*'入力・結果'!$G$3*'入力・結果'!$G$4*(COS(RADIANS(S190)))))^(1/2))))</f>
        <v>3.29390484</v>
      </c>
      <c r="AA190" s="38">
        <f>DEGREES(ACOS(('入力・結果'!$G$4-('入力・結果'!$G$3*COS(RADIANS(S190))))/((('入力・結果'!$G$3^2)+('入力・結果'!$G$4^2)-(2*'入力・結果'!$G$3*'入力・結果'!$G$4*COS(RADIANS(S190))))^(1/2))))</f>
        <v>2.249356808</v>
      </c>
      <c r="AB190" s="38">
        <f>DEGREES(ACOS((('入力・結果'!$G$3^2)+('入力・結果'!$G$4^2)+('入力・結果'!$G$5^2)-('入力・結果'!$G$6^2)-(2*'入力・結果'!$G$3*'入力・結果'!$G$4*COS(RADIANS(S190))))/(2*'入力・結果'!$G$5*(('入力・結果'!$G$3^2)+('入力・結果'!$G$4^2)-(2*'入力・結果'!$G$3*'入力・結果'!$G$4*(COS(RADIANS(S190)))))^(1/2))))</f>
        <v>2.561368061</v>
      </c>
      <c r="AC190" s="37">
        <f t="shared" si="19"/>
        <v>-234.6157547</v>
      </c>
      <c r="AD190" s="37">
        <f t="shared" si="20"/>
        <v>0</v>
      </c>
      <c r="AE190" s="37" t="str">
        <f t="shared" si="21"/>
        <v/>
      </c>
      <c r="AF190" s="37" t="str">
        <f t="shared" si="22"/>
        <v/>
      </c>
      <c r="AG190" s="35"/>
      <c r="AH190" s="35"/>
      <c r="AI190" s="35"/>
      <c r="AJ190" s="35">
        <v>187.0</v>
      </c>
      <c r="AK190" s="35">
        <f t="shared" si="1"/>
        <v>0.9504643748</v>
      </c>
    </row>
    <row r="191" ht="12.75" customHeight="1">
      <c r="A191" s="35"/>
      <c r="B191" s="37">
        <v>187.0</v>
      </c>
      <c r="C191" s="38">
        <f t="shared" si="2"/>
        <v>-49.62730758</v>
      </c>
      <c r="D191" s="38">
        <f t="shared" si="3"/>
        <v>6.09346717</v>
      </c>
      <c r="E191" s="38">
        <f>'演算'!U191</f>
        <v>7.36412854</v>
      </c>
      <c r="F191" s="38">
        <f t="shared" si="4"/>
        <v>-7.36412854</v>
      </c>
      <c r="G191" s="38">
        <f t="shared" si="5"/>
        <v>-595.0906896</v>
      </c>
      <c r="H191" s="38">
        <f t="shared" si="6"/>
        <v>76.5895581</v>
      </c>
      <c r="I191" s="39">
        <f t="shared" si="7"/>
        <v>599.9990744</v>
      </c>
      <c r="J191" s="38">
        <f t="shared" si="8"/>
        <v>7.333784651</v>
      </c>
      <c r="K191" s="38" t="str">
        <f t="shared" si="9"/>
        <v/>
      </c>
      <c r="L191" s="38">
        <f t="shared" si="10"/>
        <v>1</v>
      </c>
      <c r="M191" s="38">
        <f t="shared" si="11"/>
        <v>187.3337847</v>
      </c>
      <c r="N191" s="39">
        <f t="shared" si="12"/>
        <v>137.3337847</v>
      </c>
      <c r="O191" s="39">
        <f t="shared" si="13"/>
        <v>-441.1879273</v>
      </c>
      <c r="P191" s="39">
        <f t="shared" si="14"/>
        <v>-406.635097</v>
      </c>
      <c r="Q191" s="38">
        <f t="shared" si="15"/>
        <v>-595.527691</v>
      </c>
      <c r="R191" s="38">
        <f t="shared" si="16"/>
        <v>-73.12160604</v>
      </c>
      <c r="S191" s="40">
        <v>187.0</v>
      </c>
      <c r="T191" s="37">
        <f t="shared" si="24"/>
        <v>0.3641285404</v>
      </c>
      <c r="U191" s="37">
        <f t="shared" si="18"/>
        <v>7.36412854</v>
      </c>
      <c r="V191" s="37">
        <f t="shared" si="23"/>
        <v>1.052117288</v>
      </c>
      <c r="W191" s="37">
        <f>'入力・結果'!$I$7/V191</f>
        <v>306524.7609</v>
      </c>
      <c r="X191" s="39">
        <f>(W191/I191*10)*'入力・結果'!$I$8</f>
        <v>3065.252337</v>
      </c>
      <c r="Y191" s="38">
        <f>DEGREES(ACOS(('入力・結果'!$G$3-('入力・結果'!$G$4*COS(RADIANS(S191))))/((('入力・結果'!$G$3^2)+('入力・結果'!$G$4^2)-(2*'入力・結果'!$G$3*'入力・結果'!$G$4*COS(RADIANS(S191))))^(1/2))))</f>
        <v>4.376021731</v>
      </c>
      <c r="Z191" s="38">
        <f>DEGREES(ACOS((('入力・結果'!$G$3^2)+('入力・結果'!$G$4^2)-('入力・結果'!$G$5^2)+('入力・結果'!$G$6^2)-(2*'入力・結果'!$G$3*'入力・結果'!$G$4*COS(RADIANS(S191))))/(2*'入力・結果'!$G$6*(('入力・結果'!$G$3^2)+('入力・結果'!$G$4^2)-(2*'入力・結果'!$G$3*'入力・結果'!$G$4*(COS(RADIANS(S191)))))^(1/2))))</f>
        <v>3.842991102</v>
      </c>
      <c r="AA191" s="38">
        <f>DEGREES(ACOS(('入力・結果'!$G$4-('入力・結果'!$G$3*COS(RADIANS(S191))))/((('入力・結果'!$G$3^2)+('入力・結果'!$G$4^2)-(2*'入力・結果'!$G$3*'入力・結果'!$G$4*COS(RADIANS(S191))))^(1/2))))</f>
        <v>2.623978269</v>
      </c>
      <c r="AB191" s="38">
        <f>DEGREES(ACOS((('入力・結果'!$G$3^2)+('入力・結果'!$G$4^2)+('入力・結果'!$G$5^2)-('入力・結果'!$G$6^2)-(2*'入力・結果'!$G$3*'入力・結果'!$G$4*COS(RADIANS(S191))))/(2*'入力・結果'!$G$5*(('入力・結果'!$G$3^2)+('入力・結果'!$G$4^2)-(2*'入力・結果'!$G$3*'入力・結果'!$G$4*(COS(RADIANS(S191)))))^(1/2))))</f>
        <v>2.988106809</v>
      </c>
      <c r="AC191" s="37">
        <f t="shared" si="19"/>
        <v>-234.7476627</v>
      </c>
      <c r="AD191" s="37">
        <f t="shared" si="20"/>
        <v>0</v>
      </c>
      <c r="AE191" s="37" t="str">
        <f t="shared" si="21"/>
        <v/>
      </c>
      <c r="AF191" s="37" t="str">
        <f t="shared" si="22"/>
        <v/>
      </c>
      <c r="AG191" s="35"/>
      <c r="AH191" s="35"/>
      <c r="AI191" s="35"/>
      <c r="AJ191" s="35">
        <v>188.0</v>
      </c>
      <c r="AK191" s="35">
        <f t="shared" si="1"/>
        <v>0.9504161463</v>
      </c>
    </row>
    <row r="192" ht="12.75" customHeight="1">
      <c r="A192" s="35"/>
      <c r="B192" s="37">
        <v>188.0</v>
      </c>
      <c r="C192" s="38">
        <f t="shared" si="2"/>
        <v>-49.51340344</v>
      </c>
      <c r="D192" s="38">
        <f t="shared" si="3"/>
        <v>6.958655048</v>
      </c>
      <c r="E192" s="38">
        <f>'演算'!U192</f>
        <v>8.416299217</v>
      </c>
      <c r="F192" s="38">
        <f t="shared" si="4"/>
        <v>-8.416299217</v>
      </c>
      <c r="G192" s="38">
        <f t="shared" si="5"/>
        <v>-593.5903082</v>
      </c>
      <c r="H192" s="38">
        <f t="shared" si="6"/>
        <v>87.45910029</v>
      </c>
      <c r="I192" s="39">
        <f t="shared" si="7"/>
        <v>599.9987902</v>
      </c>
      <c r="J192" s="38">
        <f t="shared" si="8"/>
        <v>8.381607849</v>
      </c>
      <c r="K192" s="38" t="str">
        <f t="shared" si="9"/>
        <v/>
      </c>
      <c r="L192" s="38">
        <f t="shared" si="10"/>
        <v>1</v>
      </c>
      <c r="M192" s="38">
        <f t="shared" si="11"/>
        <v>188.3816078</v>
      </c>
      <c r="N192" s="39">
        <f t="shared" si="12"/>
        <v>138.3816078</v>
      </c>
      <c r="O192" s="39">
        <f t="shared" si="13"/>
        <v>-448.5500531</v>
      </c>
      <c r="P192" s="39">
        <f t="shared" si="14"/>
        <v>-398.4989311</v>
      </c>
      <c r="Q192" s="38">
        <f t="shared" si="15"/>
        <v>-594.1608412</v>
      </c>
      <c r="R192" s="38">
        <f t="shared" si="16"/>
        <v>-83.50386058</v>
      </c>
      <c r="S192" s="40">
        <v>188.0</v>
      </c>
      <c r="T192" s="37">
        <f t="shared" si="24"/>
        <v>0.4162992173</v>
      </c>
      <c r="U192" s="37">
        <f t="shared" si="18"/>
        <v>8.416299217</v>
      </c>
      <c r="V192" s="37">
        <f t="shared" si="23"/>
        <v>1.052170677</v>
      </c>
      <c r="W192" s="37">
        <f>'入力・結果'!$I$7/V192</f>
        <v>306509.2072</v>
      </c>
      <c r="X192" s="39">
        <f>(W192/I192*10)*'入力・結果'!$I$8</f>
        <v>3065.098252</v>
      </c>
      <c r="Y192" s="38">
        <f>DEGREES(ACOS(('入力・結果'!$G$3-('入力・結果'!$G$4*COS(RADIANS(S192))))/((('入力・結果'!$G$3^2)+('入力・結果'!$G$4^2)-(2*'入力・結果'!$G$3*'入力・結果'!$G$4*COS(RADIANS(S192))))^(1/2))))</f>
        <v>5.001525783</v>
      </c>
      <c r="Z192" s="38">
        <f>DEGREES(ACOS((('入力・結果'!$G$3^2)+('入力・結果'!$G$4^2)-('入力・結果'!$G$5^2)+('入力・結果'!$G$6^2)-(2*'入力・結果'!$G$3*'入力・結果'!$G$4*COS(RADIANS(S192))))/(2*'入力・結果'!$G$6*(('入力・結果'!$G$3^2)+('入力・結果'!$G$4^2)-(2*'入力・結果'!$G$3*'入力・結果'!$G$4*(COS(RADIANS(S192)))))^(1/2))))</f>
        <v>4.392124596</v>
      </c>
      <c r="AA192" s="38">
        <f>DEGREES(ACOS(('入力・結果'!$G$4-('入力・結果'!$G$3*COS(RADIANS(S192))))/((('入力・結果'!$G$3^2)+('入力・結果'!$G$4^2)-(2*'入力・結果'!$G$3*'入力・結果'!$G$4*COS(RADIANS(S192))))^(1/2))))</f>
        <v>2.998474217</v>
      </c>
      <c r="AB192" s="38">
        <f>DEGREES(ACOS((('入力・結果'!$G$3^2)+('入力・結果'!$G$4^2)+('入力・結果'!$G$5^2)-('入力・結果'!$G$6^2)-(2*'入力・結果'!$G$3*'入力・結果'!$G$4*COS(RADIANS(S192))))/(2*'入力・結果'!$G$5*(('入力・結果'!$G$3^2)+('入力・結果'!$G$4^2)-(2*'入力・結果'!$G$3*'入力・結果'!$G$4*(COS(RADIANS(S192)))))^(1/2))))</f>
        <v>3.414773435</v>
      </c>
      <c r="AC192" s="37">
        <f t="shared" si="19"/>
        <v>-234.9017477</v>
      </c>
      <c r="AD192" s="37">
        <f t="shared" si="20"/>
        <v>0</v>
      </c>
      <c r="AE192" s="37" t="str">
        <f t="shared" si="21"/>
        <v/>
      </c>
      <c r="AF192" s="37" t="str">
        <f t="shared" si="22"/>
        <v/>
      </c>
      <c r="AG192" s="35"/>
      <c r="AH192" s="35"/>
      <c r="AI192" s="35"/>
      <c r="AJ192" s="35">
        <v>189.0</v>
      </c>
      <c r="AK192" s="35">
        <f t="shared" si="1"/>
        <v>0.9503609551</v>
      </c>
    </row>
    <row r="193" ht="12.75" customHeight="1">
      <c r="A193" s="35"/>
      <c r="B193" s="37">
        <v>189.0</v>
      </c>
      <c r="C193" s="38">
        <f t="shared" si="2"/>
        <v>-49.38441703</v>
      </c>
      <c r="D193" s="38">
        <f t="shared" si="3"/>
        <v>7.821723252</v>
      </c>
      <c r="E193" s="38">
        <f>'演算'!U193</f>
        <v>9.468530998</v>
      </c>
      <c r="F193" s="38">
        <f t="shared" si="4"/>
        <v>-9.468530998</v>
      </c>
      <c r="G193" s="38">
        <f t="shared" si="5"/>
        <v>-591.8912738</v>
      </c>
      <c r="H193" s="38">
        <f t="shared" si="6"/>
        <v>98.29995492</v>
      </c>
      <c r="I193" s="39">
        <f t="shared" si="7"/>
        <v>599.9984676</v>
      </c>
      <c r="J193" s="38">
        <f t="shared" si="8"/>
        <v>9.42948708</v>
      </c>
      <c r="K193" s="38" t="str">
        <f t="shared" si="9"/>
        <v/>
      </c>
      <c r="L193" s="38">
        <f t="shared" si="10"/>
        <v>1</v>
      </c>
      <c r="M193" s="38">
        <f t="shared" si="11"/>
        <v>189.4294871</v>
      </c>
      <c r="N193" s="39">
        <f t="shared" si="12"/>
        <v>139.4294871</v>
      </c>
      <c r="O193" s="39">
        <f t="shared" si="13"/>
        <v>-455.7625113</v>
      </c>
      <c r="P193" s="39">
        <f t="shared" si="14"/>
        <v>-390.2290281</v>
      </c>
      <c r="Q193" s="38">
        <f t="shared" si="15"/>
        <v>-592.6130044</v>
      </c>
      <c r="R193" s="38">
        <f t="shared" si="16"/>
        <v>-93.86067902</v>
      </c>
      <c r="S193" s="40">
        <v>189.0</v>
      </c>
      <c r="T193" s="37">
        <f t="shared" si="24"/>
        <v>0.4685309979</v>
      </c>
      <c r="U193" s="37">
        <f t="shared" si="18"/>
        <v>9.468530998</v>
      </c>
      <c r="V193" s="37">
        <f t="shared" si="23"/>
        <v>1.052231781</v>
      </c>
      <c r="W193" s="37">
        <f>'入力・結果'!$I$7/V193</f>
        <v>306491.408</v>
      </c>
      <c r="X193" s="39">
        <f>(W193/I193*10)*'入力・結果'!$I$8</f>
        <v>3064.921908</v>
      </c>
      <c r="Y193" s="38">
        <f>DEGREES(ACOS(('入力・結果'!$G$3-('入力・結果'!$G$4*COS(RADIANS(S193))))/((('入力・結果'!$G$3^2)+('入力・結果'!$G$4^2)-(2*'入力・結果'!$G$3*'入力・結果'!$G$4*COS(RADIANS(S193))))^(1/2))))</f>
        <v>5.627173474</v>
      </c>
      <c r="Z193" s="38">
        <f>DEGREES(ACOS((('入力・結果'!$G$3^2)+('入力・結果'!$G$4^2)-('入力・結果'!$G$5^2)+('入力・結果'!$G$6^2)-(2*'入力・結果'!$G$3*'入力・結果'!$G$4*COS(RADIANS(S193))))/(2*'入力・結果'!$G$6*(('入力・結果'!$G$3^2)+('入力・結果'!$G$4^2)-(2*'入力・結果'!$G$3*'入力・結果'!$G$4*(COS(RADIANS(S193)))))^(1/2))))</f>
        <v>4.941312137</v>
      </c>
      <c r="AA193" s="38">
        <f>DEGREES(ACOS(('入力・結果'!$G$4-('入力・結果'!$G$3*COS(RADIANS(S193))))/((('入力・結果'!$G$3^2)+('入力・結果'!$G$4^2)-(2*'入力・結果'!$G$3*'入力・結果'!$G$4*COS(RADIANS(S193))))^(1/2))))</f>
        <v>3.372826526</v>
      </c>
      <c r="AB193" s="38">
        <f>DEGREES(ACOS((('入力・結果'!$G$3^2)+('入力・結果'!$G$4^2)+('入力・結果'!$G$5^2)-('入力・結果'!$G$6^2)-(2*'入力・結果'!$G$3*'入力・結果'!$G$4*COS(RADIANS(S193))))/(2*'入力・結果'!$G$5*(('入力・結果'!$G$3^2)+('入力・結果'!$G$4^2)-(2*'入力・結果'!$G$3*'入力・結果'!$G$4*(COS(RADIANS(S193)))))^(1/2))))</f>
        <v>3.841357524</v>
      </c>
      <c r="AC193" s="37">
        <f t="shared" si="19"/>
        <v>-235.0780918</v>
      </c>
      <c r="AD193" s="37">
        <f t="shared" si="20"/>
        <v>0</v>
      </c>
      <c r="AE193" s="37" t="str">
        <f t="shared" si="21"/>
        <v/>
      </c>
      <c r="AF193" s="37" t="str">
        <f t="shared" si="22"/>
        <v/>
      </c>
      <c r="AG193" s="35"/>
      <c r="AH193" s="35"/>
      <c r="AI193" s="35"/>
      <c r="AJ193" s="35">
        <v>190.0</v>
      </c>
      <c r="AK193" s="35">
        <f t="shared" si="1"/>
        <v>0.9502987717</v>
      </c>
    </row>
    <row r="194" ht="12.75" customHeight="1">
      <c r="A194" s="35"/>
      <c r="B194" s="37">
        <v>190.0</v>
      </c>
      <c r="C194" s="38">
        <f t="shared" si="2"/>
        <v>-49.24038765</v>
      </c>
      <c r="D194" s="38">
        <f t="shared" si="3"/>
        <v>8.682408883</v>
      </c>
      <c r="E194" s="38">
        <f>'演算'!U194</f>
        <v>10.52083163</v>
      </c>
      <c r="F194" s="38">
        <f t="shared" si="4"/>
        <v>-10.52083163</v>
      </c>
      <c r="G194" s="38">
        <f t="shared" si="5"/>
        <v>-589.9941096</v>
      </c>
      <c r="H194" s="38">
        <f t="shared" si="6"/>
        <v>109.1085621</v>
      </c>
      <c r="I194" s="39">
        <f t="shared" si="7"/>
        <v>599.9981064</v>
      </c>
      <c r="J194" s="38">
        <f t="shared" si="8"/>
        <v>10.47742945</v>
      </c>
      <c r="K194" s="38" t="str">
        <f t="shared" si="9"/>
        <v/>
      </c>
      <c r="L194" s="38">
        <f t="shared" si="10"/>
        <v>1</v>
      </c>
      <c r="M194" s="38">
        <f t="shared" si="11"/>
        <v>190.4774295</v>
      </c>
      <c r="N194" s="39">
        <f t="shared" si="12"/>
        <v>140.4774295</v>
      </c>
      <c r="O194" s="39">
        <f t="shared" si="13"/>
        <v>-462.8229111</v>
      </c>
      <c r="P194" s="39">
        <f t="shared" si="14"/>
        <v>-381.8280773</v>
      </c>
      <c r="Q194" s="38">
        <f t="shared" si="15"/>
        <v>-590.8846518</v>
      </c>
      <c r="R194" s="38">
        <f t="shared" si="16"/>
        <v>-104.1889066</v>
      </c>
      <c r="S194" s="40">
        <v>190.0</v>
      </c>
      <c r="T194" s="37">
        <f t="shared" si="24"/>
        <v>0.5208316319</v>
      </c>
      <c r="U194" s="37">
        <f t="shared" si="18"/>
        <v>10.52083163</v>
      </c>
      <c r="V194" s="37">
        <f t="shared" si="23"/>
        <v>1.052300634</v>
      </c>
      <c r="W194" s="37">
        <f>'入力・結果'!$I$7/V194</f>
        <v>306471.3539</v>
      </c>
      <c r="X194" s="39">
        <f>(W194/I194*10)*'入力・結果'!$I$8</f>
        <v>3064.723211</v>
      </c>
      <c r="Y194" s="38">
        <f>DEGREES(ACOS(('入力・結果'!$G$3-('入力・結果'!$G$4*COS(RADIANS(S194))))/((('入力・結果'!$G$3^2)+('入力・結果'!$G$4^2)-(2*'入力・結果'!$G$3*'入力・結果'!$G$4*COS(RADIANS(S194))))^(1/2))))</f>
        <v>6.252983014</v>
      </c>
      <c r="Z194" s="38">
        <f>DEGREES(ACOS((('入力・結果'!$G$3^2)+('入力・結果'!$G$4^2)-('入力・結果'!$G$5^2)+('入力・結果'!$G$6^2)-(2*'入力・結果'!$G$3*'入力・結果'!$G$4*COS(RADIANS(S194))))/(2*'入力・結果'!$G$6*(('入力・結果'!$G$3^2)+('入力・結果'!$G$4^2)-(2*'入力・結果'!$G$3*'入力・結果'!$G$4*(COS(RADIANS(S194)))))^(1/2))))</f>
        <v>5.490560572</v>
      </c>
      <c r="AA194" s="38">
        <f>DEGREES(ACOS(('入力・結果'!$G$4-('入力・結果'!$G$3*COS(RADIANS(S194))))/((('入力・結果'!$G$3^2)+('入力・結果'!$G$4^2)-(2*'入力・結果'!$G$3*'入力・結果'!$G$4*COS(RADIANS(S194))))^(1/2))))</f>
        <v>3.747016986</v>
      </c>
      <c r="AB194" s="38">
        <f>DEGREES(ACOS((('入力・結果'!$G$3^2)+('入力・結果'!$G$4^2)+('入力・結果'!$G$5^2)-('入力・結果'!$G$6^2)-(2*'入力・結果'!$G$3*'入力・結果'!$G$4*COS(RADIANS(S194))))/(2*'入力・結果'!$G$5*(('入力・結果'!$G$3^2)+('入力・結果'!$G$4^2)-(2*'入力・結果'!$G$3*'入力・結果'!$G$4*(COS(RADIANS(S194)))))^(1/2))))</f>
        <v>4.267848618</v>
      </c>
      <c r="AC194" s="37">
        <f t="shared" si="19"/>
        <v>-235.2767887</v>
      </c>
      <c r="AD194" s="37">
        <f t="shared" si="20"/>
        <v>0</v>
      </c>
      <c r="AE194" s="37" t="str">
        <f t="shared" si="21"/>
        <v/>
      </c>
      <c r="AF194" s="37" t="str">
        <f t="shared" si="22"/>
        <v/>
      </c>
      <c r="AG194" s="35"/>
      <c r="AH194" s="35"/>
      <c r="AI194" s="35"/>
      <c r="AJ194" s="35">
        <v>191.0</v>
      </c>
      <c r="AK194" s="35">
        <f t="shared" si="1"/>
        <v>0.9502295631</v>
      </c>
    </row>
    <row r="195" ht="12.75" customHeight="1">
      <c r="A195" s="35"/>
      <c r="B195" s="37">
        <v>191.0</v>
      </c>
      <c r="C195" s="38">
        <f t="shared" si="2"/>
        <v>-49.08135917</v>
      </c>
      <c r="D195" s="38">
        <f t="shared" si="3"/>
        <v>9.540449769</v>
      </c>
      <c r="E195" s="38">
        <f>'演算'!U195</f>
        <v>11.57320891</v>
      </c>
      <c r="F195" s="38">
        <f t="shared" si="4"/>
        <v>-11.57320891</v>
      </c>
      <c r="G195" s="38">
        <f t="shared" si="5"/>
        <v>-587.8994</v>
      </c>
      <c r="H195" s="38">
        <f t="shared" si="6"/>
        <v>119.8813711</v>
      </c>
      <c r="I195" s="39">
        <f t="shared" si="7"/>
        <v>599.9977063</v>
      </c>
      <c r="J195" s="38">
        <f t="shared" si="8"/>
        <v>11.52544211</v>
      </c>
      <c r="K195" s="38" t="str">
        <f t="shared" si="9"/>
        <v/>
      </c>
      <c r="L195" s="38">
        <f t="shared" si="10"/>
        <v>1</v>
      </c>
      <c r="M195" s="38">
        <f t="shared" si="11"/>
        <v>191.5254421</v>
      </c>
      <c r="N195" s="39">
        <f t="shared" si="12"/>
        <v>141.5254421</v>
      </c>
      <c r="O195" s="39">
        <f t="shared" si="13"/>
        <v>-469.7289082</v>
      </c>
      <c r="P195" s="39">
        <f t="shared" si="14"/>
        <v>-373.2988085</v>
      </c>
      <c r="Q195" s="38">
        <f t="shared" si="15"/>
        <v>-588.9763101</v>
      </c>
      <c r="R195" s="38">
        <f t="shared" si="16"/>
        <v>-114.4853972</v>
      </c>
      <c r="S195" s="40">
        <v>191.0</v>
      </c>
      <c r="T195" s="37">
        <f t="shared" si="24"/>
        <v>0.5732089087</v>
      </c>
      <c r="U195" s="37">
        <f t="shared" si="18"/>
        <v>11.57320891</v>
      </c>
      <c r="V195" s="37">
        <f t="shared" si="23"/>
        <v>1.052377277</v>
      </c>
      <c r="W195" s="37">
        <f>'入力・結果'!$I$7/V195</f>
        <v>306449.0341</v>
      </c>
      <c r="X195" s="39">
        <f>(W195/I195*10)*'入力・結果'!$I$8</f>
        <v>3064.502056</v>
      </c>
      <c r="Y195" s="38">
        <f>DEGREES(ACOS(('入力・結果'!$G$3-('入力・結果'!$G$4*COS(RADIANS(S195))))/((('入力・結果'!$G$3^2)+('入力・結果'!$G$4^2)-(2*'入力・結果'!$G$3*'入力・結果'!$G$4*COS(RADIANS(S195))))^(1/2))))</f>
        <v>6.8789727</v>
      </c>
      <c r="Z195" s="38">
        <f>DEGREES(ACOS((('入力・結果'!$G$3^2)+('入力・結果'!$G$4^2)-('入力・結果'!$G$5^2)+('入力・結果'!$G$6^2)-(2*'入力・結果'!$G$3*'入力・結果'!$G$4*COS(RADIANS(S195))))/(2*'入力・結果'!$G$6*(('入力・結果'!$G$3^2)+('入力・結果'!$G$4^2)-(2*'入力・結果'!$G$3*'入力・結果'!$G$4*(COS(RADIANS(S195)))))^(1/2))))</f>
        <v>6.039876777</v>
      </c>
      <c r="AA195" s="38">
        <f>DEGREES(ACOS(('入力・結果'!$G$4-('入力・結果'!$G$3*COS(RADIANS(S195))))/((('入力・結果'!$G$3^2)+('入力・結果'!$G$4^2)-(2*'入力・結果'!$G$3*'入力・結果'!$G$4*COS(RADIANS(S195))))^(1/2))))</f>
        <v>4.1210273</v>
      </c>
      <c r="AB195" s="38">
        <f>DEGREES(ACOS((('入力・結果'!$G$3^2)+('入力・結果'!$G$4^2)+('入力・結果'!$G$5^2)-('入力・結果'!$G$6^2)-(2*'入力・結果'!$G$3*'入力・結果'!$G$4*COS(RADIANS(S195))))/(2*'入力・結果'!$G$5*(('入力・結果'!$G$3^2)+('入力・結果'!$G$4^2)-(2*'入力・結果'!$G$3*'入力・結果'!$G$4*(COS(RADIANS(S195)))))^(1/2))))</f>
        <v>4.694236208</v>
      </c>
      <c r="AC195" s="37">
        <f t="shared" si="19"/>
        <v>-235.4979441</v>
      </c>
      <c r="AD195" s="37">
        <f t="shared" si="20"/>
        <v>0</v>
      </c>
      <c r="AE195" s="37" t="str">
        <f t="shared" si="21"/>
        <v/>
      </c>
      <c r="AF195" s="37" t="str">
        <f t="shared" si="22"/>
        <v/>
      </c>
      <c r="AG195" s="35"/>
      <c r="AH195" s="35"/>
      <c r="AI195" s="35"/>
      <c r="AJ195" s="35">
        <v>192.0</v>
      </c>
      <c r="AK195" s="35">
        <f t="shared" si="1"/>
        <v>0.9501532923</v>
      </c>
    </row>
    <row r="196" ht="12.75" customHeight="1">
      <c r="A196" s="35"/>
      <c r="B196" s="37">
        <v>192.0</v>
      </c>
      <c r="C196" s="38">
        <f t="shared" si="2"/>
        <v>-48.90738004</v>
      </c>
      <c r="D196" s="38">
        <f t="shared" si="3"/>
        <v>10.39558454</v>
      </c>
      <c r="E196" s="38">
        <f>'演算'!U196</f>
        <v>12.62567066</v>
      </c>
      <c r="F196" s="38">
        <f t="shared" si="4"/>
        <v>-12.62567066</v>
      </c>
      <c r="G196" s="38">
        <f t="shared" si="5"/>
        <v>-585.6077902</v>
      </c>
      <c r="H196" s="38">
        <f t="shared" si="6"/>
        <v>130.6148413</v>
      </c>
      <c r="I196" s="39">
        <f t="shared" si="7"/>
        <v>599.9972673</v>
      </c>
      <c r="J196" s="38">
        <f t="shared" si="8"/>
        <v>12.57353223</v>
      </c>
      <c r="K196" s="38" t="str">
        <f t="shared" si="9"/>
        <v/>
      </c>
      <c r="L196" s="38">
        <f t="shared" si="10"/>
        <v>1</v>
      </c>
      <c r="M196" s="38">
        <f t="shared" si="11"/>
        <v>192.5735322</v>
      </c>
      <c r="N196" s="39">
        <f t="shared" si="12"/>
        <v>142.5735322</v>
      </c>
      <c r="O196" s="39">
        <f t="shared" si="13"/>
        <v>-476.4782051</v>
      </c>
      <c r="P196" s="39">
        <f t="shared" si="14"/>
        <v>-364.6439919</v>
      </c>
      <c r="Q196" s="38">
        <f t="shared" si="15"/>
        <v>-586.8885604</v>
      </c>
      <c r="R196" s="38">
        <f t="shared" si="16"/>
        <v>-124.7470145</v>
      </c>
      <c r="S196" s="40">
        <v>192.0</v>
      </c>
      <c r="T196" s="37">
        <f t="shared" si="24"/>
        <v>0.6256706621</v>
      </c>
      <c r="U196" s="37">
        <f t="shared" si="18"/>
        <v>12.62567066</v>
      </c>
      <c r="V196" s="37">
        <f t="shared" si="23"/>
        <v>1.052461753</v>
      </c>
      <c r="W196" s="37">
        <f>'入力・結果'!$I$7/V196</f>
        <v>306424.4368</v>
      </c>
      <c r="X196" s="39">
        <f>(W196/I196*10)*'入力・結果'!$I$8</f>
        <v>3064.258324</v>
      </c>
      <c r="Y196" s="38">
        <f>DEGREES(ACOS(('入力・結果'!$G$3-('入力・結果'!$G$4*COS(RADIANS(S196))))/((('入力・結果'!$G$3^2)+('入力・結果'!$G$4^2)-(2*'入力・結果'!$G$3*'入力・結果'!$G$4*COS(RADIANS(S196))))^(1/2))))</f>
        <v>7.505160933</v>
      </c>
      <c r="Z196" s="38">
        <f>DEGREES(ACOS((('入力・結果'!$G$3^2)+('入力・結果'!$G$4^2)-('入力・結果'!$G$5^2)+('入力・結果'!$G$6^2)-(2*'入力・結果'!$G$3*'入力・結果'!$G$4*COS(RADIANS(S196))))/(2*'入力・結果'!$G$6*(('入力・結果'!$G$3^2)+('入力・結果'!$G$4^2)-(2*'入力・結果'!$G$3*'入力・結果'!$G$4*(COS(RADIANS(S196)))))^(1/2))))</f>
        <v>6.589267665</v>
      </c>
      <c r="AA196" s="38">
        <f>DEGREES(ACOS(('入力・結果'!$G$4-('入力・結果'!$G$3*COS(RADIANS(S196))))/((('入力・結果'!$G$3^2)+('入力・結果'!$G$4^2)-(2*'入力・結果'!$G$3*'入力・結果'!$G$4*COS(RADIANS(S196))))^(1/2))))</f>
        <v>4.494839067</v>
      </c>
      <c r="AB196" s="38">
        <f>DEGREES(ACOS((('入力・結果'!$G$3^2)+('入力・結果'!$G$4^2)+('入力・結果'!$G$5^2)-('入力・結果'!$G$6^2)-(2*'入力・結果'!$G$3*'入力・結果'!$G$4*COS(RADIANS(S196))))/(2*'入力・結果'!$G$5*(('入力・結果'!$G$3^2)+('入力・結果'!$G$4^2)-(2*'入力・結果'!$G$3*'入力・結果'!$G$4*(COS(RADIANS(S196)))))^(1/2))))</f>
        <v>5.120509729</v>
      </c>
      <c r="AC196" s="37">
        <f t="shared" si="19"/>
        <v>-235.741676</v>
      </c>
      <c r="AD196" s="37">
        <f t="shared" si="20"/>
        <v>0</v>
      </c>
      <c r="AE196" s="37" t="str">
        <f t="shared" si="21"/>
        <v/>
      </c>
      <c r="AF196" s="37" t="str">
        <f t="shared" si="22"/>
        <v/>
      </c>
      <c r="AG196" s="35"/>
      <c r="AH196" s="35"/>
      <c r="AI196" s="35"/>
      <c r="AJ196" s="35">
        <v>193.0</v>
      </c>
      <c r="AK196" s="35">
        <f t="shared" si="1"/>
        <v>0.9500699186</v>
      </c>
    </row>
    <row r="197" ht="12.75" customHeight="1">
      <c r="A197" s="35"/>
      <c r="B197" s="37">
        <v>193.0</v>
      </c>
      <c r="C197" s="38">
        <f t="shared" si="2"/>
        <v>-48.71850324</v>
      </c>
      <c r="D197" s="38">
        <f t="shared" si="3"/>
        <v>11.24755272</v>
      </c>
      <c r="E197" s="38">
        <f>'演算'!U197</f>
        <v>13.67822477</v>
      </c>
      <c r="F197" s="38">
        <f t="shared" si="4"/>
        <v>-13.67822477</v>
      </c>
      <c r="G197" s="38">
        <f t="shared" si="5"/>
        <v>-583.1199863</v>
      </c>
      <c r="H197" s="38">
        <f t="shared" si="6"/>
        <v>141.3054435</v>
      </c>
      <c r="I197" s="39">
        <f t="shared" si="7"/>
        <v>599.9967889</v>
      </c>
      <c r="J197" s="38">
        <f t="shared" si="8"/>
        <v>13.62170705</v>
      </c>
      <c r="K197" s="38" t="str">
        <f t="shared" si="9"/>
        <v/>
      </c>
      <c r="L197" s="38">
        <f t="shared" si="10"/>
        <v>1</v>
      </c>
      <c r="M197" s="38">
        <f t="shared" si="11"/>
        <v>193.6217071</v>
      </c>
      <c r="N197" s="39">
        <f t="shared" si="12"/>
        <v>143.6217071</v>
      </c>
      <c r="O197" s="39">
        <f t="shared" si="13"/>
        <v>-483.0685519</v>
      </c>
      <c r="P197" s="39">
        <f t="shared" si="14"/>
        <v>-355.8664369</v>
      </c>
      <c r="Q197" s="38">
        <f t="shared" si="15"/>
        <v>-584.6220389</v>
      </c>
      <c r="R197" s="38">
        <f t="shared" si="16"/>
        <v>-134.9706326</v>
      </c>
      <c r="S197" s="40">
        <v>193.0</v>
      </c>
      <c r="T197" s="37">
        <f t="shared" si="24"/>
        <v>0.6782247746</v>
      </c>
      <c r="U197" s="37">
        <f t="shared" si="18"/>
        <v>13.67822477</v>
      </c>
      <c r="V197" s="37">
        <f t="shared" si="23"/>
        <v>1.052554113</v>
      </c>
      <c r="W197" s="37">
        <f>'入力・結果'!$I$7/V197</f>
        <v>306397.5487</v>
      </c>
      <c r="X197" s="39">
        <f>(W197/I197*10)*'入力・結果'!$I$8</f>
        <v>3063.991885</v>
      </c>
      <c r="Y197" s="38">
        <f>DEGREES(ACOS(('入力・結果'!$G$3-('入力・結果'!$G$4*COS(RADIANS(S197))))/((('入力・結果'!$G$3^2)+('入力・結果'!$G$4^2)-(2*'入力・結果'!$G$3*'入力・結果'!$G$4*COS(RADIANS(S197))))^(1/2))))</f>
        <v>8.131566221</v>
      </c>
      <c r="Z197" s="38">
        <f>DEGREES(ACOS((('入力・結果'!$G$3^2)+('入力・結果'!$G$4^2)-('入力・結果'!$G$5^2)+('入力・結果'!$G$6^2)-(2*'入力・結果'!$G$3*'入力・結果'!$G$4*COS(RADIANS(S197))))/(2*'入力・結果'!$G$6*(('入力・結果'!$G$3^2)+('入力・結果'!$G$4^2)-(2*'入力・結果'!$G$3*'入力・結果'!$G$4*(COS(RADIANS(S197)))))^(1/2))))</f>
        <v>7.138740186</v>
      </c>
      <c r="AA197" s="38">
        <f>DEGREES(ACOS(('入力・結果'!$G$4-('入力・結果'!$G$3*COS(RADIANS(S197))))/((('入力・結果'!$G$3^2)+('入力・結果'!$G$4^2)-(2*'入力・結果'!$G$3*'入力・結果'!$G$4*COS(RADIANS(S197))))^(1/2))))</f>
        <v>4.868433779</v>
      </c>
      <c r="AB197" s="38">
        <f>DEGREES(ACOS((('入力・結果'!$G$3^2)+('入力・結果'!$G$4^2)+('入力・結果'!$G$5^2)-('入力・結果'!$G$6^2)-(2*'入力・結果'!$G$3*'入力・結果'!$G$4*COS(RADIANS(S197))))/(2*'入力・結果'!$G$5*(('入力・結果'!$G$3^2)+('入力・結果'!$G$4^2)-(2*'入力・結果'!$G$3*'入力・結果'!$G$4*(COS(RADIANS(S197)))))^(1/2))))</f>
        <v>5.546658554</v>
      </c>
      <c r="AC197" s="37">
        <f t="shared" si="19"/>
        <v>-236.0081147</v>
      </c>
      <c r="AD197" s="37">
        <f t="shared" si="20"/>
        <v>0</v>
      </c>
      <c r="AE197" s="37" t="str">
        <f t="shared" si="21"/>
        <v/>
      </c>
      <c r="AF197" s="37" t="str">
        <f t="shared" si="22"/>
        <v/>
      </c>
      <c r="AG197" s="35"/>
      <c r="AH197" s="35"/>
      <c r="AI197" s="35"/>
      <c r="AJ197" s="35">
        <v>194.0</v>
      </c>
      <c r="AK197" s="35">
        <f t="shared" si="1"/>
        <v>0.9499793973</v>
      </c>
    </row>
    <row r="198" ht="12.75" customHeight="1">
      <c r="A198" s="35"/>
      <c r="B198" s="37">
        <v>194.0</v>
      </c>
      <c r="C198" s="38">
        <f t="shared" si="2"/>
        <v>-48.51478631</v>
      </c>
      <c r="D198" s="38">
        <f t="shared" si="3"/>
        <v>12.09609478</v>
      </c>
      <c r="E198" s="38">
        <f>'演算'!U198</f>
        <v>14.73087918</v>
      </c>
      <c r="F198" s="38">
        <f t="shared" si="4"/>
        <v>-14.73087918</v>
      </c>
      <c r="G198" s="38">
        <f t="shared" si="5"/>
        <v>-580.4367544</v>
      </c>
      <c r="H198" s="38">
        <f t="shared" si="6"/>
        <v>151.9496604</v>
      </c>
      <c r="I198" s="39">
        <f t="shared" si="7"/>
        <v>599.996271</v>
      </c>
      <c r="J198" s="38">
        <f t="shared" si="8"/>
        <v>14.66997385</v>
      </c>
      <c r="K198" s="38" t="str">
        <f t="shared" si="9"/>
        <v/>
      </c>
      <c r="L198" s="38">
        <f t="shared" si="10"/>
        <v>1</v>
      </c>
      <c r="M198" s="38">
        <f t="shared" si="11"/>
        <v>194.6699738</v>
      </c>
      <c r="N198" s="39">
        <f t="shared" si="12"/>
        <v>144.6699738</v>
      </c>
      <c r="O198" s="39">
        <f t="shared" si="13"/>
        <v>-489.497747</v>
      </c>
      <c r="P198" s="39">
        <f t="shared" si="14"/>
        <v>-346.9689913</v>
      </c>
      <c r="Q198" s="38">
        <f t="shared" si="15"/>
        <v>-582.1774358</v>
      </c>
      <c r="R198" s="38">
        <f t="shared" si="16"/>
        <v>-145.1531374</v>
      </c>
      <c r="S198" s="40">
        <v>194.0</v>
      </c>
      <c r="T198" s="37">
        <f t="shared" si="24"/>
        <v>0.7308791826</v>
      </c>
      <c r="U198" s="37">
        <f t="shared" si="18"/>
        <v>14.73087918</v>
      </c>
      <c r="V198" s="37">
        <f t="shared" si="23"/>
        <v>1.052654408</v>
      </c>
      <c r="W198" s="37">
        <f>'入力・結果'!$I$7/V198</f>
        <v>306368.3556</v>
      </c>
      <c r="X198" s="39">
        <f>(W198/I198*10)*'入力・結果'!$I$8</f>
        <v>3063.702597</v>
      </c>
      <c r="Y198" s="38">
        <f>DEGREES(ACOS(('入力・結果'!$G$3-('入力・結果'!$G$4*COS(RADIANS(S198))))/((('入力・結果'!$G$3^2)+('入力・結果'!$G$4^2)-(2*'入力・結果'!$G$3*'入力・結果'!$G$4*COS(RADIANS(S198))))^(1/2))))</f>
        <v>8.758207196</v>
      </c>
      <c r="Z198" s="38">
        <f>DEGREES(ACOS((('入力・結果'!$G$3^2)+('入力・結果'!$G$4^2)-('入力・結果'!$G$5^2)+('入力・結果'!$G$6^2)-(2*'入力・結果'!$G$3*'入力・結果'!$G$4*COS(RADIANS(S198))))/(2*'入力・結果'!$G$6*(('入力・結果'!$G$3^2)+('入力・結果'!$G$4^2)-(2*'入力・結果'!$G$3*'入力・結果'!$G$4*(COS(RADIANS(S198)))))^(1/2))))</f>
        <v>7.688301334</v>
      </c>
      <c r="AA198" s="38">
        <f>DEGREES(ACOS(('入力・結果'!$G$4-('入力・結果'!$G$3*COS(RADIANS(S198))))/((('入力・結果'!$G$3^2)+('入力・結果'!$G$4^2)-(2*'入力・結果'!$G$3*'入力・結果'!$G$4*COS(RADIANS(S198))))^(1/2))))</f>
        <v>5.241792804</v>
      </c>
      <c r="AB198" s="38">
        <f>DEGREES(ACOS((('入力・結果'!$G$3^2)+('入力・結果'!$G$4^2)+('入力・結果'!$G$5^2)-('入力・結果'!$G$6^2)-(2*'入力・結果'!$G$3*'入力・結果'!$G$4*COS(RADIANS(S198))))/(2*'入力・結果'!$G$5*(('入力・結果'!$G$3^2)+('入力・結果'!$G$4^2)-(2*'入力・結果'!$G$3*'入力・結果'!$G$4*(COS(RADIANS(S198)))))^(1/2))))</f>
        <v>5.972671987</v>
      </c>
      <c r="AC198" s="37">
        <f t="shared" si="19"/>
        <v>-236.2974029</v>
      </c>
      <c r="AD198" s="37">
        <f t="shared" si="20"/>
        <v>0</v>
      </c>
      <c r="AE198" s="37" t="str">
        <f t="shared" si="21"/>
        <v/>
      </c>
      <c r="AF198" s="37" t="str">
        <f t="shared" si="22"/>
        <v/>
      </c>
      <c r="AG198" s="35"/>
      <c r="AH198" s="35"/>
      <c r="AI198" s="35"/>
      <c r="AJ198" s="35">
        <v>195.0</v>
      </c>
      <c r="AK198" s="35">
        <f t="shared" si="1"/>
        <v>0.9498816797</v>
      </c>
    </row>
    <row r="199" ht="12.75" customHeight="1">
      <c r="A199" s="35"/>
      <c r="B199" s="37">
        <v>195.0</v>
      </c>
      <c r="C199" s="38">
        <f t="shared" si="2"/>
        <v>-48.29629131</v>
      </c>
      <c r="D199" s="38">
        <f t="shared" si="3"/>
        <v>12.94095226</v>
      </c>
      <c r="E199" s="38">
        <f>'演算'!U199</f>
        <v>15.78364188</v>
      </c>
      <c r="F199" s="38">
        <f t="shared" si="4"/>
        <v>-15.78364188</v>
      </c>
      <c r="G199" s="38">
        <f t="shared" si="5"/>
        <v>-577.5589214</v>
      </c>
      <c r="H199" s="38">
        <f t="shared" si="6"/>
        <v>162.5439881</v>
      </c>
      <c r="I199" s="39">
        <f t="shared" si="7"/>
        <v>599.9957132</v>
      </c>
      <c r="J199" s="38">
        <f t="shared" si="8"/>
        <v>15.71833995</v>
      </c>
      <c r="K199" s="38" t="str">
        <f t="shared" si="9"/>
        <v/>
      </c>
      <c r="L199" s="38">
        <f t="shared" si="10"/>
        <v>1</v>
      </c>
      <c r="M199" s="38">
        <f t="shared" si="11"/>
        <v>195.7183399</v>
      </c>
      <c r="N199" s="39">
        <f t="shared" si="12"/>
        <v>145.7183399</v>
      </c>
      <c r="O199" s="39">
        <f t="shared" si="13"/>
        <v>-495.7636374</v>
      </c>
      <c r="P199" s="39">
        <f t="shared" si="14"/>
        <v>-337.9545407</v>
      </c>
      <c r="Q199" s="38">
        <f t="shared" si="15"/>
        <v>-579.5554958</v>
      </c>
      <c r="R199" s="38">
        <f t="shared" si="16"/>
        <v>-155.2914271</v>
      </c>
      <c r="S199" s="40">
        <v>195.0</v>
      </c>
      <c r="T199" s="37">
        <f t="shared" si="24"/>
        <v>0.7836418807</v>
      </c>
      <c r="U199" s="37">
        <f t="shared" si="18"/>
        <v>15.78364188</v>
      </c>
      <c r="V199" s="37">
        <f t="shared" si="23"/>
        <v>1.052762698</v>
      </c>
      <c r="W199" s="37">
        <f>'入力・結果'!$I$7/V199</f>
        <v>306336.8417</v>
      </c>
      <c r="X199" s="39">
        <f>(W199/I199*10)*'入力・結果'!$I$8</f>
        <v>3063.390304</v>
      </c>
      <c r="Y199" s="38">
        <f>DEGREES(ACOS(('入力・結果'!$G$3-('入力・結果'!$G$4*COS(RADIANS(S199))))/((('入力・結果'!$G$3^2)+('入力・結果'!$G$4^2)-(2*'入力・結果'!$G$3*'入力・結果'!$G$4*COS(RADIANS(S199))))^(1/2))))</f>
        <v>9.385102621</v>
      </c>
      <c r="Z199" s="38">
        <f>DEGREES(ACOS((('入力・結果'!$G$3^2)+('入力・結果'!$G$4^2)-('入力・結果'!$G$5^2)+('入力・結果'!$G$6^2)-(2*'入力・結果'!$G$3*'入力・結果'!$G$4*COS(RADIANS(S199))))/(2*'入力・結果'!$G$6*(('入力・結果'!$G$3^2)+('入力・結果'!$G$4^2)-(2*'入力・結果'!$G$3*'入力・結果'!$G$4*(COS(RADIANS(S199)))))^(1/2))))</f>
        <v>8.237958149</v>
      </c>
      <c r="AA199" s="38">
        <f>DEGREES(ACOS(('入力・結果'!$G$4-('入力・結果'!$G$3*COS(RADIANS(S199))))/((('入力・結果'!$G$3^2)+('入力・結果'!$G$4^2)-(2*'入力・結果'!$G$3*'入力・結果'!$G$4*COS(RADIANS(S199))))^(1/2))))</f>
        <v>5.614897379</v>
      </c>
      <c r="AB199" s="38">
        <f>DEGREES(ACOS((('入力・結果'!$G$3^2)+('入力・結果'!$G$4^2)+('入力・結果'!$G$5^2)-('入力・結果'!$G$6^2)-(2*'入力・結果'!$G$3*'入力・結果'!$G$4*COS(RADIANS(S199))))/(2*'入力・結果'!$G$5*(('入力・結果'!$G$3^2)+('入力・結果'!$G$4^2)-(2*'入力・結果'!$G$3*'入力・結果'!$G$4*(COS(RADIANS(S199)))))^(1/2))))</f>
        <v>6.39853926</v>
      </c>
      <c r="AC199" s="37">
        <f t="shared" si="19"/>
        <v>-236.6096958</v>
      </c>
      <c r="AD199" s="37">
        <f t="shared" si="20"/>
        <v>0</v>
      </c>
      <c r="AE199" s="37" t="str">
        <f t="shared" si="21"/>
        <v/>
      </c>
      <c r="AF199" s="37" t="str">
        <f t="shared" si="22"/>
        <v/>
      </c>
      <c r="AG199" s="35"/>
      <c r="AH199" s="35"/>
      <c r="AI199" s="35"/>
      <c r="AJ199" s="35">
        <v>196.0</v>
      </c>
      <c r="AK199" s="35">
        <f t="shared" si="1"/>
        <v>0.9497767134</v>
      </c>
    </row>
    <row r="200" ht="12.75" customHeight="1">
      <c r="A200" s="35"/>
      <c r="B200" s="37">
        <v>196.0</v>
      </c>
      <c r="C200" s="38">
        <f t="shared" si="2"/>
        <v>-48.0630848</v>
      </c>
      <c r="D200" s="38">
        <f t="shared" si="3"/>
        <v>13.78186779</v>
      </c>
      <c r="E200" s="38">
        <f>'演算'!U200</f>
        <v>16.83652093</v>
      </c>
      <c r="F200" s="38">
        <f t="shared" si="4"/>
        <v>-16.83652093</v>
      </c>
      <c r="G200" s="38">
        <f t="shared" si="5"/>
        <v>-574.487374</v>
      </c>
      <c r="H200" s="38">
        <f t="shared" si="6"/>
        <v>173.0849368</v>
      </c>
      <c r="I200" s="39">
        <f t="shared" si="7"/>
        <v>599.9951151</v>
      </c>
      <c r="J200" s="38">
        <f t="shared" si="8"/>
        <v>16.76681274</v>
      </c>
      <c r="K200" s="38" t="str">
        <f t="shared" si="9"/>
        <v/>
      </c>
      <c r="L200" s="38">
        <f t="shared" si="10"/>
        <v>1</v>
      </c>
      <c r="M200" s="38">
        <f t="shared" si="11"/>
        <v>196.7668127</v>
      </c>
      <c r="N200" s="39">
        <f t="shared" si="12"/>
        <v>146.7668127</v>
      </c>
      <c r="O200" s="39">
        <f t="shared" si="13"/>
        <v>-501.8641199</v>
      </c>
      <c r="P200" s="39">
        <f t="shared" si="14"/>
        <v>-328.8260077</v>
      </c>
      <c r="Q200" s="38">
        <f t="shared" si="15"/>
        <v>-576.7570176</v>
      </c>
      <c r="R200" s="38">
        <f t="shared" si="16"/>
        <v>-165.3824135</v>
      </c>
      <c r="S200" s="40">
        <v>196.0</v>
      </c>
      <c r="T200" s="37">
        <f t="shared" si="24"/>
        <v>0.8365209267</v>
      </c>
      <c r="U200" s="37">
        <f t="shared" si="18"/>
        <v>16.83652093</v>
      </c>
      <c r="V200" s="37">
        <f t="shared" si="23"/>
        <v>1.052879046</v>
      </c>
      <c r="W200" s="37">
        <f>'入力・結果'!$I$7/V200</f>
        <v>306302.9901</v>
      </c>
      <c r="X200" s="39">
        <f>(W200/I200*10)*'入力・結果'!$I$8</f>
        <v>3063.054839</v>
      </c>
      <c r="Y200" s="38">
        <f>DEGREES(ACOS(('入力・結果'!$G$3-('入力・結果'!$G$4*COS(RADIANS(S200))))/((('入力・結果'!$G$3^2)+('入力・結果'!$G$4^2)-(2*'入力・結果'!$G$3*'入力・結果'!$G$4*COS(RADIANS(S200))))^(1/2))))</f>
        <v>10.0122714</v>
      </c>
      <c r="Z200" s="38">
        <f>DEGREES(ACOS((('入力・結果'!$G$3^2)+('入力・結果'!$G$4^2)-('入力・結果'!$G$5^2)+('入力・結果'!$G$6^2)-(2*'入力・結果'!$G$3*'入力・結果'!$G$4*COS(RADIANS(S200))))/(2*'入力・結果'!$G$6*(('入力・結果'!$G$3^2)+('入力・結果'!$G$4^2)-(2*'入力・結果'!$G$3*'入力・結果'!$G$4*(COS(RADIANS(S200)))))^(1/2))))</f>
        <v>8.787717723</v>
      </c>
      <c r="AA200" s="38">
        <f>DEGREES(ACOS(('入力・結果'!$G$4-('入力・結果'!$G$3*COS(RADIANS(S200))))/((('入力・結果'!$G$3^2)+('入力・結果'!$G$4^2)-(2*'入力・結果'!$G$3*'入力・結果'!$G$4*COS(RADIANS(S200))))^(1/2))))</f>
        <v>5.987728596</v>
      </c>
      <c r="AB200" s="38">
        <f>DEGREES(ACOS((('入力・結果'!$G$3^2)+('入力・結果'!$G$4^2)+('入力・結果'!$G$5^2)-('入力・結果'!$G$6^2)-(2*'入力・結果'!$G$3*'入力・結果'!$G$4*COS(RADIANS(S200))))/(2*'入力・結果'!$G$5*(('入力・結果'!$G$3^2)+('入力・結果'!$G$4^2)-(2*'入力・結果'!$G$3*'入力・結果'!$G$4*(COS(RADIANS(S200)))))^(1/2))))</f>
        <v>6.824249523</v>
      </c>
      <c r="AC200" s="37">
        <f t="shared" si="19"/>
        <v>-236.9451615</v>
      </c>
      <c r="AD200" s="37">
        <f t="shared" si="20"/>
        <v>0</v>
      </c>
      <c r="AE200" s="37" t="str">
        <f t="shared" si="21"/>
        <v/>
      </c>
      <c r="AF200" s="37" t="str">
        <f t="shared" si="22"/>
        <v/>
      </c>
      <c r="AG200" s="35"/>
      <c r="AH200" s="35"/>
      <c r="AI200" s="35"/>
      <c r="AJ200" s="35">
        <v>197.0</v>
      </c>
      <c r="AK200" s="35">
        <f t="shared" si="1"/>
        <v>0.9496644417</v>
      </c>
    </row>
    <row r="201" ht="12.75" customHeight="1">
      <c r="A201" s="35"/>
      <c r="B201" s="37">
        <v>197.0</v>
      </c>
      <c r="C201" s="38">
        <f t="shared" si="2"/>
        <v>-47.8152378</v>
      </c>
      <c r="D201" s="38">
        <f t="shared" si="3"/>
        <v>14.61858524</v>
      </c>
      <c r="E201" s="38">
        <f>'演算'!U201</f>
        <v>17.88952445</v>
      </c>
      <c r="F201" s="38">
        <f t="shared" si="4"/>
        <v>-17.88952445</v>
      </c>
      <c r="G201" s="38">
        <f t="shared" si="5"/>
        <v>-571.2230584</v>
      </c>
      <c r="H201" s="38">
        <f t="shared" si="6"/>
        <v>183.5690317</v>
      </c>
      <c r="I201" s="39">
        <f t="shared" si="7"/>
        <v>599.9944765</v>
      </c>
      <c r="J201" s="38">
        <f t="shared" si="8"/>
        <v>17.81539968</v>
      </c>
      <c r="K201" s="38" t="str">
        <f t="shared" si="9"/>
        <v/>
      </c>
      <c r="L201" s="38">
        <f t="shared" si="10"/>
        <v>1</v>
      </c>
      <c r="M201" s="38">
        <f t="shared" si="11"/>
        <v>197.8153997</v>
      </c>
      <c r="N201" s="39">
        <f t="shared" si="12"/>
        <v>147.8153997</v>
      </c>
      <c r="O201" s="39">
        <f t="shared" si="13"/>
        <v>-507.7971409</v>
      </c>
      <c r="P201" s="39">
        <f t="shared" si="14"/>
        <v>-319.5863506</v>
      </c>
      <c r="Q201" s="38">
        <f t="shared" si="15"/>
        <v>-573.7828536</v>
      </c>
      <c r="R201" s="38">
        <f t="shared" si="16"/>
        <v>-175.4230228</v>
      </c>
      <c r="S201" s="40">
        <v>197.0</v>
      </c>
      <c r="T201" s="37">
        <f t="shared" si="24"/>
        <v>0.8895244468</v>
      </c>
      <c r="U201" s="37">
        <f t="shared" si="18"/>
        <v>17.88952445</v>
      </c>
      <c r="V201" s="37">
        <f t="shared" si="23"/>
        <v>1.05300352</v>
      </c>
      <c r="W201" s="37">
        <f>'入力・結果'!$I$7/V201</f>
        <v>306266.7825</v>
      </c>
      <c r="X201" s="39">
        <f>(W201/I201*10)*'入力・結果'!$I$8</f>
        <v>3062.696019</v>
      </c>
      <c r="Y201" s="38">
        <f>DEGREES(ACOS(('入力・結果'!$G$3-('入力・結果'!$G$4*COS(RADIANS(S201))))/((('入力・結果'!$G$3^2)+('入力・結果'!$G$4^2)-(2*'入力・結果'!$G$3*'入力・結果'!$G$4*COS(RADIANS(S201))))^(1/2))))</f>
        <v>10.6397326</v>
      </c>
      <c r="Z201" s="38">
        <f>DEGREES(ACOS((('入力・結果'!$G$3^2)+('入力・結果'!$G$4^2)-('入力・結果'!$G$5^2)+('入力・結果'!$G$6^2)-(2*'入力・結果'!$G$3*'入力・結果'!$G$4*COS(RADIANS(S201))))/(2*'入力・結果'!$G$6*(('入力・結果'!$G$3^2)+('入力・結果'!$G$4^2)-(2*'入力・結果'!$G$3*'入力・結果'!$G$4*(COS(RADIANS(S201)))))^(1/2))))</f>
        <v>9.3375872</v>
      </c>
      <c r="AA201" s="38">
        <f>DEGREES(ACOS(('入力・結果'!$G$4-('入力・結果'!$G$3*COS(RADIANS(S201))))/((('入力・結果'!$G$3^2)+('入力・結果'!$G$4^2)-(2*'入力・結果'!$G$3*'入力・結果'!$G$4*COS(RADIANS(S201))))^(1/2))))</f>
        <v>6.360267395</v>
      </c>
      <c r="AB201" s="38">
        <f>DEGREES(ACOS((('入力・結果'!$G$3^2)+('入力・結果'!$G$4^2)+('入力・結果'!$G$5^2)-('入力・結果'!$G$6^2)-(2*'入力・結果'!$G$3*'入力・結果'!$G$4*COS(RADIANS(S201))))/(2*'入力・結果'!$G$5*(('入力・結果'!$G$3^2)+('入力・結果'!$G$4^2)-(2*'入力・結果'!$G$3*'入力・結果'!$G$4*(COS(RADIANS(S201)))))^(1/2))))</f>
        <v>7.249791842</v>
      </c>
      <c r="AC201" s="37">
        <f t="shared" si="19"/>
        <v>-237.3039807</v>
      </c>
      <c r="AD201" s="37">
        <f t="shared" si="20"/>
        <v>0</v>
      </c>
      <c r="AE201" s="37" t="str">
        <f t="shared" si="21"/>
        <v/>
      </c>
      <c r="AF201" s="37" t="str">
        <f t="shared" si="22"/>
        <v/>
      </c>
      <c r="AG201" s="35"/>
      <c r="AH201" s="35"/>
      <c r="AI201" s="35"/>
      <c r="AJ201" s="35">
        <v>198.0</v>
      </c>
      <c r="AK201" s="35">
        <f t="shared" si="1"/>
        <v>0.9495448039</v>
      </c>
    </row>
    <row r="202" ht="12.75" customHeight="1">
      <c r="A202" s="35"/>
      <c r="B202" s="37">
        <v>198.0</v>
      </c>
      <c r="C202" s="38">
        <f t="shared" si="2"/>
        <v>-47.55282581</v>
      </c>
      <c r="D202" s="38">
        <f t="shared" si="3"/>
        <v>15.45084972</v>
      </c>
      <c r="E202" s="38">
        <f>'演算'!U202</f>
        <v>18.94266064</v>
      </c>
      <c r="F202" s="38">
        <f t="shared" si="4"/>
        <v>-18.94266064</v>
      </c>
      <c r="G202" s="38">
        <f t="shared" si="5"/>
        <v>-567.7669806</v>
      </c>
      <c r="H202" s="38">
        <f t="shared" si="6"/>
        <v>193.9928143</v>
      </c>
      <c r="I202" s="39">
        <f t="shared" si="7"/>
        <v>599.9937969</v>
      </c>
      <c r="J202" s="38">
        <f t="shared" si="8"/>
        <v>18.86410829</v>
      </c>
      <c r="K202" s="38" t="str">
        <f t="shared" si="9"/>
        <v/>
      </c>
      <c r="L202" s="38">
        <f t="shared" si="10"/>
        <v>1</v>
      </c>
      <c r="M202" s="38">
        <f t="shared" si="11"/>
        <v>198.8641083</v>
      </c>
      <c r="N202" s="39">
        <f t="shared" si="12"/>
        <v>148.8641083</v>
      </c>
      <c r="O202" s="39">
        <f t="shared" si="13"/>
        <v>-513.5606978</v>
      </c>
      <c r="P202" s="39">
        <f t="shared" si="14"/>
        <v>-310.2385631</v>
      </c>
      <c r="Q202" s="38">
        <f t="shared" si="15"/>
        <v>-570.6339098</v>
      </c>
      <c r="R202" s="38">
        <f t="shared" si="16"/>
        <v>-185.4101966</v>
      </c>
      <c r="S202" s="40">
        <v>198.0</v>
      </c>
      <c r="T202" s="37">
        <f t="shared" si="24"/>
        <v>0.9426606399</v>
      </c>
      <c r="U202" s="37">
        <f t="shared" si="18"/>
        <v>18.94266064</v>
      </c>
      <c r="V202" s="37">
        <f t="shared" si="23"/>
        <v>1.053136193</v>
      </c>
      <c r="W202" s="37">
        <f>'入力・結果'!$I$7/V202</f>
        <v>306228.1993</v>
      </c>
      <c r="X202" s="39">
        <f>(W202/I202*10)*'入力・結果'!$I$8</f>
        <v>3062.313652</v>
      </c>
      <c r="Y202" s="38">
        <f>DEGREES(ACOS(('入力・結果'!$G$3-('入力・結果'!$G$4*COS(RADIANS(S202))))/((('入力・結果'!$G$3^2)+('入力・結果'!$G$4^2)-(2*'入力・結果'!$G$3*'入力・結果'!$G$4*COS(RADIANS(S202))))^(1/2))))</f>
        <v>11.26750545</v>
      </c>
      <c r="Z202" s="38">
        <f>DEGREES(ACOS((('入力・結果'!$G$3^2)+('入力・結果'!$G$4^2)-('入力・結果'!$G$5^2)+('入力・結果'!$G$6^2)-(2*'入力・結果'!$G$3*'入力・結果'!$G$4*COS(RADIANS(S202))))/(2*'入力・結果'!$G$6*(('入力・結果'!$G$3^2)+('入力・結果'!$G$4^2)-(2*'入力・結果'!$G$3*'入力・結果'!$G$4*(COS(RADIANS(S202)))))^(1/2))))</f>
        <v>9.887573781</v>
      </c>
      <c r="AA202" s="38">
        <f>DEGREES(ACOS(('入力・結果'!$G$4-('入力・結果'!$G$3*COS(RADIANS(S202))))/((('入力・結果'!$G$3^2)+('入力・結果'!$G$4^2)-(2*'入力・結果'!$G$3*'入力・結果'!$G$4*COS(RADIANS(S202))))^(1/2))))</f>
        <v>6.73249455</v>
      </c>
      <c r="AB202" s="38">
        <f>DEGREES(ACOS((('入力・結果'!$G$3^2)+('入力・結果'!$G$4^2)+('入力・結果'!$G$5^2)-('入力・結果'!$G$6^2)-(2*'入力・結果'!$G$3*'入力・結果'!$G$4*COS(RADIANS(S202))))/(2*'入力・結果'!$G$5*(('入力・結果'!$G$3^2)+('入力・結果'!$G$4^2)-(2*'入力・結果'!$G$3*'入力・結果'!$G$4*(COS(RADIANS(S202)))))^(1/2))))</f>
        <v>7.67515519</v>
      </c>
      <c r="AC202" s="37">
        <f t="shared" si="19"/>
        <v>-237.6863477</v>
      </c>
      <c r="AD202" s="37">
        <f t="shared" si="20"/>
        <v>0</v>
      </c>
      <c r="AE202" s="37" t="str">
        <f t="shared" si="21"/>
        <v/>
      </c>
      <c r="AF202" s="37" t="str">
        <f t="shared" si="22"/>
        <v/>
      </c>
      <c r="AG202" s="35"/>
      <c r="AH202" s="35"/>
      <c r="AI202" s="35"/>
      <c r="AJ202" s="35">
        <v>199.0</v>
      </c>
      <c r="AK202" s="35">
        <f t="shared" si="1"/>
        <v>0.949417735</v>
      </c>
    </row>
    <row r="203" ht="12.75" customHeight="1">
      <c r="A203" s="35"/>
      <c r="B203" s="37">
        <v>199.0</v>
      </c>
      <c r="C203" s="38">
        <f t="shared" si="2"/>
        <v>-47.27592878</v>
      </c>
      <c r="D203" s="38">
        <f t="shared" si="3"/>
        <v>16.27840772</v>
      </c>
      <c r="E203" s="38">
        <f>'演算'!U203</f>
        <v>19.99593778</v>
      </c>
      <c r="F203" s="38">
        <f t="shared" si="4"/>
        <v>-19.99593778</v>
      </c>
      <c r="G203" s="38">
        <f t="shared" si="5"/>
        <v>-564.1202058</v>
      </c>
      <c r="H203" s="38">
        <f t="shared" si="6"/>
        <v>204.3528433</v>
      </c>
      <c r="I203" s="39">
        <f t="shared" si="7"/>
        <v>599.9930759</v>
      </c>
      <c r="J203" s="38">
        <f t="shared" si="8"/>
        <v>19.91294616</v>
      </c>
      <c r="K203" s="38" t="str">
        <f t="shared" si="9"/>
        <v/>
      </c>
      <c r="L203" s="38">
        <f t="shared" si="10"/>
        <v>1</v>
      </c>
      <c r="M203" s="38">
        <f t="shared" si="11"/>
        <v>199.9129462</v>
      </c>
      <c r="N203" s="39">
        <f t="shared" si="12"/>
        <v>149.9129462</v>
      </c>
      <c r="O203" s="39">
        <f t="shared" si="13"/>
        <v>-519.1528387</v>
      </c>
      <c r="P203" s="39">
        <f t="shared" si="14"/>
        <v>-300.7856733</v>
      </c>
      <c r="Q203" s="38">
        <f t="shared" si="15"/>
        <v>-567.3111454</v>
      </c>
      <c r="R203" s="38">
        <f t="shared" si="16"/>
        <v>-195.3408927</v>
      </c>
      <c r="S203" s="40">
        <v>199.0</v>
      </c>
      <c r="T203" s="37">
        <f t="shared" si="24"/>
        <v>0.9959377835</v>
      </c>
      <c r="U203" s="37">
        <f t="shared" si="18"/>
        <v>19.99593778</v>
      </c>
      <c r="V203" s="37">
        <f t="shared" si="23"/>
        <v>1.053277144</v>
      </c>
      <c r="W203" s="37">
        <f>'入力・結果'!$I$7/V203</f>
        <v>306187.2195</v>
      </c>
      <c r="X203" s="39">
        <f>(W203/I203*10)*'入力・結果'!$I$8</f>
        <v>3061.90753</v>
      </c>
      <c r="Y203" s="38">
        <f>DEGREES(ACOS(('入力・結果'!$G$3-('入力・結果'!$G$4*COS(RADIANS(S203))))/((('入力・結果'!$G$3^2)+('入力・結果'!$G$4^2)-(2*'入力・結果'!$G$3*'入力・結果'!$G$4*COS(RADIANS(S203))))^(1/2))))</f>
        <v>11.89560934</v>
      </c>
      <c r="Z203" s="38">
        <f>DEGREES(ACOS((('入力・結果'!$G$3^2)+('入力・結果'!$G$4^2)-('入力・結果'!$G$5^2)+('入力・結果'!$G$6^2)-(2*'入力・結果'!$G$3*'入力・結果'!$G$4*COS(RADIANS(S203))))/(2*'入力・結果'!$G$6*(('入力・結果'!$G$3^2)+('入力・結果'!$G$4^2)-(2*'入力・結果'!$G$3*'入力・結果'!$G$4*(COS(RADIANS(S203)))))^(1/2))))</f>
        <v>10.43768473</v>
      </c>
      <c r="AA203" s="38">
        <f>DEGREES(ACOS(('入力・結果'!$G$4-('入力・結果'!$G$3*COS(RADIANS(S203))))/((('入力・結果'!$G$3^2)+('入力・結果'!$G$4^2)-(2*'入力・結果'!$G$3*'入力・結果'!$G$4*COS(RADIANS(S203))))^(1/2))))</f>
        <v>7.104390656</v>
      </c>
      <c r="AB203" s="38">
        <f>DEGREES(ACOS((('入力・結果'!$G$3^2)+('入力・結果'!$G$4^2)+('入力・結果'!$G$5^2)-('入力・結果'!$G$6^2)-(2*'入力・結果'!$G$3*'入力・結果'!$G$4*COS(RADIANS(S203))))/(2*'入力・結果'!$G$5*(('入力・結果'!$G$3^2)+('入力・結果'!$G$4^2)-(2*'入力・結果'!$G$3*'入力・結果'!$G$4*(COS(RADIANS(S203)))))^(1/2))))</f>
        <v>8.100328439</v>
      </c>
      <c r="AC203" s="37">
        <f t="shared" si="19"/>
        <v>-238.0924697</v>
      </c>
      <c r="AD203" s="37">
        <f t="shared" si="20"/>
        <v>0</v>
      </c>
      <c r="AE203" s="37" t="str">
        <f t="shared" si="21"/>
        <v/>
      </c>
      <c r="AF203" s="37" t="str">
        <f t="shared" si="22"/>
        <v/>
      </c>
      <c r="AG203" s="35"/>
      <c r="AH203" s="35"/>
      <c r="AI203" s="35"/>
      <c r="AJ203" s="35">
        <v>200.0</v>
      </c>
      <c r="AK203" s="35">
        <f t="shared" si="1"/>
        <v>0.949283166</v>
      </c>
    </row>
    <row r="204" ht="12.75" customHeight="1">
      <c r="A204" s="35"/>
      <c r="B204" s="37">
        <v>200.0</v>
      </c>
      <c r="C204" s="38">
        <f t="shared" si="2"/>
        <v>-46.98463104</v>
      </c>
      <c r="D204" s="38">
        <f t="shared" si="3"/>
        <v>17.10100717</v>
      </c>
      <c r="E204" s="38">
        <f>'演算'!U204</f>
        <v>21.04936424</v>
      </c>
      <c r="F204" s="38">
        <f t="shared" si="4"/>
        <v>-21.04936424</v>
      </c>
      <c r="G204" s="38">
        <f t="shared" si="5"/>
        <v>-560.2838579</v>
      </c>
      <c r="H204" s="38">
        <f t="shared" si="6"/>
        <v>214.6456951</v>
      </c>
      <c r="I204" s="39">
        <f t="shared" si="7"/>
        <v>599.9923131</v>
      </c>
      <c r="J204" s="38">
        <f t="shared" si="8"/>
        <v>20.96192095</v>
      </c>
      <c r="K204" s="38" t="str">
        <f t="shared" si="9"/>
        <v/>
      </c>
      <c r="L204" s="38">
        <f t="shared" si="10"/>
        <v>1</v>
      </c>
      <c r="M204" s="38">
        <f t="shared" si="11"/>
        <v>200.961921</v>
      </c>
      <c r="N204" s="39">
        <f t="shared" si="12"/>
        <v>150.961921</v>
      </c>
      <c r="O204" s="39">
        <f t="shared" si="13"/>
        <v>-524.5716637</v>
      </c>
      <c r="P204" s="39">
        <f t="shared" si="14"/>
        <v>-291.2307426</v>
      </c>
      <c r="Q204" s="38">
        <f t="shared" si="15"/>
        <v>-563.8155725</v>
      </c>
      <c r="R204" s="38">
        <f t="shared" si="16"/>
        <v>-205.212086</v>
      </c>
      <c r="S204" s="40">
        <v>200.0</v>
      </c>
      <c r="T204" s="37">
        <f t="shared" si="24"/>
        <v>1.049364238</v>
      </c>
      <c r="U204" s="37">
        <f t="shared" si="18"/>
        <v>21.04936424</v>
      </c>
      <c r="V204" s="37">
        <f t="shared" si="23"/>
        <v>1.053426455</v>
      </c>
      <c r="W204" s="37">
        <f>'入力・結果'!$I$7/V204</f>
        <v>306143.821</v>
      </c>
      <c r="X204" s="39">
        <f>(W204/I204*10)*'入力・結果'!$I$8</f>
        <v>3061.477432</v>
      </c>
      <c r="Y204" s="38">
        <f>DEGREES(ACOS(('入力・結果'!$G$3-('入力・結果'!$G$4*COS(RADIANS(S204))))/((('入力・結果'!$G$3^2)+('入力・結果'!$G$4^2)-(2*'入力・結果'!$G$3*'入力・結果'!$G$4*COS(RADIANS(S204))))^(1/2))))</f>
        <v>12.52406388</v>
      </c>
      <c r="Z204" s="38">
        <f>DEGREES(ACOS((('入力・結果'!$G$3^2)+('入力・結果'!$G$4^2)-('入力・結果'!$G$5^2)+('入力・結果'!$G$6^2)-(2*'入力・結果'!$G$3*'入力・結果'!$G$4*COS(RADIANS(S204))))/(2*'入力・結果'!$G$6*(('入力・結果'!$G$3^2)+('入力・結果'!$G$4^2)-(2*'入力・結果'!$G$3*'入力・結果'!$G$4*(COS(RADIANS(S204)))))^(1/2))))</f>
        <v>10.98792738</v>
      </c>
      <c r="AA204" s="38">
        <f>DEGREES(ACOS(('入力・結果'!$G$4-('入力・結果'!$G$3*COS(RADIANS(S204))))/((('入力・結果'!$G$3^2)+('入力・結果'!$G$4^2)-(2*'入力・結果'!$G$3*'入力・結果'!$G$4*COS(RADIANS(S204))))^(1/2))))</f>
        <v>7.475936122</v>
      </c>
      <c r="AB204" s="38">
        <f>DEGREES(ACOS((('入力・結果'!$G$3^2)+('入力・結果'!$G$4^2)+('入力・結果'!$G$5^2)-('入力・結果'!$G$6^2)-(2*'入力・結果'!$G$3*'入力・結果'!$G$4*COS(RADIANS(S204))))/(2*'入力・結果'!$G$5*(('入力・結果'!$G$3^2)+('入力・結果'!$G$4^2)-(2*'入力・結果'!$G$3*'入力・結果'!$G$4*(COS(RADIANS(S204)))))^(1/2))))</f>
        <v>8.52530036</v>
      </c>
      <c r="AC204" s="37">
        <f t="shared" si="19"/>
        <v>-238.5225677</v>
      </c>
      <c r="AD204" s="37">
        <f t="shared" si="20"/>
        <v>0</v>
      </c>
      <c r="AE204" s="37" t="str">
        <f t="shared" si="21"/>
        <v/>
      </c>
      <c r="AF204" s="37" t="str">
        <f t="shared" si="22"/>
        <v/>
      </c>
      <c r="AG204" s="35"/>
      <c r="AH204" s="35"/>
      <c r="AI204" s="35"/>
      <c r="AJ204" s="35">
        <v>201.0</v>
      </c>
      <c r="AK204" s="35">
        <f t="shared" si="1"/>
        <v>0.9491410233</v>
      </c>
    </row>
    <row r="205" ht="12.75" customHeight="1">
      <c r="A205" s="35"/>
      <c r="B205" s="37">
        <v>201.0</v>
      </c>
      <c r="C205" s="38">
        <f t="shared" si="2"/>
        <v>-46.67902132</v>
      </c>
      <c r="D205" s="38">
        <f t="shared" si="3"/>
        <v>17.91839748</v>
      </c>
      <c r="E205" s="38">
        <f>'演算'!U205</f>
        <v>22.10294845</v>
      </c>
      <c r="F205" s="38">
        <f t="shared" si="4"/>
        <v>-22.10294845</v>
      </c>
      <c r="G205" s="38">
        <f t="shared" si="5"/>
        <v>-556.2591193</v>
      </c>
      <c r="H205" s="38">
        <f t="shared" si="6"/>
        <v>224.8679656</v>
      </c>
      <c r="I205" s="39">
        <f t="shared" si="7"/>
        <v>599.9915081</v>
      </c>
      <c r="J205" s="38">
        <f t="shared" si="8"/>
        <v>22.01104042</v>
      </c>
      <c r="K205" s="38" t="str">
        <f t="shared" si="9"/>
        <v/>
      </c>
      <c r="L205" s="38">
        <f t="shared" si="10"/>
        <v>1</v>
      </c>
      <c r="M205" s="38">
        <f t="shared" si="11"/>
        <v>202.0110404</v>
      </c>
      <c r="N205" s="39">
        <f t="shared" si="12"/>
        <v>152.0110404</v>
      </c>
      <c r="O205" s="39">
        <f t="shared" si="13"/>
        <v>-529.8153251</v>
      </c>
      <c r="P205" s="39">
        <f t="shared" si="14"/>
        <v>-281.5768652</v>
      </c>
      <c r="Q205" s="38">
        <f t="shared" si="15"/>
        <v>-560.1482559</v>
      </c>
      <c r="R205" s="38">
        <f t="shared" si="16"/>
        <v>-215.0207697</v>
      </c>
      <c r="S205" s="40">
        <v>201.0</v>
      </c>
      <c r="T205" s="37">
        <f t="shared" si="24"/>
        <v>1.102948453</v>
      </c>
      <c r="U205" s="37">
        <f t="shared" si="18"/>
        <v>22.10294845</v>
      </c>
      <c r="V205" s="37">
        <f t="shared" si="23"/>
        <v>1.053584215</v>
      </c>
      <c r="W205" s="37">
        <f>'入力・結果'!$I$7/V205</f>
        <v>306097.98</v>
      </c>
      <c r="X205" s="39">
        <f>(W205/I205*10)*'入力・結果'!$I$8</f>
        <v>3061.023124</v>
      </c>
      <c r="Y205" s="38">
        <f>DEGREES(ACOS(('入力・結果'!$G$3-('入力・結果'!$G$4*COS(RADIANS(S205))))/((('入力・結果'!$G$3^2)+('入力・結果'!$G$4^2)-(2*'入力・結果'!$G$3*'入力・結果'!$G$4*COS(RADIANS(S205))))^(1/2))))</f>
        <v>13.15288884</v>
      </c>
      <c r="Z205" s="38">
        <f>DEGREES(ACOS((('入力・結果'!$G$3^2)+('入力・結果'!$G$4^2)-('入力・結果'!$G$5^2)+('入力・結果'!$G$6^2)-(2*'入力・結果'!$G$3*'入力・結果'!$G$4*COS(RADIANS(S205))))/(2*'入力・結果'!$G$6*(('入力・結果'!$G$3^2)+('入力・結果'!$G$4^2)-(2*'入力・結果'!$G$3*'入力・結果'!$G$4*(COS(RADIANS(S205)))))^(1/2))))</f>
        <v>11.53830914</v>
      </c>
      <c r="AA205" s="38">
        <f>DEGREES(ACOS(('入力・結果'!$G$4-('入力・結果'!$G$3*COS(RADIANS(S205))))/((('入力・結果'!$G$3^2)+('入力・結果'!$G$4^2)-(2*'入力・結果'!$G$3*'入力・結果'!$G$4*COS(RADIANS(S205))))^(1/2))))</f>
        <v>7.847111156</v>
      </c>
      <c r="AB205" s="38">
        <f>DEGREES(ACOS((('入力・結果'!$G$3^2)+('入力・結果'!$G$4^2)+('入力・結果'!$G$5^2)-('入力・結果'!$G$6^2)-(2*'入力・結果'!$G$3*'入力・結果'!$G$4*COS(RADIANS(S205))))/(2*'入力・結果'!$G$5*(('入力・結果'!$G$3^2)+('入力・結果'!$G$4^2)-(2*'入力・結果'!$G$3*'入力・結果'!$G$4*(COS(RADIANS(S205)))))^(1/2))))</f>
        <v>8.950059609</v>
      </c>
      <c r="AC205" s="37">
        <f t="shared" si="19"/>
        <v>-238.9768764</v>
      </c>
      <c r="AD205" s="37">
        <f t="shared" si="20"/>
        <v>0</v>
      </c>
      <c r="AE205" s="37" t="str">
        <f t="shared" si="21"/>
        <v/>
      </c>
      <c r="AF205" s="37" t="str">
        <f t="shared" si="22"/>
        <v/>
      </c>
      <c r="AG205" s="35"/>
      <c r="AH205" s="35"/>
      <c r="AI205" s="35"/>
      <c r="AJ205" s="35">
        <v>202.0</v>
      </c>
      <c r="AK205" s="35">
        <f t="shared" si="1"/>
        <v>0.9489912292</v>
      </c>
    </row>
    <row r="206" ht="12.75" customHeight="1">
      <c r="A206" s="35"/>
      <c r="B206" s="37">
        <v>202.0</v>
      </c>
      <c r="C206" s="38">
        <f t="shared" si="2"/>
        <v>-46.35919273</v>
      </c>
      <c r="D206" s="38">
        <f t="shared" si="3"/>
        <v>18.73032967</v>
      </c>
      <c r="E206" s="38">
        <f>'演算'!U206</f>
        <v>23.15669897</v>
      </c>
      <c r="F206" s="38">
        <f t="shared" si="4"/>
        <v>-23.15669897</v>
      </c>
      <c r="G206" s="38">
        <f t="shared" si="5"/>
        <v>-552.0472308</v>
      </c>
      <c r="H206" s="38">
        <f t="shared" si="6"/>
        <v>235.0162703</v>
      </c>
      <c r="I206" s="39">
        <f t="shared" si="7"/>
        <v>599.9906602</v>
      </c>
      <c r="J206" s="38">
        <f t="shared" si="8"/>
        <v>23.06031239</v>
      </c>
      <c r="K206" s="38" t="str">
        <f t="shared" si="9"/>
        <v/>
      </c>
      <c r="L206" s="38">
        <f t="shared" si="10"/>
        <v>1</v>
      </c>
      <c r="M206" s="38">
        <f t="shared" si="11"/>
        <v>203.0603124</v>
      </c>
      <c r="N206" s="39">
        <f t="shared" si="12"/>
        <v>153.0603124</v>
      </c>
      <c r="O206" s="39">
        <f t="shared" si="13"/>
        <v>-534.8820278</v>
      </c>
      <c r="P206" s="39">
        <f t="shared" si="14"/>
        <v>-271.8271669</v>
      </c>
      <c r="Q206" s="38">
        <f t="shared" si="15"/>
        <v>-556.3103127</v>
      </c>
      <c r="R206" s="38">
        <f t="shared" si="16"/>
        <v>-224.763956</v>
      </c>
      <c r="S206" s="40">
        <v>202.0</v>
      </c>
      <c r="T206" s="37">
        <f t="shared" si="24"/>
        <v>1.156698972</v>
      </c>
      <c r="U206" s="37">
        <f t="shared" si="18"/>
        <v>23.15669897</v>
      </c>
      <c r="V206" s="37">
        <f t="shared" si="23"/>
        <v>1.053750519</v>
      </c>
      <c r="W206" s="37">
        <f>'入力・結果'!$I$7/V206</f>
        <v>306049.6714</v>
      </c>
      <c r="X206" s="39">
        <f>(W206/I206*10)*'入力・結果'!$I$8</f>
        <v>3060.544355</v>
      </c>
      <c r="Y206" s="38">
        <f>DEGREES(ACOS(('入力・結果'!$G$3-('入力・結果'!$G$4*COS(RADIANS(S206))))/((('入力・結果'!$G$3^2)+('入力・結果'!$G$4^2)-(2*'入力・結果'!$G$3*'入力・結果'!$G$4*COS(RADIANS(S206))))^(1/2))))</f>
        <v>13.78210425</v>
      </c>
      <c r="Z206" s="38">
        <f>DEGREES(ACOS((('入力・結果'!$G$3^2)+('入力・結果'!$G$4^2)-('入力・結果'!$G$5^2)+('入力・結果'!$G$6^2)-(2*'入力・結果'!$G$3*'入力・結果'!$G$4*COS(RADIANS(S206))))/(2*'入力・結果'!$G$6*(('入力・結果'!$G$3^2)+('入力・結果'!$G$4^2)-(2*'入力・結果'!$G$3*'入力・結果'!$G$4*(COS(RADIANS(S206)))))^(1/2))))</f>
        <v>12.08883747</v>
      </c>
      <c r="AA206" s="38">
        <f>DEGREES(ACOS(('入力・結果'!$G$4-('入力・結果'!$G$3*COS(RADIANS(S206))))/((('入力・結果'!$G$3^2)+('入力・結果'!$G$4^2)-(2*'入力・結果'!$G$3*'入力・結果'!$G$4*COS(RADIANS(S206))))^(1/2))))</f>
        <v>8.217895752</v>
      </c>
      <c r="AB206" s="38">
        <f>DEGREES(ACOS((('入力・結果'!$G$3^2)+('入力・結果'!$G$4^2)+('入力・結果'!$G$5^2)-('入力・結果'!$G$6^2)-(2*'入力・結果'!$G$3*'入力・結果'!$G$4*COS(RADIANS(S206))))/(2*'入力・結果'!$G$5*(('入力・結果'!$G$3^2)+('入力・結果'!$G$4^2)-(2*'入力・結果'!$G$3*'入力・結果'!$G$4*(COS(RADIANS(S206)))))^(1/2))))</f>
        <v>9.374594724</v>
      </c>
      <c r="AC206" s="37">
        <f t="shared" si="19"/>
        <v>-239.4556447</v>
      </c>
      <c r="AD206" s="37">
        <f t="shared" si="20"/>
        <v>0</v>
      </c>
      <c r="AE206" s="37" t="str">
        <f t="shared" si="21"/>
        <v/>
      </c>
      <c r="AF206" s="37" t="str">
        <f t="shared" si="22"/>
        <v/>
      </c>
      <c r="AG206" s="35"/>
      <c r="AH206" s="35"/>
      <c r="AI206" s="35"/>
      <c r="AJ206" s="35">
        <v>203.0</v>
      </c>
      <c r="AK206" s="35">
        <f t="shared" si="1"/>
        <v>0.9488337012</v>
      </c>
    </row>
    <row r="207" ht="12.75" customHeight="1">
      <c r="A207" s="35"/>
      <c r="B207" s="37">
        <v>203.0</v>
      </c>
      <c r="C207" s="38">
        <f t="shared" si="2"/>
        <v>-46.02524267</v>
      </c>
      <c r="D207" s="38">
        <f t="shared" si="3"/>
        <v>19.53655642</v>
      </c>
      <c r="E207" s="38">
        <f>'演算'!U207</f>
        <v>24.21062444</v>
      </c>
      <c r="F207" s="38">
        <f t="shared" si="4"/>
        <v>-24.21062444</v>
      </c>
      <c r="G207" s="38">
        <f t="shared" si="5"/>
        <v>-547.649491</v>
      </c>
      <c r="H207" s="38">
        <f t="shared" si="6"/>
        <v>245.0872458</v>
      </c>
      <c r="I207" s="39">
        <f t="shared" si="7"/>
        <v>599.9897691</v>
      </c>
      <c r="J207" s="38">
        <f t="shared" si="8"/>
        <v>24.1097448</v>
      </c>
      <c r="K207" s="38" t="str">
        <f t="shared" si="9"/>
        <v/>
      </c>
      <c r="L207" s="38">
        <f t="shared" si="10"/>
        <v>1</v>
      </c>
      <c r="M207" s="38">
        <f t="shared" si="11"/>
        <v>204.1097448</v>
      </c>
      <c r="N207" s="39">
        <f t="shared" si="12"/>
        <v>154.1097448</v>
      </c>
      <c r="O207" s="39">
        <f t="shared" si="13"/>
        <v>-539.77003</v>
      </c>
      <c r="P207" s="39">
        <f t="shared" si="14"/>
        <v>-261.9848045</v>
      </c>
      <c r="Q207" s="38">
        <f t="shared" si="15"/>
        <v>-552.3029121</v>
      </c>
      <c r="R207" s="38">
        <f t="shared" si="16"/>
        <v>-234.4386771</v>
      </c>
      <c r="S207" s="40">
        <v>203.0</v>
      </c>
      <c r="T207" s="37">
        <f t="shared" si="24"/>
        <v>1.210624437</v>
      </c>
      <c r="U207" s="37">
        <f t="shared" si="18"/>
        <v>24.21062444</v>
      </c>
      <c r="V207" s="37">
        <f t="shared" si="23"/>
        <v>1.053925465</v>
      </c>
      <c r="W207" s="37">
        <f>'入力・結果'!$I$7/V207</f>
        <v>305998.8686</v>
      </c>
      <c r="X207" s="39">
        <f>(W207/I207*10)*'入力・結果'!$I$8</f>
        <v>3060.040864</v>
      </c>
      <c r="Y207" s="38">
        <f>DEGREES(ACOS(('入力・結果'!$G$3-('入力・結果'!$G$4*COS(RADIANS(S207))))/((('入力・結果'!$G$3^2)+('入力・結果'!$G$4^2)-(2*'入力・結果'!$G$3*'入力・結果'!$G$4*COS(RADIANS(S207))))^(1/2))))</f>
        <v>14.41173032</v>
      </c>
      <c r="Z207" s="38">
        <f>DEGREES(ACOS((('入力・結果'!$G$3^2)+('入力・結果'!$G$4^2)-('入力・結果'!$G$5^2)+('入力・結果'!$G$6^2)-(2*'入力・結果'!$G$3*'入力・結果'!$G$4*COS(RADIANS(S207))))/(2*'入力・結果'!$G$6*(('入力・結果'!$G$3^2)+('入力・結果'!$G$4^2)-(2*'入力・結果'!$G$3*'入力・結果'!$G$4*(COS(RADIANS(S207)))))^(1/2))))</f>
        <v>12.63951993</v>
      </c>
      <c r="AA207" s="38">
        <f>DEGREES(ACOS(('入力・結果'!$G$4-('入力・結果'!$G$3*COS(RADIANS(S207))))/((('入力・結果'!$G$3^2)+('入力・結果'!$G$4^2)-(2*'入力・結果'!$G$3*'入力・結果'!$G$4*COS(RADIANS(S207))))^(1/2))))</f>
        <v>8.588269681</v>
      </c>
      <c r="AB207" s="38">
        <f>DEGREES(ACOS((('入力・結果'!$G$3^2)+('入力・結果'!$G$4^2)+('入力・結果'!$G$5^2)-('入力・結果'!$G$6^2)-(2*'入力・結果'!$G$3*'入力・結果'!$G$4*COS(RADIANS(S207))))/(2*'入力・結果'!$G$5*(('入力・結果'!$G$3^2)+('入力・結果'!$G$4^2)-(2*'入力・結果'!$G$3*'入力・結果'!$G$4*(COS(RADIANS(S207)))))^(1/2))))</f>
        <v>9.798894118</v>
      </c>
      <c r="AC207" s="37">
        <f t="shared" si="19"/>
        <v>-239.9591356</v>
      </c>
      <c r="AD207" s="37">
        <f t="shared" si="20"/>
        <v>0</v>
      </c>
      <c r="AE207" s="37" t="str">
        <f t="shared" si="21"/>
        <v/>
      </c>
      <c r="AF207" s="37" t="str">
        <f t="shared" si="22"/>
        <v/>
      </c>
      <c r="AG207" s="35"/>
      <c r="AH207" s="35"/>
      <c r="AI207" s="35"/>
      <c r="AJ207" s="35">
        <v>204.0</v>
      </c>
      <c r="AK207" s="35">
        <f t="shared" si="1"/>
        <v>0.9486683524</v>
      </c>
    </row>
    <row r="208" ht="12.75" customHeight="1">
      <c r="A208" s="35"/>
      <c r="B208" s="37">
        <v>204.0</v>
      </c>
      <c r="C208" s="38">
        <f t="shared" si="2"/>
        <v>-45.67727288</v>
      </c>
      <c r="D208" s="38">
        <f t="shared" si="3"/>
        <v>20.33683215</v>
      </c>
      <c r="E208" s="38">
        <f>'演算'!U208</f>
        <v>25.2647336</v>
      </c>
      <c r="F208" s="38">
        <f t="shared" si="4"/>
        <v>-25.2647336</v>
      </c>
      <c r="G208" s="38">
        <f t="shared" si="5"/>
        <v>-543.0672558</v>
      </c>
      <c r="H208" s="38">
        <f t="shared" si="6"/>
        <v>255.0775506</v>
      </c>
      <c r="I208" s="39">
        <f t="shared" si="7"/>
        <v>599.9888342</v>
      </c>
      <c r="J208" s="38">
        <f t="shared" si="8"/>
        <v>25.15934567</v>
      </c>
      <c r="K208" s="38" t="str">
        <f t="shared" si="9"/>
        <v/>
      </c>
      <c r="L208" s="38">
        <f t="shared" si="10"/>
        <v>1</v>
      </c>
      <c r="M208" s="38">
        <f t="shared" si="11"/>
        <v>205.1593457</v>
      </c>
      <c r="N208" s="39">
        <f t="shared" si="12"/>
        <v>155.1593457</v>
      </c>
      <c r="O208" s="39">
        <f t="shared" si="13"/>
        <v>-544.4776434</v>
      </c>
      <c r="P208" s="39">
        <f t="shared" si="14"/>
        <v>-252.0529645</v>
      </c>
      <c r="Q208" s="38">
        <f t="shared" si="15"/>
        <v>-548.1272746</v>
      </c>
      <c r="R208" s="38">
        <f t="shared" si="16"/>
        <v>-244.0419858</v>
      </c>
      <c r="S208" s="40">
        <v>204.0</v>
      </c>
      <c r="T208" s="37">
        <f t="shared" si="24"/>
        <v>1.264733597</v>
      </c>
      <c r="U208" s="37">
        <f t="shared" si="18"/>
        <v>25.2647336</v>
      </c>
      <c r="V208" s="37">
        <f t="shared" si="23"/>
        <v>1.05410916</v>
      </c>
      <c r="W208" s="37">
        <f>'入力・結果'!$I$7/V208</f>
        <v>305945.5436</v>
      </c>
      <c r="X208" s="39">
        <f>(W208/I208*10)*'入力・結果'!$I$8</f>
        <v>3059.512373</v>
      </c>
      <c r="Y208" s="38">
        <f>DEGREES(ACOS(('入力・結果'!$G$3-('入力・結果'!$G$4*COS(RADIANS(S208))))/((('入力・結果'!$G$3^2)+('入力・結果'!$G$4^2)-(2*'入力・結果'!$G$3*'入力・結果'!$G$4*COS(RADIANS(S208))))^(1/2))))</f>
        <v>15.04178752</v>
      </c>
      <c r="Z208" s="38">
        <f>DEGREES(ACOS((('入力・結果'!$G$3^2)+('入力・結果'!$G$4^2)-('入力・結果'!$G$5^2)+('入力・結果'!$G$6^2)-(2*'入力・結果'!$G$3*'入力・結果'!$G$4*COS(RADIANS(S208))))/(2*'入力・結果'!$G$6*(('入力・結果'!$G$3^2)+('入力・結果'!$G$4^2)-(2*'入力・結果'!$G$3*'入力・結果'!$G$4*(COS(RADIANS(S208)))))^(1/2))))</f>
        <v>13.19036415</v>
      </c>
      <c r="AA208" s="38">
        <f>DEGREES(ACOS(('入力・結果'!$G$4-('入力・結果'!$G$3*COS(RADIANS(S208))))/((('入力・結果'!$G$3^2)+('入力・結果'!$G$4^2)-(2*'入力・結果'!$G$3*'入力・結果'!$G$4*COS(RADIANS(S208))))^(1/2))))</f>
        <v>8.958212475</v>
      </c>
      <c r="AB208" s="38">
        <f>DEGREES(ACOS((('入力・結果'!$G$3^2)+('入力・結果'!$G$4^2)+('入力・結果'!$G$5^2)-('入力・結果'!$G$6^2)-(2*'入力・結果'!$G$3*'入力・結果'!$G$4*COS(RADIANS(S208))))/(2*'入力・結果'!$G$5*(('入力・結果'!$G$3^2)+('入力・結果'!$G$4^2)-(2*'入力・結果'!$G$3*'入力・結果'!$G$4*(COS(RADIANS(S208)))))^(1/2))))</f>
        <v>10.22294607</v>
      </c>
      <c r="AC208" s="37">
        <f t="shared" si="19"/>
        <v>-240.4876269</v>
      </c>
      <c r="AD208" s="37">
        <f t="shared" si="20"/>
        <v>0</v>
      </c>
      <c r="AE208" s="37" t="str">
        <f t="shared" si="21"/>
        <v/>
      </c>
      <c r="AF208" s="37" t="str">
        <f t="shared" si="22"/>
        <v/>
      </c>
      <c r="AG208" s="35"/>
      <c r="AH208" s="35"/>
      <c r="AI208" s="35"/>
      <c r="AJ208" s="35">
        <v>205.0</v>
      </c>
      <c r="AK208" s="35">
        <f t="shared" si="1"/>
        <v>0.9484950913</v>
      </c>
    </row>
    <row r="209" ht="12.75" customHeight="1">
      <c r="A209" s="35"/>
      <c r="B209" s="37">
        <v>205.0</v>
      </c>
      <c r="C209" s="38">
        <f t="shared" si="2"/>
        <v>-45.31538935</v>
      </c>
      <c r="D209" s="38">
        <f t="shared" si="3"/>
        <v>21.13091309</v>
      </c>
      <c r="E209" s="38">
        <f>'演算'!U209</f>
        <v>26.31903531</v>
      </c>
      <c r="F209" s="38">
        <f t="shared" si="4"/>
        <v>-26.31903531</v>
      </c>
      <c r="G209" s="38">
        <f t="shared" si="5"/>
        <v>-538.3019383</v>
      </c>
      <c r="H209" s="38">
        <f t="shared" si="6"/>
        <v>264.9838658</v>
      </c>
      <c r="I209" s="39">
        <f t="shared" si="7"/>
        <v>599.9878548</v>
      </c>
      <c r="J209" s="38">
        <f t="shared" si="8"/>
        <v>26.20912312</v>
      </c>
      <c r="K209" s="38" t="str">
        <f t="shared" si="9"/>
        <v/>
      </c>
      <c r="L209" s="38">
        <f t="shared" si="10"/>
        <v>1</v>
      </c>
      <c r="M209" s="38">
        <f t="shared" si="11"/>
        <v>206.2091231</v>
      </c>
      <c r="N209" s="39">
        <f t="shared" si="12"/>
        <v>156.2091231</v>
      </c>
      <c r="O209" s="39">
        <f t="shared" si="13"/>
        <v>-549.0032341</v>
      </c>
      <c r="P209" s="39">
        <f t="shared" si="14"/>
        <v>-242.0348628</v>
      </c>
      <c r="Q209" s="38">
        <f t="shared" si="15"/>
        <v>-543.7846722</v>
      </c>
      <c r="R209" s="38">
        <f t="shared" si="16"/>
        <v>-253.570957</v>
      </c>
      <c r="S209" s="40">
        <v>205.0</v>
      </c>
      <c r="T209" s="37">
        <f t="shared" si="24"/>
        <v>1.319035311</v>
      </c>
      <c r="U209" s="37">
        <f t="shared" si="18"/>
        <v>26.31903531</v>
      </c>
      <c r="V209" s="37">
        <f t="shared" si="23"/>
        <v>1.054301714</v>
      </c>
      <c r="W209" s="37">
        <f>'入力・結果'!$I$7/V209</f>
        <v>305889.6669</v>
      </c>
      <c r="X209" s="39">
        <f>(W209/I209*10)*'入力・結果'!$I$8</f>
        <v>3058.958589</v>
      </c>
      <c r="Y209" s="38">
        <f>DEGREES(ACOS(('入力・結果'!$G$3-('入力・結果'!$G$4*COS(RADIANS(S209))))/((('入力・結果'!$G$3^2)+('入力・結果'!$G$4^2)-(2*'入力・結果'!$G$3*'入力・結果'!$G$4*COS(RADIANS(S209))))^(1/2))))</f>
        <v>15.67229658</v>
      </c>
      <c r="Z209" s="38">
        <f>DEGREES(ACOS((('入力・結果'!$G$3^2)+('入力・結果'!$G$4^2)-('入力・結果'!$G$5^2)+('入力・結果'!$G$6^2)-(2*'入力・結果'!$G$3*'入力・結果'!$G$4*COS(RADIANS(S209))))/(2*'入力・結果'!$G$6*(('入力・結果'!$G$3^2)+('入力・結果'!$G$4^2)-(2*'入力・結果'!$G$3*'入力・結果'!$G$4*(COS(RADIANS(S209)))))^(1/2))))</f>
        <v>13.74137786</v>
      </c>
      <c r="AA209" s="38">
        <f>DEGREES(ACOS(('入力・結果'!$G$4-('入力・結果'!$G$3*COS(RADIANS(S209))))/((('入力・結果'!$G$3^2)+('入力・結果'!$G$4^2)-(2*'入力・結果'!$G$3*'入力・結果'!$G$4*COS(RADIANS(S209))))^(1/2))))</f>
        <v>9.327703418</v>
      </c>
      <c r="AB209" s="38">
        <f>DEGREES(ACOS((('入力・結果'!$G$3^2)+('入力・結果'!$G$4^2)+('入力・結果'!$G$5^2)-('入力・結果'!$G$6^2)-(2*'入力・結果'!$G$3*'入力・結果'!$G$4*COS(RADIANS(S209))))/(2*'入力・結果'!$G$5*(('入力・結果'!$G$3^2)+('入力・結果'!$G$4^2)-(2*'入力・結果'!$G$3*'入力・結果'!$G$4*(COS(RADIANS(S209)))))^(1/2))))</f>
        <v>10.64673873</v>
      </c>
      <c r="AC209" s="37">
        <f t="shared" si="19"/>
        <v>-241.0414113</v>
      </c>
      <c r="AD209" s="37">
        <f t="shared" si="20"/>
        <v>0</v>
      </c>
      <c r="AE209" s="37" t="str">
        <f t="shared" si="21"/>
        <v/>
      </c>
      <c r="AF209" s="37" t="str">
        <f t="shared" si="22"/>
        <v/>
      </c>
      <c r="AG209" s="35"/>
      <c r="AH209" s="35"/>
      <c r="AI209" s="35"/>
      <c r="AJ209" s="35">
        <v>206.0</v>
      </c>
      <c r="AK209" s="35">
        <f t="shared" si="1"/>
        <v>0.9483138214</v>
      </c>
    </row>
    <row r="210" ht="12.75" customHeight="1">
      <c r="A210" s="35"/>
      <c r="B210" s="37">
        <v>206.0</v>
      </c>
      <c r="C210" s="38">
        <f t="shared" si="2"/>
        <v>-44.93970231</v>
      </c>
      <c r="D210" s="38">
        <f t="shared" si="3"/>
        <v>21.91855734</v>
      </c>
      <c r="E210" s="38">
        <f>'演算'!U210</f>
        <v>27.37353855</v>
      </c>
      <c r="F210" s="38">
        <f t="shared" si="4"/>
        <v>-27.37353855</v>
      </c>
      <c r="G210" s="38">
        <f t="shared" si="5"/>
        <v>-533.3550082</v>
      </c>
      <c r="H210" s="38">
        <f t="shared" si="6"/>
        <v>274.8028965</v>
      </c>
      <c r="I210" s="39">
        <f t="shared" si="7"/>
        <v>599.9868304</v>
      </c>
      <c r="J210" s="38">
        <f t="shared" si="8"/>
        <v>27.25908538</v>
      </c>
      <c r="K210" s="38" t="str">
        <f t="shared" si="9"/>
        <v/>
      </c>
      <c r="L210" s="38">
        <f t="shared" si="10"/>
        <v>1</v>
      </c>
      <c r="M210" s="38">
        <f t="shared" si="11"/>
        <v>207.2590854</v>
      </c>
      <c r="N210" s="39">
        <f t="shared" si="12"/>
        <v>157.2590854</v>
      </c>
      <c r="O210" s="39">
        <f t="shared" si="13"/>
        <v>-553.3452227</v>
      </c>
      <c r="P210" s="39">
        <f t="shared" si="14"/>
        <v>-231.9337432</v>
      </c>
      <c r="Q210" s="38">
        <f t="shared" si="15"/>
        <v>-539.2764278</v>
      </c>
      <c r="R210" s="38">
        <f t="shared" si="16"/>
        <v>-263.0226881</v>
      </c>
      <c r="S210" s="40">
        <v>206.0</v>
      </c>
      <c r="T210" s="37">
        <f t="shared" si="24"/>
        <v>1.373538554</v>
      </c>
      <c r="U210" s="37">
        <f t="shared" si="18"/>
        <v>27.37353855</v>
      </c>
      <c r="V210" s="37">
        <f t="shared" si="23"/>
        <v>1.054503243</v>
      </c>
      <c r="W210" s="37">
        <f>'入力・結果'!$I$7/V210</f>
        <v>305831.2074</v>
      </c>
      <c r="X210" s="39">
        <f>(W210/I210*10)*'入力・結果'!$I$8</f>
        <v>3058.379203</v>
      </c>
      <c r="Y210" s="38">
        <f>DEGREES(ACOS(('入力・結果'!$G$3-('入力・結果'!$G$4*COS(RADIANS(S210))))/((('入力・結果'!$G$3^2)+('入力・結果'!$G$4^2)-(2*'入力・結果'!$G$3*'入力・結果'!$G$4*COS(RADIANS(S210))))^(1/2))))</f>
        <v>16.30327847</v>
      </c>
      <c r="Z210" s="38">
        <f>DEGREES(ACOS((('入力・結果'!$G$3^2)+('入力・結果'!$G$4^2)-('入力・結果'!$G$5^2)+('入力・結果'!$G$6^2)-(2*'入力・結果'!$G$3*'入力・結果'!$G$4*COS(RADIANS(S210))))/(2*'入力・結果'!$G$6*(('入力・結果'!$G$3^2)+('入力・結果'!$G$4^2)-(2*'入力・結果'!$G$3*'入力・結果'!$G$4*(COS(RADIANS(S210)))))^(1/2))))</f>
        <v>14.29256888</v>
      </c>
      <c r="AA210" s="38">
        <f>DEGREES(ACOS(('入力・結果'!$G$4-('入力・結果'!$G$3*COS(RADIANS(S210))))/((('入力・結果'!$G$3^2)+('入力・結果'!$G$4^2)-(2*'入力・結果'!$G$3*'入力・結果'!$G$4*COS(RADIANS(S210))))^(1/2))))</f>
        <v>9.696721527</v>
      </c>
      <c r="AB210" s="38">
        <f>DEGREES(ACOS((('入力・結果'!$G$3^2)+('入力・結果'!$G$4^2)+('入力・結果'!$G$5^2)-('入力・結果'!$G$6^2)-(2*'入力・結果'!$G$3*'入力・結果'!$G$4*COS(RADIANS(S210))))/(2*'入力・結果'!$G$5*(('入力・結果'!$G$3^2)+('入力・結果'!$G$4^2)-(2*'入力・結果'!$G$3*'入力・結果'!$G$4*(COS(RADIANS(S210)))))^(1/2))))</f>
        <v>11.07026008</v>
      </c>
      <c r="AC210" s="37">
        <f t="shared" si="19"/>
        <v>-241.6207967</v>
      </c>
      <c r="AD210" s="37">
        <f t="shared" si="20"/>
        <v>0</v>
      </c>
      <c r="AE210" s="37" t="str">
        <f t="shared" si="21"/>
        <v/>
      </c>
      <c r="AF210" s="37" t="str">
        <f t="shared" si="22"/>
        <v/>
      </c>
      <c r="AG210" s="35"/>
      <c r="AH210" s="35"/>
      <c r="AI210" s="35"/>
      <c r="AJ210" s="35">
        <v>207.0</v>
      </c>
      <c r="AK210" s="35">
        <f t="shared" si="1"/>
        <v>0.9481244415</v>
      </c>
    </row>
    <row r="211" ht="12.75" customHeight="1">
      <c r="A211" s="35"/>
      <c r="B211" s="37">
        <v>207.0</v>
      </c>
      <c r="C211" s="38">
        <f t="shared" si="2"/>
        <v>-44.55032621</v>
      </c>
      <c r="D211" s="38">
        <f t="shared" si="3"/>
        <v>22.69952499</v>
      </c>
      <c r="E211" s="38">
        <f>'演算'!U211</f>
        <v>28.42825242</v>
      </c>
      <c r="F211" s="38">
        <f t="shared" si="4"/>
        <v>-28.42825242</v>
      </c>
      <c r="G211" s="38">
        <f t="shared" si="5"/>
        <v>-528.2279914</v>
      </c>
      <c r="H211" s="38">
        <f t="shared" si="6"/>
        <v>284.5313722</v>
      </c>
      <c r="I211" s="39">
        <f t="shared" si="7"/>
        <v>599.9857604</v>
      </c>
      <c r="J211" s="38">
        <f t="shared" si="8"/>
        <v>28.30924081</v>
      </c>
      <c r="K211" s="38" t="str">
        <f t="shared" si="9"/>
        <v/>
      </c>
      <c r="L211" s="38">
        <f t="shared" si="10"/>
        <v>1</v>
      </c>
      <c r="M211" s="38">
        <f t="shared" si="11"/>
        <v>208.3092408</v>
      </c>
      <c r="N211" s="39">
        <f t="shared" si="12"/>
        <v>158.3092408</v>
      </c>
      <c r="O211" s="39">
        <f t="shared" si="13"/>
        <v>-557.5020845</v>
      </c>
      <c r="P211" s="39">
        <f t="shared" si="14"/>
        <v>-221.7528769</v>
      </c>
      <c r="Q211" s="38">
        <f t="shared" si="15"/>
        <v>-534.6039145</v>
      </c>
      <c r="R211" s="38">
        <f t="shared" si="16"/>
        <v>-272.3942998</v>
      </c>
      <c r="S211" s="40">
        <v>207.0</v>
      </c>
      <c r="T211" s="37">
        <f t="shared" si="24"/>
        <v>1.428252425</v>
      </c>
      <c r="U211" s="37">
        <f t="shared" si="18"/>
        <v>28.42825242</v>
      </c>
      <c r="V211" s="37">
        <f t="shared" si="23"/>
        <v>1.054713871</v>
      </c>
      <c r="W211" s="37">
        <f>'入力・結果'!$I$7/V211</f>
        <v>305770.1324</v>
      </c>
      <c r="X211" s="39">
        <f>(W211/I211*10)*'入力・結果'!$I$8</f>
        <v>3057.773893</v>
      </c>
      <c r="Y211" s="38">
        <f>DEGREES(ACOS(('入力・結果'!$G$3-('入力・結果'!$G$4*COS(RADIANS(S211))))/((('入力・結果'!$G$3^2)+('入力・結果'!$G$4^2)-(2*'入力・結果'!$G$3*'入力・結果'!$G$4*COS(RADIANS(S211))))^(1/2))))</f>
        <v>16.93475446</v>
      </c>
      <c r="Z211" s="38">
        <f>DEGREES(ACOS((('入力・結果'!$G$3^2)+('入力・結果'!$G$4^2)-('入力・結果'!$G$5^2)+('入力・結果'!$G$6^2)-(2*'入力・結果'!$G$3*'入力・結果'!$G$4*COS(RADIANS(S211))))/(2*'入力・結果'!$G$6*(('入力・結果'!$G$3^2)+('入力・結果'!$G$4^2)-(2*'入力・結果'!$G$3*'入力・結果'!$G$4*(COS(RADIANS(S211)))))^(1/2))))</f>
        <v>14.84394511</v>
      </c>
      <c r="AA211" s="38">
        <f>DEGREES(ACOS(('入力・結果'!$G$4-('入力・結果'!$G$3*COS(RADIANS(S211))))/((('入力・結果'!$G$3^2)+('入力・結果'!$G$4^2)-(2*'入力・結果'!$G$3*'入力・結果'!$G$4*COS(RADIANS(S211))))^(1/2))))</f>
        <v>10.06524554</v>
      </c>
      <c r="AB211" s="38">
        <f>DEGREES(ACOS((('入力・結果'!$G$3^2)+('入力・結果'!$G$4^2)+('入力・結果'!$G$5^2)-('入力・結果'!$G$6^2)-(2*'入力・結果'!$G$3*'入力・結果'!$G$4*COS(RADIANS(S211))))/(2*'入力・結果'!$G$5*(('入力・結果'!$G$3^2)+('入力・結果'!$G$4^2)-(2*'入力・結果'!$G$3*'入力・結果'!$G$4*(COS(RADIANS(S211)))))^(1/2))))</f>
        <v>11.49349797</v>
      </c>
      <c r="AC211" s="37">
        <f t="shared" si="19"/>
        <v>-242.2261068</v>
      </c>
      <c r="AD211" s="37">
        <f t="shared" si="20"/>
        <v>0</v>
      </c>
      <c r="AE211" s="37" t="str">
        <f t="shared" si="21"/>
        <v/>
      </c>
      <c r="AF211" s="37" t="str">
        <f t="shared" si="22"/>
        <v/>
      </c>
      <c r="AG211" s="35"/>
      <c r="AH211" s="35"/>
      <c r="AI211" s="35"/>
      <c r="AJ211" s="35">
        <v>208.0</v>
      </c>
      <c r="AK211" s="35">
        <f t="shared" si="1"/>
        <v>0.9479268454</v>
      </c>
    </row>
    <row r="212" ht="12.75" customHeight="1">
      <c r="A212" s="35"/>
      <c r="B212" s="37">
        <v>208.0</v>
      </c>
      <c r="C212" s="38">
        <f t="shared" si="2"/>
        <v>-44.14737964</v>
      </c>
      <c r="D212" s="38">
        <f t="shared" si="3"/>
        <v>23.47357814</v>
      </c>
      <c r="E212" s="38">
        <f>'演算'!U212</f>
        <v>29.48318615</v>
      </c>
      <c r="F212" s="38">
        <f t="shared" si="4"/>
        <v>-29.48318615</v>
      </c>
      <c r="G212" s="38">
        <f t="shared" si="5"/>
        <v>-522.9224696</v>
      </c>
      <c r="H212" s="38">
        <f t="shared" si="6"/>
        <v>294.1660479</v>
      </c>
      <c r="I212" s="39">
        <f t="shared" si="7"/>
        <v>599.984644</v>
      </c>
      <c r="J212" s="38">
        <f t="shared" si="8"/>
        <v>29.35959785</v>
      </c>
      <c r="K212" s="38" t="str">
        <f t="shared" si="9"/>
        <v/>
      </c>
      <c r="L212" s="38">
        <f t="shared" si="10"/>
        <v>1</v>
      </c>
      <c r="M212" s="38">
        <f t="shared" si="11"/>
        <v>209.3595979</v>
      </c>
      <c r="N212" s="39">
        <f t="shared" si="12"/>
        <v>159.3595979</v>
      </c>
      <c r="O212" s="39">
        <f t="shared" si="13"/>
        <v>-561.4723507</v>
      </c>
      <c r="P212" s="39">
        <f t="shared" si="14"/>
        <v>-211.4955612</v>
      </c>
      <c r="Q212" s="38">
        <f t="shared" si="15"/>
        <v>-529.7685557</v>
      </c>
      <c r="R212" s="38">
        <f t="shared" si="16"/>
        <v>-281.6829377</v>
      </c>
      <c r="S212" s="40">
        <v>208.0</v>
      </c>
      <c r="T212" s="37">
        <f t="shared" si="24"/>
        <v>1.483186152</v>
      </c>
      <c r="U212" s="37">
        <f t="shared" si="18"/>
        <v>29.48318615</v>
      </c>
      <c r="V212" s="37">
        <f t="shared" si="23"/>
        <v>1.054933727</v>
      </c>
      <c r="W212" s="37">
        <f>'入力・結果'!$I$7/V212</f>
        <v>305706.4077</v>
      </c>
      <c r="X212" s="39">
        <f>(W212/I212*10)*'入力・結果'!$I$8</f>
        <v>3057.142319</v>
      </c>
      <c r="Y212" s="38">
        <f>DEGREES(ACOS(('入力・結果'!$G$3-('入力・結果'!$G$4*COS(RADIANS(S212))))/((('入力・結果'!$G$3^2)+('入力・結果'!$G$4^2)-(2*'入力・結果'!$G$3*'入力・結果'!$G$4*COS(RADIANS(S212))))^(1/2))))</f>
        <v>17.56674608</v>
      </c>
      <c r="Z212" s="38">
        <f>DEGREES(ACOS((('入力・結果'!$G$3^2)+('入力・結果'!$G$4^2)-('入力・結果'!$G$5^2)+('入力・結果'!$G$6^2)-(2*'入力・結果'!$G$3*'入力・結果'!$G$4*COS(RADIANS(S212))))/(2*'入力・結果'!$G$6*(('入力・結果'!$G$3^2)+('入力・結果'!$G$4^2)-(2*'入力・結果'!$G$3*'入力・結果'!$G$4*(COS(RADIANS(S212)))))^(1/2))))</f>
        <v>15.39551458</v>
      </c>
      <c r="AA212" s="38">
        <f>DEGREES(ACOS(('入力・結果'!$G$4-('入力・結果'!$G$3*COS(RADIANS(S212))))/((('入力・結果'!$G$3^2)+('入力・結果'!$G$4^2)-(2*'入力・結果'!$G$3*'入力・結果'!$G$4*COS(RADIANS(S212))))^(1/2))))</f>
        <v>10.43325392</v>
      </c>
      <c r="AB212" s="38">
        <f>DEGREES(ACOS((('入力・結果'!$G$3^2)+('入力・結果'!$G$4^2)+('入力・結果'!$G$5^2)-('入力・結果'!$G$6^2)-(2*'入力・結果'!$G$3*'入力・結果'!$G$4*COS(RADIANS(S212))))/(2*'入力・結果'!$G$5*(('入力・結果'!$G$3^2)+('入力・結果'!$G$4^2)-(2*'入力・結果'!$G$3*'入力・結果'!$G$4*(COS(RADIANS(S212)))))^(1/2))))</f>
        <v>11.91644007</v>
      </c>
      <c r="AC212" s="37">
        <f t="shared" si="19"/>
        <v>-242.8576809</v>
      </c>
      <c r="AD212" s="37">
        <f t="shared" si="20"/>
        <v>0</v>
      </c>
      <c r="AE212" s="37" t="str">
        <f t="shared" si="21"/>
        <v/>
      </c>
      <c r="AF212" s="37" t="str">
        <f t="shared" si="22"/>
        <v/>
      </c>
      <c r="AG212" s="35"/>
      <c r="AH212" s="35"/>
      <c r="AI212" s="35"/>
      <c r="AJ212" s="35">
        <v>209.0</v>
      </c>
      <c r="AK212" s="35">
        <f t="shared" si="1"/>
        <v>0.9477209217</v>
      </c>
    </row>
    <row r="213" ht="12.75" customHeight="1">
      <c r="A213" s="35"/>
      <c r="B213" s="37">
        <v>209.0</v>
      </c>
      <c r="C213" s="38">
        <f t="shared" si="2"/>
        <v>-43.73098536</v>
      </c>
      <c r="D213" s="38">
        <f t="shared" si="3"/>
        <v>24.24048101</v>
      </c>
      <c r="E213" s="38">
        <f>'演算'!U213</f>
        <v>30.5383491</v>
      </c>
      <c r="F213" s="38">
        <f t="shared" si="4"/>
        <v>-30.5383491</v>
      </c>
      <c r="G213" s="38">
        <f t="shared" si="5"/>
        <v>-517.4400799</v>
      </c>
      <c r="H213" s="38">
        <f t="shared" si="6"/>
        <v>303.7037053</v>
      </c>
      <c r="I213" s="39">
        <f t="shared" si="7"/>
        <v>599.9834805</v>
      </c>
      <c r="J213" s="38">
        <f t="shared" si="8"/>
        <v>30.41016511</v>
      </c>
      <c r="K213" s="38" t="str">
        <f t="shared" si="9"/>
        <v/>
      </c>
      <c r="L213" s="38">
        <f t="shared" si="10"/>
        <v>1</v>
      </c>
      <c r="M213" s="38">
        <f t="shared" si="11"/>
        <v>210.4101651</v>
      </c>
      <c r="N213" s="39">
        <f t="shared" si="12"/>
        <v>160.4101651</v>
      </c>
      <c r="O213" s="39">
        <f t="shared" si="13"/>
        <v>-565.2546079</v>
      </c>
      <c r="P213" s="39">
        <f t="shared" si="14"/>
        <v>-201.1651191</v>
      </c>
      <c r="Q213" s="38">
        <f t="shared" si="15"/>
        <v>-524.7718243</v>
      </c>
      <c r="R213" s="38">
        <f t="shared" si="16"/>
        <v>-290.8857721</v>
      </c>
      <c r="S213" s="40">
        <v>209.0</v>
      </c>
      <c r="T213" s="37">
        <f t="shared" si="24"/>
        <v>1.538349098</v>
      </c>
      <c r="U213" s="37">
        <f t="shared" si="18"/>
        <v>30.5383491</v>
      </c>
      <c r="V213" s="37">
        <f t="shared" si="23"/>
        <v>1.055162946</v>
      </c>
      <c r="W213" s="37">
        <f>'入力・結果'!$I$7/V213</f>
        <v>305639.9973</v>
      </c>
      <c r="X213" s="39">
        <f>(W213/I213*10)*'入力・結果'!$I$8</f>
        <v>3056.484125</v>
      </c>
      <c r="Y213" s="38">
        <f>DEGREES(ACOS(('入力・結果'!$G$3-('入力・結果'!$G$4*COS(RADIANS(S213))))/((('入力・結果'!$G$3^2)+('入力・結果'!$G$4^2)-(2*'入力・結果'!$G$3*'入力・結果'!$G$4*COS(RADIANS(S213))))^(1/2))))</f>
        <v>18.1992752</v>
      </c>
      <c r="Z213" s="38">
        <f>DEGREES(ACOS((('入力・結果'!$G$3^2)+('入力・結果'!$G$4^2)-('入力・結果'!$G$5^2)+('入力・結果'!$G$6^2)-(2*'入力・結果'!$G$3*'入力・結果'!$G$4*COS(RADIANS(S213))))/(2*'入力・結果'!$G$6*(('入力・結果'!$G$3^2)+('入力・結果'!$G$4^2)-(2*'入力・結果'!$G$3*'入力・結果'!$G$4*(COS(RADIANS(S213)))))^(1/2))))</f>
        <v>15.94728539</v>
      </c>
      <c r="AA213" s="38">
        <f>DEGREES(ACOS(('入力・結果'!$G$4-('入力・結果'!$G$3*COS(RADIANS(S213))))/((('入力・結果'!$G$3^2)+('入力・結果'!$G$4^2)-(2*'入力・結果'!$G$3*'入力・結果'!$G$4*COS(RADIANS(S213))))^(1/2))))</f>
        <v>10.8007248</v>
      </c>
      <c r="AB213" s="38">
        <f>DEGREES(ACOS((('入力・結果'!$G$3^2)+('入力・結果'!$G$4^2)+('入力・結果'!$G$5^2)-('入力・結果'!$G$6^2)-(2*'入力・結果'!$G$3*'入力・結果'!$G$4*COS(RADIANS(S213))))/(2*'入力・結果'!$G$5*(('入力・結果'!$G$3^2)+('入力・結果'!$G$4^2)-(2*'入力・結果'!$G$3*'入力・結果'!$G$4*(COS(RADIANS(S213)))))^(1/2))))</f>
        <v>12.3390739</v>
      </c>
      <c r="AC213" s="37">
        <f t="shared" si="19"/>
        <v>-243.515875</v>
      </c>
      <c r="AD213" s="37">
        <f t="shared" si="20"/>
        <v>0</v>
      </c>
      <c r="AE213" s="37" t="str">
        <f t="shared" si="21"/>
        <v/>
      </c>
      <c r="AF213" s="37" t="str">
        <f t="shared" si="22"/>
        <v/>
      </c>
      <c r="AG213" s="35"/>
      <c r="AH213" s="35"/>
      <c r="AI213" s="35"/>
      <c r="AJ213" s="35">
        <v>210.0</v>
      </c>
      <c r="AK213" s="35">
        <f t="shared" si="1"/>
        <v>0.9475065538</v>
      </c>
    </row>
    <row r="214" ht="12.75" customHeight="1">
      <c r="A214" s="35"/>
      <c r="B214" s="37">
        <v>210.0</v>
      </c>
      <c r="C214" s="38">
        <f t="shared" si="2"/>
        <v>-43.30127019</v>
      </c>
      <c r="D214" s="38">
        <f t="shared" si="3"/>
        <v>25</v>
      </c>
      <c r="E214" s="38">
        <f>'演算'!U214</f>
        <v>31.59375077</v>
      </c>
      <c r="F214" s="38">
        <f t="shared" si="4"/>
        <v>-31.59375077</v>
      </c>
      <c r="G214" s="38">
        <f t="shared" si="5"/>
        <v>-511.7825142</v>
      </c>
      <c r="H214" s="38">
        <f t="shared" si="6"/>
        <v>313.1411529</v>
      </c>
      <c r="I214" s="39">
        <f t="shared" si="7"/>
        <v>599.9822693</v>
      </c>
      <c r="J214" s="38">
        <f t="shared" si="8"/>
        <v>31.46095129</v>
      </c>
      <c r="K214" s="38" t="str">
        <f t="shared" si="9"/>
        <v/>
      </c>
      <c r="L214" s="38">
        <f t="shared" si="10"/>
        <v>1</v>
      </c>
      <c r="M214" s="38">
        <f t="shared" si="11"/>
        <v>211.4609513</v>
      </c>
      <c r="N214" s="39">
        <f t="shared" si="12"/>
        <v>161.4609513</v>
      </c>
      <c r="O214" s="39">
        <f t="shared" si="13"/>
        <v>-568.8474991</v>
      </c>
      <c r="P214" s="39">
        <f t="shared" si="14"/>
        <v>-190.7648979</v>
      </c>
      <c r="Q214" s="38">
        <f t="shared" si="15"/>
        <v>-519.6152423</v>
      </c>
      <c r="R214" s="38">
        <f t="shared" si="16"/>
        <v>-300</v>
      </c>
      <c r="S214" s="40">
        <v>210.0</v>
      </c>
      <c r="T214" s="37">
        <f t="shared" si="24"/>
        <v>1.593750769</v>
      </c>
      <c r="U214" s="37">
        <f t="shared" si="18"/>
        <v>31.59375077</v>
      </c>
      <c r="V214" s="37">
        <f t="shared" si="23"/>
        <v>1.055401671</v>
      </c>
      <c r="W214" s="37">
        <f>'入力・結果'!$I$7/V214</f>
        <v>305570.8636</v>
      </c>
      <c r="X214" s="39">
        <f>(W214/I214*10)*'入力・結果'!$I$8</f>
        <v>3055.798938</v>
      </c>
      <c r="Y214" s="38">
        <f>DEGREES(ACOS(('入力・結果'!$G$3-('入力・結果'!$G$4*COS(RADIANS(S214))))/((('入力・結果'!$G$3^2)+('入力・結果'!$G$4^2)-(2*'入力・結果'!$G$3*'入力・結果'!$G$4*COS(RADIANS(S214))))^(1/2))))</f>
        <v>18.83236399</v>
      </c>
      <c r="Z214" s="38">
        <f>DEGREES(ACOS((('入力・結果'!$G$3^2)+('入力・結果'!$G$4^2)-('入力・結果'!$G$5^2)+('入力・結果'!$G$6^2)-(2*'入力・結果'!$G$3*'入力・結果'!$G$4*COS(RADIANS(S214))))/(2*'入力・結果'!$G$6*(('入力・結果'!$G$3^2)+('入力・結果'!$G$4^2)-(2*'入力・結果'!$G$3*'入力・結果'!$G$4*(COS(RADIANS(S214)))))^(1/2))))</f>
        <v>16.49926577</v>
      </c>
      <c r="AA214" s="38">
        <f>DEGREES(ACOS(('入力・結果'!$G$4-('入力・結果'!$G$3*COS(RADIANS(S214))))/((('入力・結果'!$G$3^2)+('入力・結果'!$G$4^2)-(2*'入力・結果'!$G$3*'入力・結果'!$G$4*COS(RADIANS(S214))))^(1/2))))</f>
        <v>11.16763601</v>
      </c>
      <c r="AB214" s="38">
        <f>DEGREES(ACOS((('入力・結果'!$G$3^2)+('入力・結果'!$G$4^2)+('入力・結果'!$G$5^2)-('入力・結果'!$G$6^2)-(2*'入力・結果'!$G$3*'入力・結果'!$G$4*COS(RADIANS(S214))))/(2*'入力・結果'!$G$5*(('入力・結果'!$G$3^2)+('入力・結果'!$G$4^2)-(2*'入力・結果'!$G$3*'入力・結果'!$G$4*(COS(RADIANS(S214)))))^(1/2))))</f>
        <v>12.76138678</v>
      </c>
      <c r="AC214" s="37">
        <f t="shared" si="19"/>
        <v>-244.2010618</v>
      </c>
      <c r="AD214" s="37">
        <f t="shared" si="20"/>
        <v>0</v>
      </c>
      <c r="AE214" s="37" t="str">
        <f t="shared" si="21"/>
        <v/>
      </c>
      <c r="AF214" s="37" t="str">
        <f t="shared" si="22"/>
        <v/>
      </c>
      <c r="AG214" s="35"/>
      <c r="AH214" s="35"/>
      <c r="AI214" s="35"/>
      <c r="AJ214" s="35">
        <v>211.0</v>
      </c>
      <c r="AK214" s="35">
        <f t="shared" si="1"/>
        <v>0.9472836196</v>
      </c>
    </row>
    <row r="215" ht="12.75" customHeight="1">
      <c r="A215" s="35"/>
      <c r="B215" s="37">
        <v>211.0</v>
      </c>
      <c r="C215" s="38">
        <f t="shared" si="2"/>
        <v>-42.85836504</v>
      </c>
      <c r="D215" s="38">
        <f t="shared" si="3"/>
        <v>25.75190375</v>
      </c>
      <c r="E215" s="38">
        <f>'演算'!U215</f>
        <v>32.64940082</v>
      </c>
      <c r="F215" s="38">
        <f t="shared" si="4"/>
        <v>-32.64940082</v>
      </c>
      <c r="G215" s="38">
        <f t="shared" si="5"/>
        <v>-505.9515186</v>
      </c>
      <c r="H215" s="38">
        <f t="shared" si="6"/>
        <v>322.4752279</v>
      </c>
      <c r="I215" s="39">
        <f t="shared" si="7"/>
        <v>599.9810095</v>
      </c>
      <c r="J215" s="38">
        <f t="shared" si="8"/>
        <v>32.51196525</v>
      </c>
      <c r="K215" s="38" t="str">
        <f t="shared" si="9"/>
        <v/>
      </c>
      <c r="L215" s="38">
        <f t="shared" si="10"/>
        <v>1</v>
      </c>
      <c r="M215" s="38">
        <f t="shared" si="11"/>
        <v>212.5119653</v>
      </c>
      <c r="N215" s="39">
        <f t="shared" si="12"/>
        <v>162.5119653</v>
      </c>
      <c r="O215" s="39">
        <f t="shared" si="13"/>
        <v>-572.2497236</v>
      </c>
      <c r="P215" s="39">
        <f t="shared" si="14"/>
        <v>-180.2982684</v>
      </c>
      <c r="Q215" s="38">
        <f t="shared" si="15"/>
        <v>-514.3003804</v>
      </c>
      <c r="R215" s="38">
        <f t="shared" si="16"/>
        <v>-309.0228449</v>
      </c>
      <c r="S215" s="40">
        <v>211.0</v>
      </c>
      <c r="T215" s="37">
        <f t="shared" si="24"/>
        <v>1.649400818</v>
      </c>
      <c r="U215" s="37">
        <f t="shared" si="18"/>
        <v>32.64940082</v>
      </c>
      <c r="V215" s="37">
        <f t="shared" si="23"/>
        <v>1.05565005</v>
      </c>
      <c r="W215" s="37">
        <f>'入力・結果'!$I$7/V215</f>
        <v>305498.9673</v>
      </c>
      <c r="X215" s="39">
        <f>(W215/I215*10)*'入力・結果'!$I$8</f>
        <v>3055.086369</v>
      </c>
      <c r="Y215" s="38">
        <f>DEGREES(ACOS(('入力・結果'!$G$3-('入力・結果'!$G$4*COS(RADIANS(S215))))/((('入力・結果'!$G$3^2)+('入力・結果'!$G$4^2)-(2*'入力・結果'!$G$3*'入力・結果'!$G$4*COS(RADIANS(S215))))^(1/2))))</f>
        <v>19.46603495</v>
      </c>
      <c r="Z215" s="38">
        <f>DEGREES(ACOS((('入力・結果'!$G$3^2)+('入力・結果'!$G$4^2)-('入力・結果'!$G$5^2)+('入力・結果'!$G$6^2)-(2*'入力・結果'!$G$3*'入力・結果'!$G$4*COS(RADIANS(S215))))/(2*'入力・結果'!$G$6*(('入力・結果'!$G$3^2)+('入力・結果'!$G$4^2)-(2*'入力・結果'!$G$3*'入力・結果'!$G$4*(COS(RADIANS(S215)))))^(1/2))))</f>
        <v>17.05146408</v>
      </c>
      <c r="AA215" s="38">
        <f>DEGREES(ACOS(('入力・結果'!$G$4-('入力・結果'!$G$3*COS(RADIANS(S215))))/((('入力・結果'!$G$3^2)+('入力・結果'!$G$4^2)-(2*'入力・結果'!$G$3*'入力・結果'!$G$4*COS(RADIANS(S215))))^(1/2))))</f>
        <v>11.53396505</v>
      </c>
      <c r="AB215" s="38">
        <f>DEGREES(ACOS((('入力・結果'!$G$3^2)+('入力・結果'!$G$4^2)+('入力・結果'!$G$5^2)-('入力・結果'!$G$6^2)-(2*'入力・結果'!$G$3*'入力・結果'!$G$4*COS(RADIANS(S215))))/(2*'入力・結果'!$G$5*(('入力・結果'!$G$3^2)+('入力・結果'!$G$4^2)-(2*'入力・結果'!$G$3*'入力・結果'!$G$4*(COS(RADIANS(S215)))))^(1/2))))</f>
        <v>13.18336586</v>
      </c>
      <c r="AC215" s="37">
        <f t="shared" si="19"/>
        <v>-244.913631</v>
      </c>
      <c r="AD215" s="37">
        <f t="shared" si="20"/>
        <v>0</v>
      </c>
      <c r="AE215" s="37" t="str">
        <f t="shared" si="21"/>
        <v/>
      </c>
      <c r="AF215" s="37" t="str">
        <f t="shared" si="22"/>
        <v/>
      </c>
      <c r="AG215" s="35"/>
      <c r="AH215" s="35"/>
      <c r="AI215" s="35"/>
      <c r="AJ215" s="35">
        <v>212.0</v>
      </c>
      <c r="AK215" s="35">
        <f t="shared" si="1"/>
        <v>0.9470519917</v>
      </c>
    </row>
    <row r="216" ht="12.75" customHeight="1">
      <c r="A216" s="35"/>
      <c r="B216" s="37">
        <v>212.0</v>
      </c>
      <c r="C216" s="38">
        <f t="shared" si="2"/>
        <v>-42.40240481</v>
      </c>
      <c r="D216" s="38">
        <f t="shared" si="3"/>
        <v>26.49596321</v>
      </c>
      <c r="E216" s="38">
        <f>'演算'!U216</f>
        <v>33.70530906</v>
      </c>
      <c r="F216" s="38">
        <f t="shared" si="4"/>
        <v>-33.70530906</v>
      </c>
      <c r="G216" s="38">
        <f t="shared" si="5"/>
        <v>-499.9488933</v>
      </c>
      <c r="H216" s="38">
        <f t="shared" si="6"/>
        <v>331.7027961</v>
      </c>
      <c r="I216" s="39">
        <f t="shared" si="7"/>
        <v>599.9797004</v>
      </c>
      <c r="J216" s="38">
        <f t="shared" si="8"/>
        <v>33.563216</v>
      </c>
      <c r="K216" s="38" t="str">
        <f t="shared" si="9"/>
        <v/>
      </c>
      <c r="L216" s="38">
        <f t="shared" si="10"/>
        <v>1</v>
      </c>
      <c r="M216" s="38">
        <f t="shared" si="11"/>
        <v>213.563216</v>
      </c>
      <c r="N216" s="39">
        <f t="shared" si="12"/>
        <v>163.563216</v>
      </c>
      <c r="O216" s="39">
        <f t="shared" si="13"/>
        <v>-575.4600378</v>
      </c>
      <c r="P216" s="39">
        <f t="shared" si="14"/>
        <v>-169.7686241</v>
      </c>
      <c r="Q216" s="38">
        <f t="shared" si="15"/>
        <v>-508.8288577</v>
      </c>
      <c r="R216" s="38">
        <f t="shared" si="16"/>
        <v>-317.9515585</v>
      </c>
      <c r="S216" s="40">
        <v>212.0</v>
      </c>
      <c r="T216" s="37">
        <f t="shared" si="24"/>
        <v>1.705309057</v>
      </c>
      <c r="U216" s="37">
        <f t="shared" si="18"/>
        <v>33.70530906</v>
      </c>
      <c r="V216" s="37">
        <f t="shared" si="23"/>
        <v>1.055908238</v>
      </c>
      <c r="W216" s="37">
        <f>'入力・結果'!$I$7/V216</f>
        <v>305424.2673</v>
      </c>
      <c r="X216" s="39">
        <f>(W216/I216*10)*'入力・結果'!$I$8</f>
        <v>3054.34601</v>
      </c>
      <c r="Y216" s="38">
        <f>DEGREES(ACOS(('入力・結果'!$G$3-('入力・結果'!$G$4*COS(RADIANS(S216))))/((('入力・結果'!$G$3^2)+('入力・結果'!$G$4^2)-(2*'入力・結果'!$G$3*'入力・結果'!$G$4*COS(RADIANS(S216))))^(1/2))))</f>
        <v>20.10031096</v>
      </c>
      <c r="Z216" s="38">
        <f>DEGREES(ACOS((('入力・結果'!$G$3^2)+('入力・結果'!$G$4^2)-('入力・結果'!$G$5^2)+('入力・結果'!$G$6^2)-(2*'入力・結果'!$G$3*'入力・結果'!$G$4*COS(RADIANS(S216))))/(2*'入力・結果'!$G$6*(('入力・結果'!$G$3^2)+('入力・結果'!$G$4^2)-(2*'入力・結果'!$G$3*'入力・結果'!$G$4*(COS(RADIANS(S216)))))^(1/2))))</f>
        <v>17.60388879</v>
      </c>
      <c r="AA216" s="38">
        <f>DEGREES(ACOS(('入力・結果'!$G$4-('入力・結果'!$G$3*COS(RADIANS(S216))))/((('入力・結果'!$G$3^2)+('入力・結果'!$G$4^2)-(2*'入力・結果'!$G$3*'入力・結果'!$G$4*COS(RADIANS(S216))))^(1/2))))</f>
        <v>11.89968904</v>
      </c>
      <c r="AB216" s="38">
        <f>DEGREES(ACOS((('入力・結果'!$G$3^2)+('入力・結果'!$G$4^2)+('入力・結果'!$G$5^2)-('入力・結果'!$G$6^2)-(2*'入力・結果'!$G$3*'入力・結果'!$G$4*COS(RADIANS(S216))))/(2*'入力・結果'!$G$5*(('入力・結果'!$G$3^2)+('入力・結果'!$G$4^2)-(2*'入力・結果'!$G$3*'入力・結果'!$G$4*(COS(RADIANS(S216)))))^(1/2))))</f>
        <v>13.6049981</v>
      </c>
      <c r="AC216" s="37">
        <f t="shared" si="19"/>
        <v>-245.6539901</v>
      </c>
      <c r="AD216" s="37">
        <f t="shared" si="20"/>
        <v>0</v>
      </c>
      <c r="AE216" s="37" t="str">
        <f t="shared" si="21"/>
        <v/>
      </c>
      <c r="AF216" s="37" t="str">
        <f t="shared" si="22"/>
        <v/>
      </c>
      <c r="AG216" s="35"/>
      <c r="AH216" s="35"/>
      <c r="AI216" s="35"/>
      <c r="AJ216" s="35">
        <v>213.0</v>
      </c>
      <c r="AK216" s="35">
        <f t="shared" si="1"/>
        <v>0.9468115368</v>
      </c>
    </row>
    <row r="217" ht="12.75" customHeight="1">
      <c r="A217" s="35"/>
      <c r="B217" s="37">
        <v>213.0</v>
      </c>
      <c r="C217" s="38">
        <f t="shared" si="2"/>
        <v>-41.9335284</v>
      </c>
      <c r="D217" s="38">
        <f t="shared" si="3"/>
        <v>27.23195175</v>
      </c>
      <c r="E217" s="38">
        <f>'演算'!U217</f>
        <v>34.76148546</v>
      </c>
      <c r="F217" s="38">
        <f t="shared" si="4"/>
        <v>-34.76148546</v>
      </c>
      <c r="G217" s="38">
        <f t="shared" si="5"/>
        <v>-493.7764916</v>
      </c>
      <c r="H217" s="38">
        <f t="shared" si="6"/>
        <v>340.8207535</v>
      </c>
      <c r="I217" s="39">
        <f t="shared" si="7"/>
        <v>599.978341</v>
      </c>
      <c r="J217" s="38">
        <f t="shared" si="8"/>
        <v>34.61471267</v>
      </c>
      <c r="K217" s="38" t="str">
        <f t="shared" si="9"/>
        <v/>
      </c>
      <c r="L217" s="38">
        <f t="shared" si="10"/>
        <v>1</v>
      </c>
      <c r="M217" s="38">
        <f t="shared" si="11"/>
        <v>214.6147127</v>
      </c>
      <c r="N217" s="39">
        <f t="shared" si="12"/>
        <v>164.6147127</v>
      </c>
      <c r="O217" s="39">
        <f t="shared" si="13"/>
        <v>-578.4772551</v>
      </c>
      <c r="P217" s="39">
        <f t="shared" si="14"/>
        <v>-159.1793801</v>
      </c>
      <c r="Q217" s="38">
        <f t="shared" si="15"/>
        <v>-503.2023408</v>
      </c>
      <c r="R217" s="38">
        <f t="shared" si="16"/>
        <v>-326.783421</v>
      </c>
      <c r="S217" s="40">
        <v>213.0</v>
      </c>
      <c r="T217" s="37">
        <f t="shared" si="24"/>
        <v>1.761485456</v>
      </c>
      <c r="U217" s="37">
        <f t="shared" si="18"/>
        <v>34.76148546</v>
      </c>
      <c r="V217" s="37">
        <f t="shared" si="23"/>
        <v>1.0561764</v>
      </c>
      <c r="W217" s="37">
        <f>'入力・結果'!$I$7/V217</f>
        <v>305346.7206</v>
      </c>
      <c r="X217" s="39">
        <f>(W217/I217*10)*'入力・結果'!$I$8</f>
        <v>3053.577435</v>
      </c>
      <c r="Y217" s="38">
        <f>DEGREES(ACOS(('入力・結果'!$G$3-('入力・結果'!$G$4*COS(RADIANS(S217))))/((('入力・結果'!$G$3^2)+('入力・結果'!$G$4^2)-(2*'入力・結果'!$G$3*'入力・結果'!$G$4*COS(RADIANS(S217))))^(1/2))))</f>
        <v>20.73521523</v>
      </c>
      <c r="Z217" s="38">
        <f>DEGREES(ACOS((('入力・結果'!$G$3^2)+('入力・結果'!$G$4^2)-('入力・結果'!$G$5^2)+('入力・結果'!$G$6^2)-(2*'入力・結果'!$G$3*'入力・結果'!$G$4*COS(RADIANS(S217))))/(2*'入力・結果'!$G$6*(('入力・結果'!$G$3^2)+('入力・結果'!$G$4^2)-(2*'入力・結果'!$G$3*'入力・結果'!$G$4*(COS(RADIANS(S217)))))^(1/2))))</f>
        <v>18.15654847</v>
      </c>
      <c r="AA217" s="38">
        <f>DEGREES(ACOS(('入力・結果'!$G$4-('入力・結果'!$G$3*COS(RADIANS(S217))))/((('入力・結果'!$G$3^2)+('入力・結果'!$G$4^2)-(2*'入力・結果'!$G$3*'入力・結果'!$G$4*COS(RADIANS(S217))))^(1/2))))</f>
        <v>12.26478477</v>
      </c>
      <c r="AB217" s="38">
        <f>DEGREES(ACOS((('入力・結果'!$G$3^2)+('入力・結果'!$G$4^2)+('入力・結果'!$G$5^2)-('入力・結果'!$G$6^2)-(2*'入力・結果'!$G$3*'入力・結果'!$G$4*COS(RADIANS(S217))))/(2*'入力・結果'!$G$5*(('入力・結果'!$G$3^2)+('入力・結果'!$G$4^2)-(2*'入力・結果'!$G$3*'入力・結果'!$G$4*(COS(RADIANS(S217)))))^(1/2))))</f>
        <v>14.02627023</v>
      </c>
      <c r="AC217" s="37">
        <f t="shared" si="19"/>
        <v>-246.4225648</v>
      </c>
      <c r="AD217" s="37">
        <f t="shared" si="20"/>
        <v>0</v>
      </c>
      <c r="AE217" s="37" t="str">
        <f t="shared" si="21"/>
        <v/>
      </c>
      <c r="AF217" s="37" t="str">
        <f t="shared" si="22"/>
        <v/>
      </c>
      <c r="AG217" s="35"/>
      <c r="AH217" s="35"/>
      <c r="AI217" s="35"/>
      <c r="AJ217" s="35">
        <v>214.0</v>
      </c>
      <c r="AK217" s="35">
        <f t="shared" si="1"/>
        <v>0.9465621161</v>
      </c>
    </row>
    <row r="218" ht="12.75" customHeight="1">
      <c r="A218" s="35"/>
      <c r="B218" s="37">
        <v>214.0</v>
      </c>
      <c r="C218" s="38">
        <f t="shared" si="2"/>
        <v>-41.45187863</v>
      </c>
      <c r="D218" s="38">
        <f t="shared" si="3"/>
        <v>27.95964517</v>
      </c>
      <c r="E218" s="38">
        <f>'演算'!U218</f>
        <v>35.81794016</v>
      </c>
      <c r="F218" s="38">
        <f t="shared" si="4"/>
        <v>-35.81794016</v>
      </c>
      <c r="G218" s="38">
        <f t="shared" si="5"/>
        <v>-487.4362198</v>
      </c>
      <c r="H218" s="38">
        <f t="shared" si="6"/>
        <v>349.8260265</v>
      </c>
      <c r="I218" s="39">
        <f t="shared" si="7"/>
        <v>599.9769305</v>
      </c>
      <c r="J218" s="38">
        <f t="shared" si="8"/>
        <v>35.66646456</v>
      </c>
      <c r="K218" s="38" t="str">
        <f t="shared" si="9"/>
        <v/>
      </c>
      <c r="L218" s="38">
        <f t="shared" si="10"/>
        <v>1</v>
      </c>
      <c r="M218" s="38">
        <f t="shared" si="11"/>
        <v>215.6664646</v>
      </c>
      <c r="N218" s="39">
        <f t="shared" si="12"/>
        <v>165.6664646</v>
      </c>
      <c r="O218" s="39">
        <f t="shared" si="13"/>
        <v>-581.3002463</v>
      </c>
      <c r="P218" s="39">
        <f t="shared" si="14"/>
        <v>-148.5339722</v>
      </c>
      <c r="Q218" s="38">
        <f t="shared" si="15"/>
        <v>-497.4225435</v>
      </c>
      <c r="R218" s="38">
        <f t="shared" si="16"/>
        <v>-335.5157421</v>
      </c>
      <c r="S218" s="40">
        <v>214.0</v>
      </c>
      <c r="T218" s="37">
        <f t="shared" si="24"/>
        <v>1.81794016</v>
      </c>
      <c r="U218" s="37">
        <f t="shared" si="18"/>
        <v>35.81794016</v>
      </c>
      <c r="V218" s="37">
        <f t="shared" si="23"/>
        <v>1.056454704</v>
      </c>
      <c r="W218" s="37">
        <f>'入力・結果'!$I$7/V218</f>
        <v>305266.2824</v>
      </c>
      <c r="X218" s="39">
        <f>(W218/I218*10)*'入力・結果'!$I$8</f>
        <v>3052.780201</v>
      </c>
      <c r="Y218" s="38">
        <f>DEGREES(ACOS(('入力・結果'!$G$3-('入力・結果'!$G$4*COS(RADIANS(S218))))/((('入力・結果'!$G$3^2)+('入力・結果'!$G$4^2)-(2*'入力・結果'!$G$3*'入力・結果'!$G$4*COS(RADIANS(S218))))^(1/2))))</f>
        <v>21.37077137</v>
      </c>
      <c r="Z218" s="38">
        <f>DEGREES(ACOS((('入力・結果'!$G$3^2)+('入力・結果'!$G$4^2)-('入力・結果'!$G$5^2)+('入力・結果'!$G$6^2)-(2*'入力・結果'!$G$3*'入力・結果'!$G$4*COS(RADIANS(S218))))/(2*'入力・結果'!$G$6*(('入力・結果'!$G$3^2)+('入力・結果'!$G$4^2)-(2*'入力・結果'!$G$3*'入力・結果'!$G$4*(COS(RADIANS(S218)))))^(1/2))))</f>
        <v>18.70945186</v>
      </c>
      <c r="AA218" s="38">
        <f>DEGREES(ACOS(('入力・結果'!$G$4-('入力・結果'!$G$3*COS(RADIANS(S218))))/((('入力・結果'!$G$3^2)+('入力・結果'!$G$4^2)-(2*'入力・結果'!$G$3*'入力・結果'!$G$4*COS(RADIANS(S218))))^(1/2))))</f>
        <v>12.62922863</v>
      </c>
      <c r="AB218" s="38">
        <f>DEGREES(ACOS((('入力・結果'!$G$3^2)+('入力・結果'!$G$4^2)+('入力・結果'!$G$5^2)-('入力・結果'!$G$6^2)-(2*'入力・結果'!$G$3*'入力・結果'!$G$4*COS(RADIANS(S218))))/(2*'入力・結果'!$G$5*(('入力・結果'!$G$3^2)+('入力・結果'!$G$4^2)-(2*'入力・結果'!$G$3*'入力・結果'!$G$4*(COS(RADIANS(S218)))))^(1/2))))</f>
        <v>14.44716879</v>
      </c>
      <c r="AC218" s="37">
        <f t="shared" si="19"/>
        <v>-247.2197991</v>
      </c>
      <c r="AD218" s="37">
        <f t="shared" si="20"/>
        <v>0</v>
      </c>
      <c r="AE218" s="37" t="str">
        <f t="shared" si="21"/>
        <v/>
      </c>
      <c r="AF218" s="37" t="str">
        <f t="shared" si="22"/>
        <v/>
      </c>
      <c r="AG218" s="35"/>
      <c r="AH218" s="35"/>
      <c r="AI218" s="35"/>
      <c r="AJ218" s="35">
        <v>215.0</v>
      </c>
      <c r="AK218" s="35">
        <f t="shared" si="1"/>
        <v>0.9463035844</v>
      </c>
    </row>
    <row r="219" ht="12.75" customHeight="1">
      <c r="A219" s="35"/>
      <c r="B219" s="37">
        <v>215.0</v>
      </c>
      <c r="C219" s="38">
        <f t="shared" si="2"/>
        <v>-40.95760221</v>
      </c>
      <c r="D219" s="38">
        <f t="shared" si="3"/>
        <v>28.67882182</v>
      </c>
      <c r="E219" s="38">
        <f>'演算'!U219</f>
        <v>36.87468349</v>
      </c>
      <c r="F219" s="38">
        <f t="shared" si="4"/>
        <v>-36.87468349</v>
      </c>
      <c r="G219" s="38">
        <f t="shared" si="5"/>
        <v>-480.9300362</v>
      </c>
      <c r="H219" s="38">
        <f t="shared" si="6"/>
        <v>358.7155733</v>
      </c>
      <c r="I219" s="39">
        <f t="shared" si="7"/>
        <v>599.975468</v>
      </c>
      <c r="J219" s="38">
        <f t="shared" si="8"/>
        <v>36.71848116</v>
      </c>
      <c r="K219" s="38" t="str">
        <f t="shared" si="9"/>
        <v/>
      </c>
      <c r="L219" s="38">
        <f t="shared" si="10"/>
        <v>1</v>
      </c>
      <c r="M219" s="38">
        <f t="shared" si="11"/>
        <v>216.7184812</v>
      </c>
      <c r="N219" s="39">
        <f t="shared" si="12"/>
        <v>166.7184812</v>
      </c>
      <c r="O219" s="39">
        <f t="shared" si="13"/>
        <v>-583.92794</v>
      </c>
      <c r="P219" s="39">
        <f t="shared" si="14"/>
        <v>-137.8358558</v>
      </c>
      <c r="Q219" s="38">
        <f t="shared" si="15"/>
        <v>-491.4912266</v>
      </c>
      <c r="R219" s="38">
        <f t="shared" si="16"/>
        <v>-344.1458618</v>
      </c>
      <c r="S219" s="40">
        <v>215.0</v>
      </c>
      <c r="T219" s="37">
        <f t="shared" si="24"/>
        <v>1.874683489</v>
      </c>
      <c r="U219" s="37">
        <f t="shared" si="18"/>
        <v>36.87468349</v>
      </c>
      <c r="V219" s="37">
        <f t="shared" si="23"/>
        <v>1.056743329</v>
      </c>
      <c r="W219" s="37">
        <f>'入力・結果'!$I$7/V219</f>
        <v>305182.906</v>
      </c>
      <c r="X219" s="39">
        <f>(W219/I219*10)*'入力・結果'!$I$8</f>
        <v>3051.953844</v>
      </c>
      <c r="Y219" s="38">
        <f>DEGREES(ACOS(('入力・結果'!$G$3-('入力・結果'!$G$4*COS(RADIANS(S219))))/((('入力・結果'!$G$3^2)+('入力・結果'!$G$4^2)-(2*'入力・結果'!$G$3*'入力・結果'!$G$4*COS(RADIANS(S219))))^(1/2))))</f>
        <v>22.00700338</v>
      </c>
      <c r="Z219" s="38">
        <f>DEGREES(ACOS((('入力・結果'!$G$3^2)+('入力・結果'!$G$4^2)-('入力・結果'!$G$5^2)+('入力・結果'!$G$6^2)-(2*'入力・結果'!$G$3*'入力・結果'!$G$4*COS(RADIANS(S219))))/(2*'入力・結果'!$G$6*(('入力・結果'!$G$3^2)+('入力・結果'!$G$4^2)-(2*'入力・結果'!$G$3*'入力・結果'!$G$4*(COS(RADIANS(S219)))))^(1/2))))</f>
        <v>19.26260782</v>
      </c>
      <c r="AA219" s="38">
        <f>DEGREES(ACOS(('入力・結果'!$G$4-('入力・結果'!$G$3*COS(RADIANS(S219))))/((('入力・結果'!$G$3^2)+('入力・結果'!$G$4^2)-(2*'入力・結果'!$G$3*'入力・結果'!$G$4*COS(RADIANS(S219))))^(1/2))))</f>
        <v>12.99299662</v>
      </c>
      <c r="AB219" s="38">
        <f>DEGREES(ACOS((('入力・結果'!$G$3^2)+('入力・結果'!$G$4^2)+('入力・結果'!$G$5^2)-('入力・結果'!$G$6^2)-(2*'入力・結果'!$G$3*'入力・結果'!$G$4*COS(RADIANS(S219))))/(2*'入力・結果'!$G$5*(('入力・結果'!$G$3^2)+('入力・結果'!$G$4^2)-(2*'入力・結果'!$G$3*'入力・結果'!$G$4*(COS(RADIANS(S219)))))^(1/2))))</f>
        <v>14.8676801</v>
      </c>
      <c r="AC219" s="37">
        <f t="shared" si="19"/>
        <v>-248.0461564</v>
      </c>
      <c r="AD219" s="37">
        <f t="shared" si="20"/>
        <v>0</v>
      </c>
      <c r="AE219" s="37" t="str">
        <f t="shared" si="21"/>
        <v/>
      </c>
      <c r="AF219" s="37" t="str">
        <f t="shared" si="22"/>
        <v/>
      </c>
      <c r="AG219" s="35"/>
      <c r="AH219" s="35"/>
      <c r="AI219" s="35"/>
      <c r="AJ219" s="35">
        <v>216.0</v>
      </c>
      <c r="AK219" s="35">
        <f t="shared" si="1"/>
        <v>0.9460357906</v>
      </c>
    </row>
    <row r="220" ht="12.75" customHeight="1">
      <c r="A220" s="35"/>
      <c r="B220" s="37">
        <v>216.0</v>
      </c>
      <c r="C220" s="38">
        <f t="shared" si="2"/>
        <v>-40.45084972</v>
      </c>
      <c r="D220" s="38">
        <f t="shared" si="3"/>
        <v>29.38926261</v>
      </c>
      <c r="E220" s="38">
        <f>'演算'!U220</f>
        <v>37.93172595</v>
      </c>
      <c r="F220" s="38">
        <f t="shared" si="4"/>
        <v>-37.93172595</v>
      </c>
      <c r="G220" s="38">
        <f t="shared" si="5"/>
        <v>-474.259951</v>
      </c>
      <c r="H220" s="38">
        <f t="shared" si="6"/>
        <v>367.4863843</v>
      </c>
      <c r="I220" s="39">
        <f t="shared" si="7"/>
        <v>599.9739525</v>
      </c>
      <c r="J220" s="38">
        <f t="shared" si="8"/>
        <v>37.77077208</v>
      </c>
      <c r="K220" s="38" t="str">
        <f t="shared" si="9"/>
        <v/>
      </c>
      <c r="L220" s="38">
        <f t="shared" si="10"/>
        <v>1</v>
      </c>
      <c r="M220" s="38">
        <f t="shared" si="11"/>
        <v>217.7707721</v>
      </c>
      <c r="N220" s="39">
        <f t="shared" si="12"/>
        <v>167.7707721</v>
      </c>
      <c r="O220" s="39">
        <f t="shared" si="13"/>
        <v>-586.3593228</v>
      </c>
      <c r="P220" s="39">
        <f t="shared" si="14"/>
        <v>-127.0885055</v>
      </c>
      <c r="Q220" s="38">
        <f t="shared" si="15"/>
        <v>-485.4101966</v>
      </c>
      <c r="R220" s="38">
        <f t="shared" si="16"/>
        <v>-352.6711514</v>
      </c>
      <c r="S220" s="40">
        <v>216.0</v>
      </c>
      <c r="T220" s="37">
        <f t="shared" si="24"/>
        <v>1.93172595</v>
      </c>
      <c r="U220" s="37">
        <f t="shared" si="18"/>
        <v>37.93172595</v>
      </c>
      <c r="V220" s="37">
        <f t="shared" si="23"/>
        <v>1.057042461</v>
      </c>
      <c r="W220" s="37">
        <f>'入力・結果'!$I$7/V220</f>
        <v>305096.5425</v>
      </c>
      <c r="X220" s="39">
        <f>(W220/I220*10)*'入力・結果'!$I$8</f>
        <v>3051.09788</v>
      </c>
      <c r="Y220" s="38">
        <f>DEGREES(ACOS(('入力・結果'!$G$3-('入力・結果'!$G$4*COS(RADIANS(S220))))/((('入力・結果'!$G$3^2)+('入力・結果'!$G$4^2)-(2*'入力・結果'!$G$3*'入力・結果'!$G$4*COS(RADIANS(S220))))^(1/2))))</f>
        <v>22.6439357</v>
      </c>
      <c r="Z220" s="38">
        <f>DEGREES(ACOS((('入力・結果'!$G$3^2)+('入力・結果'!$G$4^2)-('入力・結果'!$G$5^2)+('入力・結果'!$G$6^2)-(2*'入力・結果'!$G$3*'入力・結果'!$G$4*COS(RADIANS(S220))))/(2*'入力・結果'!$G$6*(('入力・結果'!$G$3^2)+('入力・結果'!$G$4^2)-(2*'入力・結果'!$G$3*'入力・結果'!$G$4*(COS(RADIANS(S220)))))^(1/2))))</f>
        <v>19.81602536</v>
      </c>
      <c r="AA220" s="38">
        <f>DEGREES(ACOS(('入力・結果'!$G$4-('入力・結果'!$G$3*COS(RADIANS(S220))))/((('入力・結果'!$G$3^2)+('入力・結果'!$G$4^2)-(2*'入力・結果'!$G$3*'入力・結果'!$G$4*COS(RADIANS(S220))))^(1/2))))</f>
        <v>13.3560643</v>
      </c>
      <c r="AB220" s="38">
        <f>DEGREES(ACOS((('入力・結果'!$G$3^2)+('入力・結果'!$G$4^2)+('入力・結果'!$G$5^2)-('入力・結果'!$G$6^2)-(2*'入力・結果'!$G$3*'入力・結果'!$G$4*COS(RADIANS(S220))))/(2*'入力・結果'!$G$5*(('入力・結果'!$G$3^2)+('入力・結果'!$G$4^2)-(2*'入力・結果'!$G$3*'入力・結果'!$G$4*(COS(RADIANS(S220)))))^(1/2))))</f>
        <v>15.28779025</v>
      </c>
      <c r="AC220" s="37">
        <f t="shared" si="19"/>
        <v>-248.9021197</v>
      </c>
      <c r="AD220" s="37">
        <f t="shared" si="20"/>
        <v>0</v>
      </c>
      <c r="AE220" s="37" t="str">
        <f t="shared" si="21"/>
        <v/>
      </c>
      <c r="AF220" s="37" t="str">
        <f t="shared" si="22"/>
        <v/>
      </c>
      <c r="AG220" s="35"/>
      <c r="AH220" s="35"/>
      <c r="AI220" s="35"/>
      <c r="AJ220" s="35">
        <v>217.0</v>
      </c>
      <c r="AK220" s="35">
        <f t="shared" si="1"/>
        <v>0.9457585773</v>
      </c>
    </row>
    <row r="221" ht="12.75" customHeight="1">
      <c r="A221" s="35"/>
      <c r="B221" s="37">
        <v>217.0</v>
      </c>
      <c r="C221" s="38">
        <f t="shared" si="2"/>
        <v>-39.9317755</v>
      </c>
      <c r="D221" s="38">
        <f t="shared" si="3"/>
        <v>30.09075116</v>
      </c>
      <c r="E221" s="38">
        <f>'演算'!U221</f>
        <v>38.98907824</v>
      </c>
      <c r="F221" s="38">
        <f t="shared" si="4"/>
        <v>-38.98907824</v>
      </c>
      <c r="G221" s="38">
        <f t="shared" si="5"/>
        <v>-467.4280253</v>
      </c>
      <c r="H221" s="38">
        <f t="shared" si="6"/>
        <v>376.1354829</v>
      </c>
      <c r="I221" s="39">
        <f t="shared" si="7"/>
        <v>599.972383</v>
      </c>
      <c r="J221" s="38">
        <f t="shared" si="8"/>
        <v>38.82334716</v>
      </c>
      <c r="K221" s="38" t="str">
        <f t="shared" si="9"/>
        <v/>
      </c>
      <c r="L221" s="38">
        <f t="shared" si="10"/>
        <v>1</v>
      </c>
      <c r="M221" s="38">
        <f t="shared" si="11"/>
        <v>218.8233472</v>
      </c>
      <c r="N221" s="39">
        <f t="shared" si="12"/>
        <v>168.8233472</v>
      </c>
      <c r="O221" s="39">
        <f t="shared" si="13"/>
        <v>-588.5934397</v>
      </c>
      <c r="P221" s="39">
        <f t="shared" si="14"/>
        <v>-116.2954134</v>
      </c>
      <c r="Q221" s="38">
        <f t="shared" si="15"/>
        <v>-479.181306</v>
      </c>
      <c r="R221" s="38">
        <f t="shared" si="16"/>
        <v>-361.0890139</v>
      </c>
      <c r="S221" s="40">
        <v>217.0</v>
      </c>
      <c r="T221" s="37">
        <f t="shared" si="24"/>
        <v>1.989078242</v>
      </c>
      <c r="U221" s="37">
        <f t="shared" si="18"/>
        <v>38.98907824</v>
      </c>
      <c r="V221" s="37">
        <f t="shared" si="23"/>
        <v>1.057352293</v>
      </c>
      <c r="W221" s="37">
        <f>'入力・結果'!$I$7/V221</f>
        <v>305007.1412</v>
      </c>
      <c r="X221" s="39">
        <f>(W221/I221*10)*'入力・結果'!$I$8</f>
        <v>3050.211808</v>
      </c>
      <c r="Y221" s="38">
        <f>DEGREES(ACOS(('入力・結果'!$G$3-('入力・結果'!$G$4*COS(RADIANS(S221))))/((('入力・結果'!$G$3^2)+('入力・結果'!$G$4^2)-(2*'入力・結果'!$G$3*'入力・結果'!$G$4*COS(RADIANS(S221))))^(1/2))))</f>
        <v>23.28159318</v>
      </c>
      <c r="Z221" s="38">
        <f>DEGREES(ACOS((('入力・結果'!$G$3^2)+('入力・結果'!$G$4^2)-('入力・結果'!$G$5^2)+('入力・結果'!$G$6^2)-(2*'入力・結果'!$G$3*'入力・結果'!$G$4*COS(RADIANS(S221))))/(2*'入力・結果'!$G$6*(('入力・結果'!$G$3^2)+('入力・結果'!$G$4^2)-(2*'入力・結果'!$G$3*'入力・結果'!$G$4*(COS(RADIANS(S221)))))^(1/2))))</f>
        <v>20.36971362</v>
      </c>
      <c r="AA221" s="38">
        <f>DEGREES(ACOS(('入力・結果'!$G$4-('入力・結果'!$G$3*COS(RADIANS(S221))))/((('入力・結果'!$G$3^2)+('入力・結果'!$G$4^2)-(2*'入力・結果'!$G$3*'入力・結果'!$G$4*COS(RADIANS(S221))))^(1/2))))</f>
        <v>13.71840682</v>
      </c>
      <c r="AB221" s="38">
        <f>DEGREES(ACOS((('入力・結果'!$G$3^2)+('入力・結果'!$G$4^2)+('入力・結果'!$G$5^2)-('入力・結果'!$G$6^2)-(2*'入力・結果'!$G$3*'入力・結果'!$G$4*COS(RADIANS(S221))))/(2*'入力・結果'!$G$5*(('入力・結果'!$G$3^2)+('入力・結果'!$G$4^2)-(2*'入力・結果'!$G$3*'入力・結果'!$G$4*(COS(RADIANS(S221)))))^(1/2))))</f>
        <v>15.70748507</v>
      </c>
      <c r="AC221" s="37">
        <f t="shared" si="19"/>
        <v>-249.7881922</v>
      </c>
      <c r="AD221" s="37">
        <f t="shared" si="20"/>
        <v>0</v>
      </c>
      <c r="AE221" s="37" t="str">
        <f t="shared" si="21"/>
        <v/>
      </c>
      <c r="AF221" s="37" t="str">
        <f t="shared" si="22"/>
        <v/>
      </c>
      <c r="AG221" s="35"/>
      <c r="AH221" s="35"/>
      <c r="AI221" s="35"/>
      <c r="AJ221" s="35">
        <v>218.0</v>
      </c>
      <c r="AK221" s="35">
        <f t="shared" si="1"/>
        <v>0.9454717804</v>
      </c>
    </row>
    <row r="222" ht="12.75" customHeight="1">
      <c r="A222" s="35"/>
      <c r="B222" s="37">
        <v>218.0</v>
      </c>
      <c r="C222" s="38">
        <f t="shared" si="2"/>
        <v>-39.40053768</v>
      </c>
      <c r="D222" s="38">
        <f t="shared" si="3"/>
        <v>30.78307377</v>
      </c>
      <c r="E222" s="38">
        <f>'演算'!U222</f>
        <v>40.04675127</v>
      </c>
      <c r="F222" s="38">
        <f t="shared" si="4"/>
        <v>-40.04675127</v>
      </c>
      <c r="G222" s="38">
        <f t="shared" si="5"/>
        <v>-460.436371</v>
      </c>
      <c r="H222" s="38">
        <f t="shared" si="6"/>
        <v>384.6599268</v>
      </c>
      <c r="I222" s="39">
        <f t="shared" si="7"/>
        <v>599.9707584</v>
      </c>
      <c r="J222" s="38">
        <f t="shared" si="8"/>
        <v>39.87621637</v>
      </c>
      <c r="K222" s="38" t="str">
        <f t="shared" si="9"/>
        <v/>
      </c>
      <c r="L222" s="38">
        <f t="shared" si="10"/>
        <v>1</v>
      </c>
      <c r="M222" s="38">
        <f t="shared" si="11"/>
        <v>219.8762164</v>
      </c>
      <c r="N222" s="39">
        <f t="shared" si="12"/>
        <v>169.8762164</v>
      </c>
      <c r="O222" s="39">
        <f t="shared" si="13"/>
        <v>-590.6293937</v>
      </c>
      <c r="P222" s="39">
        <f t="shared" si="14"/>
        <v>-105.4600885</v>
      </c>
      <c r="Q222" s="38">
        <f t="shared" si="15"/>
        <v>-472.8064522</v>
      </c>
      <c r="R222" s="38">
        <f t="shared" si="16"/>
        <v>-369.3968852</v>
      </c>
      <c r="S222" s="40">
        <v>218.0</v>
      </c>
      <c r="T222" s="37">
        <f t="shared" si="24"/>
        <v>2.046751269</v>
      </c>
      <c r="U222" s="37">
        <f t="shared" si="18"/>
        <v>40.04675127</v>
      </c>
      <c r="V222" s="37">
        <f t="shared" si="23"/>
        <v>1.057673027</v>
      </c>
      <c r="W222" s="37">
        <f>'入力・結果'!$I$7/V222</f>
        <v>304914.6492</v>
      </c>
      <c r="X222" s="39">
        <f>(W222/I222*10)*'入力・結果'!$I$8</f>
        <v>3049.295102</v>
      </c>
      <c r="Y222" s="38">
        <f>DEGREES(ACOS(('入力・結果'!$G$3-('入力・結果'!$G$4*COS(RADIANS(S222))))/((('入力・結果'!$G$3^2)+('入力・結果'!$G$4^2)-(2*'入力・結果'!$G$3*'入力・結果'!$G$4*COS(RADIANS(S222))))^(1/2))))</f>
        <v>23.92000112</v>
      </c>
      <c r="Z222" s="38">
        <f>DEGREES(ACOS((('入力・結果'!$G$3^2)+('入力・結果'!$G$4^2)-('入力・結果'!$G$5^2)+('入力・結果'!$G$6^2)-(2*'入力・結果'!$G$3*'入力・結果'!$G$4*COS(RADIANS(S222))))/(2*'入力・結果'!$G$6*(('入力・結果'!$G$3^2)+('入力・結果'!$G$4^2)-(2*'入力・結果'!$G$3*'入力・結果'!$G$4*(COS(RADIANS(S222)))))^(1/2))))</f>
        <v>20.92368193</v>
      </c>
      <c r="AA222" s="38">
        <f>DEGREES(ACOS(('入力・結果'!$G$4-('入力・結果'!$G$3*COS(RADIANS(S222))))/((('入力・結果'!$G$3^2)+('入力・結果'!$G$4^2)-(2*'入力・結果'!$G$3*'入力・結果'!$G$4*COS(RADIANS(S222))))^(1/2))))</f>
        <v>14.07999888</v>
      </c>
      <c r="AB222" s="38">
        <f>DEGREES(ACOS((('入力・結果'!$G$3^2)+('入力・結果'!$G$4^2)+('入力・結果'!$G$5^2)-('入力・結果'!$G$6^2)-(2*'入力・結果'!$G$3*'入力・結果'!$G$4*COS(RADIANS(S222))))/(2*'入力・結果'!$G$5*(('入力・結果'!$G$3^2)+('入力・結果'!$G$4^2)-(2*'入力・結果'!$G$3*'入力・結果'!$G$4*(COS(RADIANS(S222)))))^(1/2))))</f>
        <v>16.12675015</v>
      </c>
      <c r="AC222" s="37">
        <f t="shared" si="19"/>
        <v>-250.7048979</v>
      </c>
      <c r="AD222" s="37">
        <f t="shared" si="20"/>
        <v>0</v>
      </c>
      <c r="AE222" s="37" t="str">
        <f t="shared" si="21"/>
        <v/>
      </c>
      <c r="AF222" s="37" t="str">
        <f t="shared" si="22"/>
        <v/>
      </c>
      <c r="AG222" s="35"/>
      <c r="AH222" s="35"/>
      <c r="AI222" s="35"/>
      <c r="AJ222" s="35">
        <v>219.0</v>
      </c>
      <c r="AK222" s="35">
        <f t="shared" si="1"/>
        <v>0.9451752292</v>
      </c>
    </row>
    <row r="223" ht="12.75" customHeight="1">
      <c r="A223" s="35"/>
      <c r="B223" s="37">
        <v>219.0</v>
      </c>
      <c r="C223" s="38">
        <f t="shared" si="2"/>
        <v>-38.85729807</v>
      </c>
      <c r="D223" s="38">
        <f t="shared" si="3"/>
        <v>31.46601955</v>
      </c>
      <c r="E223" s="38">
        <f>'演算'!U223</f>
        <v>41.10475614</v>
      </c>
      <c r="F223" s="38">
        <f t="shared" si="4"/>
        <v>-41.10475614</v>
      </c>
      <c r="G223" s="38">
        <f t="shared" si="5"/>
        <v>-453.2871495</v>
      </c>
      <c r="H223" s="38">
        <f t="shared" si="6"/>
        <v>393.056808</v>
      </c>
      <c r="I223" s="39">
        <f t="shared" si="7"/>
        <v>599.9690777</v>
      </c>
      <c r="J223" s="38">
        <f t="shared" si="8"/>
        <v>40.92938993</v>
      </c>
      <c r="K223" s="38" t="str">
        <f t="shared" si="9"/>
        <v/>
      </c>
      <c r="L223" s="38">
        <f t="shared" si="10"/>
        <v>1</v>
      </c>
      <c r="M223" s="38">
        <f t="shared" si="11"/>
        <v>220.9293899</v>
      </c>
      <c r="N223" s="39">
        <f t="shared" si="12"/>
        <v>170.9293899</v>
      </c>
      <c r="O223" s="39">
        <f t="shared" si="13"/>
        <v>-592.4663469</v>
      </c>
      <c r="P223" s="39">
        <f t="shared" si="14"/>
        <v>-94.58605593</v>
      </c>
      <c r="Q223" s="38">
        <f t="shared" si="15"/>
        <v>-466.2875769</v>
      </c>
      <c r="R223" s="38">
        <f t="shared" si="16"/>
        <v>-377.5922346</v>
      </c>
      <c r="S223" s="40">
        <v>219.0</v>
      </c>
      <c r="T223" s="37">
        <f t="shared" si="24"/>
        <v>2.104756144</v>
      </c>
      <c r="U223" s="37">
        <f t="shared" si="18"/>
        <v>41.10475614</v>
      </c>
      <c r="V223" s="37">
        <f t="shared" si="23"/>
        <v>1.058004875</v>
      </c>
      <c r="W223" s="37">
        <f>'入力・結果'!$I$7/V223</f>
        <v>304819.0114</v>
      </c>
      <c r="X223" s="39">
        <f>(W223/I223*10)*'入力・結果'!$I$8</f>
        <v>3048.347218</v>
      </c>
      <c r="Y223" s="38">
        <f>DEGREES(ACOS(('入力・結果'!$G$3-('入力・結果'!$G$4*COS(RADIANS(S223))))/((('入力・結果'!$G$3^2)+('入力・結果'!$G$4^2)-(2*'入力・結果'!$G$3*'入力・結果'!$G$4*COS(RADIANS(S223))))^(1/2))))</f>
        <v>24.55918531</v>
      </c>
      <c r="Z223" s="38">
        <f>DEGREES(ACOS((('入力・結果'!$G$3^2)+('入力・結果'!$G$4^2)-('入力・結果'!$G$5^2)+('入力・結果'!$G$6^2)-(2*'入力・結果'!$G$3*'入力・結果'!$G$4*COS(RADIANS(S223))))/(2*'入力・結果'!$G$6*(('入力・結果'!$G$3^2)+('入力・結果'!$G$4^2)-(2*'入力・結果'!$G$3*'入力・結果'!$G$4*(COS(RADIANS(S223)))))^(1/2))))</f>
        <v>21.47793975</v>
      </c>
      <c r="AA223" s="38">
        <f>DEGREES(ACOS(('入力・結果'!$G$4-('入力・結果'!$G$3*COS(RADIANS(S223))))/((('入力・結果'!$G$3^2)+('入力・結果'!$G$4^2)-(2*'入力・結果'!$G$3*'入力・結果'!$G$4*COS(RADIANS(S223))))^(1/2))))</f>
        <v>14.44081469</v>
      </c>
      <c r="AB223" s="38">
        <f>DEGREES(ACOS((('入力・結果'!$G$3^2)+('入力・結果'!$G$4^2)+('入力・結果'!$G$5^2)-('入力・結果'!$G$6^2)-(2*'入力・結果'!$G$3*'入力・結果'!$G$4*COS(RADIANS(S223))))/(2*'入力・結果'!$G$5*(('入力・結果'!$G$3^2)+('入力・結果'!$G$4^2)-(2*'入力・結果'!$G$3*'入力・結果'!$G$4*(COS(RADIANS(S223)))))^(1/2))))</f>
        <v>16.54557084</v>
      </c>
      <c r="AC223" s="37">
        <f t="shared" si="19"/>
        <v>-251.6527824</v>
      </c>
      <c r="AD223" s="37">
        <f t="shared" si="20"/>
        <v>0</v>
      </c>
      <c r="AE223" s="37" t="str">
        <f t="shared" si="21"/>
        <v/>
      </c>
      <c r="AF223" s="37" t="str">
        <f t="shared" si="22"/>
        <v/>
      </c>
      <c r="AG223" s="35"/>
      <c r="AH223" s="35"/>
      <c r="AI223" s="35"/>
      <c r="AJ223" s="35">
        <v>220.0</v>
      </c>
      <c r="AK223" s="35">
        <f t="shared" si="1"/>
        <v>0.9448687461</v>
      </c>
    </row>
    <row r="224" ht="12.75" customHeight="1">
      <c r="A224" s="35"/>
      <c r="B224" s="37">
        <v>220.0</v>
      </c>
      <c r="C224" s="38">
        <f t="shared" si="2"/>
        <v>-38.30222216</v>
      </c>
      <c r="D224" s="38">
        <f t="shared" si="3"/>
        <v>32.13938048</v>
      </c>
      <c r="E224" s="38">
        <f>'演算'!U224</f>
        <v>42.1631042</v>
      </c>
      <c r="F224" s="38">
        <f t="shared" si="4"/>
        <v>-42.1631042</v>
      </c>
      <c r="G224" s="38">
        <f t="shared" si="5"/>
        <v>-445.9825718</v>
      </c>
      <c r="H224" s="38">
        <f t="shared" si="6"/>
        <v>401.3232541</v>
      </c>
      <c r="I224" s="39">
        <f t="shared" si="7"/>
        <v>599.9673396</v>
      </c>
      <c r="J224" s="38">
        <f t="shared" si="8"/>
        <v>41.98287823</v>
      </c>
      <c r="K224" s="38" t="str">
        <f t="shared" si="9"/>
        <v/>
      </c>
      <c r="L224" s="38">
        <f t="shared" si="10"/>
        <v>1</v>
      </c>
      <c r="M224" s="38">
        <f t="shared" si="11"/>
        <v>221.9828782</v>
      </c>
      <c r="N224" s="39">
        <f t="shared" si="12"/>
        <v>171.9828782</v>
      </c>
      <c r="O224" s="39">
        <f t="shared" si="13"/>
        <v>-594.10352</v>
      </c>
      <c r="P224" s="39">
        <f t="shared" si="14"/>
        <v>-83.6768556</v>
      </c>
      <c r="Q224" s="38">
        <f t="shared" si="15"/>
        <v>-459.6266659</v>
      </c>
      <c r="R224" s="38">
        <f t="shared" si="16"/>
        <v>-385.6725658</v>
      </c>
      <c r="S224" s="40">
        <v>220.0</v>
      </c>
      <c r="T224" s="37">
        <f t="shared" si="24"/>
        <v>2.163104199</v>
      </c>
      <c r="U224" s="37">
        <f t="shared" si="18"/>
        <v>42.1631042</v>
      </c>
      <c r="V224" s="37">
        <f t="shared" si="23"/>
        <v>1.058348055</v>
      </c>
      <c r="W224" s="37">
        <f>'入力・結果'!$I$7/V224</f>
        <v>304720.1706</v>
      </c>
      <c r="X224" s="39">
        <f>(W224/I224*10)*'入力・結果'!$I$8</f>
        <v>3047.367587</v>
      </c>
      <c r="Y224" s="38">
        <f>DEGREES(ACOS(('入力・結果'!$G$3-('入力・結果'!$G$4*COS(RADIANS(S224))))/((('入力・結果'!$G$3^2)+('入力・結果'!$G$4^2)-(2*'入力・結果'!$G$3*'入力・結果'!$G$4*COS(RADIANS(S224))))^(1/2))))</f>
        <v>25.19917202</v>
      </c>
      <c r="Z224" s="38">
        <f>DEGREES(ACOS((('入力・結果'!$G$3^2)+('入力・結果'!$G$4^2)-('入力・結果'!$G$5^2)+('入力・結果'!$G$6^2)-(2*'入力・結果'!$G$3*'入力・結果'!$G$4*COS(RADIANS(S224))))/(2*'入力・結果'!$G$6*(('入力・結果'!$G$3^2)+('入力・結果'!$G$4^2)-(2*'入力・結果'!$G$3*'入力・結果'!$G$4*(COS(RADIANS(S224)))))^(1/2))))</f>
        <v>22.03249671</v>
      </c>
      <c r="AA224" s="38">
        <f>DEGREES(ACOS(('入力・結果'!$G$4-('入力・結果'!$G$3*COS(RADIANS(S224))))/((('入力・結果'!$G$3^2)+('入力・結果'!$G$4^2)-(2*'入力・結果'!$G$3*'入力・結果'!$G$4*COS(RADIANS(S224))))^(1/2))))</f>
        <v>14.80082798</v>
      </c>
      <c r="AB224" s="38">
        <f>DEGREES(ACOS((('入力・結果'!$G$3^2)+('入力・結果'!$G$4^2)+('入力・結果'!$G$5^2)-('入力・結果'!$G$6^2)-(2*'入力・結果'!$G$3*'入力・結果'!$G$4*COS(RADIANS(S224))))/(2*'入力・結果'!$G$5*(('入力・結果'!$G$3^2)+('入力・結果'!$G$4^2)-(2*'入力・結果'!$G$3*'入力・結果'!$G$4*(COS(RADIANS(S224)))))^(1/2))))</f>
        <v>16.96393218</v>
      </c>
      <c r="AC224" s="37">
        <f t="shared" si="19"/>
        <v>-252.6324133</v>
      </c>
      <c r="AD224" s="37">
        <f t="shared" si="20"/>
        <v>0</v>
      </c>
      <c r="AE224" s="37" t="str">
        <f t="shared" si="21"/>
        <v/>
      </c>
      <c r="AF224" s="37" t="str">
        <f t="shared" si="22"/>
        <v/>
      </c>
      <c r="AG224" s="35"/>
      <c r="AH224" s="35"/>
      <c r="AI224" s="35"/>
      <c r="AJ224" s="35">
        <v>221.0</v>
      </c>
      <c r="AK224" s="35">
        <f t="shared" si="1"/>
        <v>0.9445521463</v>
      </c>
    </row>
    <row r="225" ht="12.75" customHeight="1">
      <c r="A225" s="35"/>
      <c r="B225" s="37">
        <v>221.0</v>
      </c>
      <c r="C225" s="38">
        <f t="shared" si="2"/>
        <v>-37.73547901</v>
      </c>
      <c r="D225" s="38">
        <f t="shared" si="3"/>
        <v>32.80295145</v>
      </c>
      <c r="E225" s="38">
        <f>'演算'!U225</f>
        <v>43.221807</v>
      </c>
      <c r="F225" s="38">
        <f t="shared" si="4"/>
        <v>-43.221807</v>
      </c>
      <c r="G225" s="38">
        <f t="shared" si="5"/>
        <v>-438.5248973</v>
      </c>
      <c r="H225" s="38">
        <f t="shared" si="6"/>
        <v>409.456429</v>
      </c>
      <c r="I225" s="39">
        <f t="shared" si="7"/>
        <v>599.965543</v>
      </c>
      <c r="J225" s="38">
        <f t="shared" si="8"/>
        <v>43.03669186</v>
      </c>
      <c r="K225" s="38" t="str">
        <f t="shared" si="9"/>
        <v/>
      </c>
      <c r="L225" s="38">
        <f t="shared" si="10"/>
        <v>1</v>
      </c>
      <c r="M225" s="38">
        <f t="shared" si="11"/>
        <v>223.0366919</v>
      </c>
      <c r="N225" s="39">
        <f t="shared" si="12"/>
        <v>173.0366919</v>
      </c>
      <c r="O225" s="39">
        <f t="shared" si="13"/>
        <v>-595.5401927</v>
      </c>
      <c r="P225" s="39">
        <f t="shared" si="14"/>
        <v>-72.73604151</v>
      </c>
      <c r="Q225" s="38">
        <f t="shared" si="15"/>
        <v>-452.8257481</v>
      </c>
      <c r="R225" s="38">
        <f t="shared" si="16"/>
        <v>-393.6354174</v>
      </c>
      <c r="S225" s="40">
        <v>221.0</v>
      </c>
      <c r="T225" s="37">
        <f t="shared" si="24"/>
        <v>2.221806997</v>
      </c>
      <c r="U225" s="37">
        <f t="shared" si="18"/>
        <v>43.221807</v>
      </c>
      <c r="V225" s="37">
        <f t="shared" si="23"/>
        <v>1.058702798</v>
      </c>
      <c r="W225" s="37">
        <f>'入力・結果'!$I$7/V225</f>
        <v>304618.0672</v>
      </c>
      <c r="X225" s="39">
        <f>(W225/I225*10)*'入力・結果'!$I$8</f>
        <v>3046.355619</v>
      </c>
      <c r="Y225" s="38">
        <f>DEGREES(ACOS(('入力・結果'!$G$3-('入力・結果'!$G$4*COS(RADIANS(S225))))/((('入力・結果'!$G$3^2)+('入力・結果'!$G$4^2)-(2*'入力・結果'!$G$3*'入力・結果'!$G$4*COS(RADIANS(S225))))^(1/2))))</f>
        <v>25.83998803</v>
      </c>
      <c r="Z225" s="38">
        <f>DEGREES(ACOS((('入力・結果'!$G$3^2)+('入力・結果'!$G$4^2)-('入力・結果'!$G$5^2)+('入力・結果'!$G$6^2)-(2*'入力・結果'!$G$3*'入力・結果'!$G$4*COS(RADIANS(S225))))/(2*'入力・結果'!$G$6*(('入力・結果'!$G$3^2)+('入力・結果'!$G$4^2)-(2*'入力・結果'!$G$3*'入力・結果'!$G$4*(COS(RADIANS(S225)))))^(1/2))))</f>
        <v>22.58736265</v>
      </c>
      <c r="AA225" s="38">
        <f>DEGREES(ACOS(('入力・結果'!$G$4-('入力・結果'!$G$3*COS(RADIANS(S225))))/((('入力・結果'!$G$3^2)+('入力・結果'!$G$4^2)-(2*'入力・結果'!$G$3*'入力・結果'!$G$4*COS(RADIANS(S225))))^(1/2))))</f>
        <v>15.16001197</v>
      </c>
      <c r="AB225" s="38">
        <f>DEGREES(ACOS((('入力・結果'!$G$3^2)+('入力・結果'!$G$4^2)+('入力・結果'!$G$5^2)-('入力・結果'!$G$6^2)-(2*'入力・結果'!$G$3*'入力・結果'!$G$4*COS(RADIANS(S225))))/(2*'入力・結果'!$G$5*(('入力・結果'!$G$3^2)+('入力・結果'!$G$4^2)-(2*'入力・結果'!$G$3*'入力・結果'!$G$4*(COS(RADIANS(S225)))))^(1/2))))</f>
        <v>17.38181897</v>
      </c>
      <c r="AC225" s="37">
        <f t="shared" si="19"/>
        <v>-253.6443813</v>
      </c>
      <c r="AD225" s="37">
        <f t="shared" si="20"/>
        <v>0</v>
      </c>
      <c r="AE225" s="37" t="str">
        <f t="shared" si="21"/>
        <v/>
      </c>
      <c r="AF225" s="37" t="str">
        <f t="shared" si="22"/>
        <v/>
      </c>
      <c r="AG225" s="35"/>
      <c r="AH225" s="35"/>
      <c r="AI225" s="35"/>
      <c r="AJ225" s="35">
        <v>222.0</v>
      </c>
      <c r="AK225" s="35">
        <f t="shared" si="1"/>
        <v>0.9442252376</v>
      </c>
    </row>
    <row r="226" ht="12.75" customHeight="1">
      <c r="A226" s="35"/>
      <c r="B226" s="37">
        <v>222.0</v>
      </c>
      <c r="C226" s="38">
        <f t="shared" si="2"/>
        <v>-37.15724127</v>
      </c>
      <c r="D226" s="38">
        <f t="shared" si="3"/>
        <v>33.45653032</v>
      </c>
      <c r="E226" s="38">
        <f>'演算'!U226</f>
        <v>44.28087634</v>
      </c>
      <c r="F226" s="38">
        <f t="shared" si="4"/>
        <v>-44.28087634</v>
      </c>
      <c r="G226" s="38">
        <f t="shared" si="5"/>
        <v>-430.9164338</v>
      </c>
      <c r="H226" s="38">
        <f t="shared" si="6"/>
        <v>417.4535334</v>
      </c>
      <c r="I226" s="39">
        <f t="shared" si="7"/>
        <v>599.9636867</v>
      </c>
      <c r="J226" s="38">
        <f t="shared" si="8"/>
        <v>44.09084166</v>
      </c>
      <c r="K226" s="38" t="str">
        <f t="shared" si="9"/>
        <v/>
      </c>
      <c r="L226" s="38">
        <f t="shared" si="10"/>
        <v>1</v>
      </c>
      <c r="M226" s="38">
        <f t="shared" si="11"/>
        <v>224.0908417</v>
      </c>
      <c r="N226" s="39">
        <f t="shared" si="12"/>
        <v>174.0908417</v>
      </c>
      <c r="O226" s="39">
        <f t="shared" si="13"/>
        <v>-596.7757039</v>
      </c>
      <c r="P226" s="39">
        <f t="shared" si="14"/>
        <v>-61.76718067</v>
      </c>
      <c r="Q226" s="38">
        <f t="shared" si="15"/>
        <v>-445.8868953</v>
      </c>
      <c r="R226" s="38">
        <f t="shared" si="16"/>
        <v>-401.4783638</v>
      </c>
      <c r="S226" s="40">
        <v>222.0</v>
      </c>
      <c r="T226" s="37">
        <f t="shared" si="24"/>
        <v>2.280876338</v>
      </c>
      <c r="U226" s="37">
        <f t="shared" si="18"/>
        <v>44.28087634</v>
      </c>
      <c r="V226" s="37">
        <f t="shared" si="23"/>
        <v>1.059069341</v>
      </c>
      <c r="W226" s="37">
        <f>'入力・結果'!$I$7/V226</f>
        <v>304512.6391</v>
      </c>
      <c r="X226" s="39">
        <f>(W226/I226*10)*'入力・結果'!$I$8</f>
        <v>3045.3107</v>
      </c>
      <c r="Y226" s="38">
        <f>DEGREES(ACOS(('入力・結果'!$G$3-('入力・結果'!$G$4*COS(RADIANS(S226))))/((('入力・結果'!$G$3^2)+('入力・結果'!$G$4^2)-(2*'入力・結果'!$G$3*'入力・結果'!$G$4*COS(RADIANS(S226))))^(1/2))))</f>
        <v>26.48166067</v>
      </c>
      <c r="Z226" s="38">
        <f>DEGREES(ACOS((('入力・結果'!$G$3^2)+('入力・結果'!$G$4^2)-('入力・結果'!$G$5^2)+('入力・結果'!$G$6^2)-(2*'入力・結果'!$G$3*'入力・結果'!$G$4*COS(RADIANS(S226))))/(2*'入力・結果'!$G$6*(('入力・結果'!$G$3^2)+('入力・結果'!$G$4^2)-(2*'入力・結果'!$G$3*'入力・結果'!$G$4*(COS(RADIANS(S226)))))^(1/2))))</f>
        <v>23.14254754</v>
      </c>
      <c r="AA226" s="38">
        <f>DEGREES(ACOS(('入力・結果'!$G$4-('入力・結果'!$G$3*COS(RADIANS(S226))))/((('入力・結果'!$G$3^2)+('入力・結果'!$G$4^2)-(2*'入力・結果'!$G$3*'入力・結果'!$G$4*COS(RADIANS(S226))))^(1/2))))</f>
        <v>15.51833933</v>
      </c>
      <c r="AB226" s="38">
        <f>DEGREES(ACOS((('入力・結果'!$G$3^2)+('入力・結果'!$G$4^2)+('入力・結果'!$G$5^2)-('入力・結果'!$G$6^2)-(2*'入力・結果'!$G$3*'入力・結果'!$G$4*COS(RADIANS(S226))))/(2*'入力・結果'!$G$5*(('入力・結果'!$G$3^2)+('入力・結果'!$G$4^2)-(2*'入力・結果'!$G$3*'入力・結果'!$G$4*(COS(RADIANS(S226)))))^(1/2))))</f>
        <v>17.79921567</v>
      </c>
      <c r="AC226" s="37">
        <f t="shared" si="19"/>
        <v>-254.6893002</v>
      </c>
      <c r="AD226" s="37">
        <f t="shared" si="20"/>
        <v>0</v>
      </c>
      <c r="AE226" s="37" t="str">
        <f t="shared" si="21"/>
        <v/>
      </c>
      <c r="AF226" s="37" t="str">
        <f t="shared" si="22"/>
        <v/>
      </c>
      <c r="AG226" s="35"/>
      <c r="AH226" s="35"/>
      <c r="AI226" s="35"/>
      <c r="AJ226" s="35">
        <v>223.0</v>
      </c>
      <c r="AK226" s="35">
        <f t="shared" si="1"/>
        <v>0.9438878201</v>
      </c>
    </row>
    <row r="227" ht="12.75" customHeight="1">
      <c r="A227" s="35"/>
      <c r="B227" s="37">
        <v>223.0</v>
      </c>
      <c r="C227" s="38">
        <f t="shared" si="2"/>
        <v>-36.56768508</v>
      </c>
      <c r="D227" s="38">
        <f t="shared" si="3"/>
        <v>34.099918</v>
      </c>
      <c r="E227" s="38">
        <f>'演算'!U227</f>
        <v>45.34032427</v>
      </c>
      <c r="F227" s="38">
        <f t="shared" si="4"/>
        <v>-45.34032427</v>
      </c>
      <c r="G227" s="38">
        <f t="shared" si="5"/>
        <v>-423.1595359</v>
      </c>
      <c r="H227" s="38">
        <f t="shared" si="6"/>
        <v>425.3118055</v>
      </c>
      <c r="I227" s="39">
        <f t="shared" si="7"/>
        <v>599.9617693</v>
      </c>
      <c r="J227" s="38">
        <f t="shared" si="8"/>
        <v>45.14533868</v>
      </c>
      <c r="K227" s="38" t="str">
        <f t="shared" si="9"/>
        <v/>
      </c>
      <c r="L227" s="38">
        <f t="shared" si="10"/>
        <v>1</v>
      </c>
      <c r="M227" s="38">
        <f t="shared" si="11"/>
        <v>225.1453387</v>
      </c>
      <c r="N227" s="39">
        <f t="shared" si="12"/>
        <v>175.1453387</v>
      </c>
      <c r="O227" s="39">
        <f t="shared" si="13"/>
        <v>-597.8094518</v>
      </c>
      <c r="P227" s="39">
        <f t="shared" si="14"/>
        <v>-50.77385219</v>
      </c>
      <c r="Q227" s="38">
        <f t="shared" si="15"/>
        <v>-438.812221</v>
      </c>
      <c r="R227" s="38">
        <f t="shared" si="16"/>
        <v>-409.199016</v>
      </c>
      <c r="S227" s="40">
        <v>223.0</v>
      </c>
      <c r="T227" s="37">
        <f t="shared" si="24"/>
        <v>2.340324271</v>
      </c>
      <c r="U227" s="37">
        <f t="shared" si="18"/>
        <v>45.34032427</v>
      </c>
      <c r="V227" s="37">
        <f t="shared" si="23"/>
        <v>1.059447933</v>
      </c>
      <c r="W227" s="37">
        <f>'入力・結果'!$I$7/V227</f>
        <v>304403.822</v>
      </c>
      <c r="X227" s="39">
        <f>(W227/I227*10)*'入力・結果'!$I$8</f>
        <v>3044.232192</v>
      </c>
      <c r="Y227" s="38">
        <f>DEGREES(ACOS(('入力・結果'!$G$3-('入力・結果'!$G$4*COS(RADIANS(S227))))/((('入力・結果'!$G$3^2)+('入力・結果'!$G$4^2)-(2*'入力・結果'!$G$3*'入力・結果'!$G$4*COS(RADIANS(S227))))^(1/2))))</f>
        <v>27.1242178</v>
      </c>
      <c r="Z227" s="38">
        <f>DEGREES(ACOS((('入力・結果'!$G$3^2)+('入力・結果'!$G$4^2)-('入力・結果'!$G$5^2)+('入力・結果'!$G$6^2)-(2*'入力・結果'!$G$3*'入力・結果'!$G$4*COS(RADIANS(S227))))/(2*'入力・結果'!$G$6*(('入力・結果'!$G$3^2)+('入力・結果'!$G$4^2)-(2*'入力・結果'!$G$3*'入力・結果'!$G$4*(COS(RADIANS(S227)))))^(1/2))))</f>
        <v>23.69806157</v>
      </c>
      <c r="AA227" s="38">
        <f>DEGREES(ACOS(('入力・結果'!$G$4-('入力・結果'!$G$3*COS(RADIANS(S227))))/((('入力・結果'!$G$3^2)+('入力・結果'!$G$4^2)-(2*'入力・結果'!$G$3*'入力・結果'!$G$4*COS(RADIANS(S227))))^(1/2))))</f>
        <v>15.8757822</v>
      </c>
      <c r="AB227" s="38">
        <f>DEGREES(ACOS((('入力・結果'!$G$3^2)+('入力・結果'!$G$4^2)+('入力・結果'!$G$5^2)-('入力・結果'!$G$6^2)-(2*'入力・結果'!$G$3*'入力・結果'!$G$4*COS(RADIANS(S227))))/(2*'入力・結果'!$G$5*(('入力・結果'!$G$3^2)+('入力・結果'!$G$4^2)-(2*'入力・結果'!$G$3*'入力・結果'!$G$4*(COS(RADIANS(S227)))))^(1/2))))</f>
        <v>18.21610648</v>
      </c>
      <c r="AC227" s="37">
        <f t="shared" si="19"/>
        <v>-255.7678084</v>
      </c>
      <c r="AD227" s="37">
        <f t="shared" si="20"/>
        <v>0</v>
      </c>
      <c r="AE227" s="37" t="str">
        <f t="shared" si="21"/>
        <v/>
      </c>
      <c r="AF227" s="37" t="str">
        <f t="shared" si="22"/>
        <v/>
      </c>
      <c r="AG227" s="35"/>
      <c r="AH227" s="35"/>
      <c r="AI227" s="35"/>
      <c r="AJ227" s="35">
        <v>224.0</v>
      </c>
      <c r="AK227" s="35">
        <f t="shared" si="1"/>
        <v>0.9435396864</v>
      </c>
    </row>
    <row r="228" ht="12.75" customHeight="1">
      <c r="A228" s="35"/>
      <c r="B228" s="37">
        <v>224.0</v>
      </c>
      <c r="C228" s="38">
        <f t="shared" si="2"/>
        <v>-35.96699002</v>
      </c>
      <c r="D228" s="38">
        <f t="shared" si="3"/>
        <v>34.73291852</v>
      </c>
      <c r="E228" s="38">
        <f>'演算'!U228</f>
        <v>46.4001631</v>
      </c>
      <c r="F228" s="38">
        <f t="shared" si="4"/>
        <v>-46.4001631</v>
      </c>
      <c r="G228" s="38">
        <f t="shared" si="5"/>
        <v>-415.2566052</v>
      </c>
      <c r="H228" s="38">
        <f t="shared" si="6"/>
        <v>433.028522</v>
      </c>
      <c r="I228" s="39">
        <f t="shared" si="7"/>
        <v>599.9597896</v>
      </c>
      <c r="J228" s="38">
        <f t="shared" si="8"/>
        <v>46.2001942</v>
      </c>
      <c r="K228" s="38" t="str">
        <f t="shared" si="9"/>
        <v/>
      </c>
      <c r="L228" s="38">
        <f t="shared" si="10"/>
        <v>1</v>
      </c>
      <c r="M228" s="38">
        <f t="shared" si="11"/>
        <v>226.2001942</v>
      </c>
      <c r="N228" s="39">
        <f t="shared" si="12"/>
        <v>176.2001942</v>
      </c>
      <c r="O228" s="39">
        <f t="shared" si="13"/>
        <v>-598.6408937</v>
      </c>
      <c r="P228" s="39">
        <f t="shared" si="14"/>
        <v>-39.75964631</v>
      </c>
      <c r="Q228" s="38">
        <f t="shared" si="15"/>
        <v>-431.6038802</v>
      </c>
      <c r="R228" s="38">
        <f t="shared" si="16"/>
        <v>-416.7950223</v>
      </c>
      <c r="S228" s="40">
        <v>224.0</v>
      </c>
      <c r="T228" s="37">
        <f t="shared" si="24"/>
        <v>2.400163104</v>
      </c>
      <c r="U228" s="37">
        <f t="shared" si="18"/>
        <v>46.4001631</v>
      </c>
      <c r="V228" s="37">
        <f t="shared" si="23"/>
        <v>1.059838833</v>
      </c>
      <c r="W228" s="37">
        <f>'入力・結果'!$I$7/V228</f>
        <v>304291.5489</v>
      </c>
      <c r="X228" s="39">
        <f>(W228/I228*10)*'入力・結果'!$I$8</f>
        <v>3043.119431</v>
      </c>
      <c r="Y228" s="38">
        <f>DEGREES(ACOS(('入力・結果'!$G$3-('入力・結果'!$G$4*COS(RADIANS(S228))))/((('入力・結果'!$G$3^2)+('入力・結果'!$G$4^2)-(2*'入力・結果'!$G$3*'入力・結果'!$G$4*COS(RADIANS(S228))))^(1/2))))</f>
        <v>27.76768786</v>
      </c>
      <c r="Z228" s="38">
        <f>DEGREES(ACOS((('入力・結果'!$G$3^2)+('入力・結果'!$G$4^2)-('入力・結果'!$G$5^2)+('入力・結果'!$G$6^2)-(2*'入力・結果'!$G$3*'入力・結果'!$G$4*COS(RADIANS(S228))))/(2*'入力・結果'!$G$6*(('入力・結果'!$G$3^2)+('入力・結果'!$G$4^2)-(2*'入力・結果'!$G$3*'入力・結果'!$G$4*(COS(RADIANS(S228)))))^(1/2))))</f>
        <v>24.25391512</v>
      </c>
      <c r="AA228" s="38">
        <f>DEGREES(ACOS(('入力・結果'!$G$4-('入力・結果'!$G$3*COS(RADIANS(S228))))/((('入力・結果'!$G$3^2)+('入力・結果'!$G$4^2)-(2*'入力・結果'!$G$3*'入力・結果'!$G$4*COS(RADIANS(S228))))^(1/2))))</f>
        <v>16.23231214</v>
      </c>
      <c r="AB228" s="38">
        <f>DEGREES(ACOS((('入力・結果'!$G$3^2)+('入力・結果'!$G$4^2)+('入力・結果'!$G$5^2)-('入力・結果'!$G$6^2)-(2*'入力・結果'!$G$3*'入力・結果'!$G$4*COS(RADIANS(S228))))/(2*'入力・結果'!$G$5*(('入力・結果'!$G$3^2)+('入力・結果'!$G$4^2)-(2*'入力・結果'!$G$3*'入力・結果'!$G$4*(COS(RADIANS(S228)))))^(1/2))))</f>
        <v>18.63247524</v>
      </c>
      <c r="AC228" s="37">
        <f t="shared" si="19"/>
        <v>-256.8805695</v>
      </c>
      <c r="AD228" s="37">
        <f t="shared" si="20"/>
        <v>0</v>
      </c>
      <c r="AE228" s="37" t="str">
        <f t="shared" si="21"/>
        <v/>
      </c>
      <c r="AF228" s="37" t="str">
        <f t="shared" si="22"/>
        <v/>
      </c>
      <c r="AG228" s="35"/>
      <c r="AH228" s="35"/>
      <c r="AI228" s="35"/>
      <c r="AJ228" s="35">
        <v>225.0</v>
      </c>
      <c r="AK228" s="35">
        <f t="shared" si="1"/>
        <v>0.9431806206</v>
      </c>
    </row>
    <row r="229" ht="12.75" customHeight="1">
      <c r="A229" s="35"/>
      <c r="B229" s="37">
        <v>225.0</v>
      </c>
      <c r="C229" s="38">
        <f t="shared" si="2"/>
        <v>-35.35533906</v>
      </c>
      <c r="D229" s="38">
        <f t="shared" si="3"/>
        <v>35.35533906</v>
      </c>
      <c r="E229" s="38">
        <f>'演算'!U229</f>
        <v>47.46040541</v>
      </c>
      <c r="F229" s="38">
        <f t="shared" si="4"/>
        <v>-47.46040541</v>
      </c>
      <c r="G229" s="38">
        <f t="shared" si="5"/>
        <v>-407.2100894</v>
      </c>
      <c r="H229" s="38">
        <f t="shared" si="6"/>
        <v>440.6009987</v>
      </c>
      <c r="I229" s="39">
        <f t="shared" si="7"/>
        <v>599.957746</v>
      </c>
      <c r="J229" s="38">
        <f t="shared" si="8"/>
        <v>47.25541977</v>
      </c>
      <c r="K229" s="38" t="str">
        <f t="shared" si="9"/>
        <v/>
      </c>
      <c r="L229" s="38">
        <f t="shared" si="10"/>
        <v>1</v>
      </c>
      <c r="M229" s="38">
        <f t="shared" si="11"/>
        <v>227.2554198</v>
      </c>
      <c r="N229" s="39">
        <f t="shared" si="12"/>
        <v>177.2554198</v>
      </c>
      <c r="O229" s="39">
        <f t="shared" si="13"/>
        <v>-599.2695467</v>
      </c>
      <c r="P229" s="39">
        <f t="shared" si="14"/>
        <v>-28.72816342</v>
      </c>
      <c r="Q229" s="38">
        <f t="shared" si="15"/>
        <v>-424.2640687</v>
      </c>
      <c r="R229" s="38">
        <f t="shared" si="16"/>
        <v>-424.2640687</v>
      </c>
      <c r="S229" s="40">
        <v>225.0</v>
      </c>
      <c r="T229" s="37">
        <f t="shared" si="24"/>
        <v>2.460405414</v>
      </c>
      <c r="U229" s="37">
        <f t="shared" si="18"/>
        <v>47.46040541</v>
      </c>
      <c r="V229" s="37">
        <f t="shared" si="23"/>
        <v>1.06024231</v>
      </c>
      <c r="W229" s="37">
        <f>'入力・結果'!$I$7/V229</f>
        <v>304175.7501</v>
      </c>
      <c r="X229" s="39">
        <f>(W229/I229*10)*'入力・結果'!$I$8</f>
        <v>3041.971727</v>
      </c>
      <c r="Y229" s="38">
        <f>DEGREES(ACOS(('入力・結果'!$G$3-('入力・結果'!$G$4*COS(RADIANS(S229))))/((('入力・結果'!$G$3^2)+('入力・結果'!$G$4^2)-(2*'入力・結果'!$G$3*'入力・結果'!$G$4*COS(RADIANS(S229))))^(1/2))))</f>
        <v>28.41209991</v>
      </c>
      <c r="Z229" s="38">
        <f>DEGREES(ACOS((('入力・結果'!$G$3^2)+('入力・結果'!$G$4^2)-('入力・結果'!$G$5^2)+('入力・結果'!$G$6^2)-(2*'入力・結果'!$G$3*'入力・結果'!$G$4*COS(RADIANS(S229))))/(2*'入力・結果'!$G$6*(('入力・結果'!$G$3^2)+('入力・結果'!$G$4^2)-(2*'入力・結果'!$G$3*'入力・結果'!$G$4*(COS(RADIANS(S229)))))^(1/2))))</f>
        <v>24.81011878</v>
      </c>
      <c r="AA229" s="38">
        <f>DEGREES(ACOS(('入力・結果'!$G$4-('入力・結果'!$G$3*COS(RADIANS(S229))))/((('入力・結果'!$G$3^2)+('入力・結果'!$G$4^2)-(2*'入力・結果'!$G$3*'入力・結果'!$G$4*COS(RADIANS(S229))))^(1/2))))</f>
        <v>16.58790009</v>
      </c>
      <c r="AB229" s="38">
        <f>DEGREES(ACOS((('入力・結果'!$G$3^2)+('入力・結果'!$G$4^2)+('入力・結果'!$G$5^2)-('入力・結果'!$G$6^2)-(2*'入力・結果'!$G$3*'入力・結果'!$G$4*COS(RADIANS(S229))))/(2*'入力・結果'!$G$5*(('入力・結果'!$G$3^2)+('入力・結果'!$G$4^2)-(2*'入力・結果'!$G$3*'入力・結果'!$G$4*(COS(RADIANS(S229)))))^(1/2))))</f>
        <v>19.0483055</v>
      </c>
      <c r="AC229" s="37">
        <f t="shared" si="19"/>
        <v>-258.0282727</v>
      </c>
      <c r="AD229" s="37">
        <f t="shared" si="20"/>
        <v>0</v>
      </c>
      <c r="AE229" s="37" t="str">
        <f t="shared" si="21"/>
        <v/>
      </c>
      <c r="AF229" s="37" t="str">
        <f t="shared" si="22"/>
        <v/>
      </c>
      <c r="AG229" s="35"/>
      <c r="AH229" s="35"/>
      <c r="AI229" s="35"/>
      <c r="AJ229" s="35">
        <v>226.0</v>
      </c>
      <c r="AK229" s="35">
        <f t="shared" si="1"/>
        <v>0.9428103986</v>
      </c>
    </row>
    <row r="230" ht="12.75" customHeight="1">
      <c r="A230" s="35"/>
      <c r="B230" s="37">
        <v>226.0</v>
      </c>
      <c r="C230" s="38">
        <f t="shared" si="2"/>
        <v>-34.73291852</v>
      </c>
      <c r="D230" s="38">
        <f t="shared" si="3"/>
        <v>35.96699002</v>
      </c>
      <c r="E230" s="38">
        <f>'演算'!U230</f>
        <v>48.52106406</v>
      </c>
      <c r="F230" s="38">
        <f t="shared" si="4"/>
        <v>-48.52106406</v>
      </c>
      <c r="G230" s="38">
        <f t="shared" si="5"/>
        <v>-399.0224812</v>
      </c>
      <c r="H230" s="38">
        <f t="shared" si="6"/>
        <v>448.0265907</v>
      </c>
      <c r="I230" s="39">
        <f t="shared" si="7"/>
        <v>599.9556371</v>
      </c>
      <c r="J230" s="38">
        <f t="shared" si="8"/>
        <v>48.31102717</v>
      </c>
      <c r="K230" s="38" t="str">
        <f t="shared" si="9"/>
        <v/>
      </c>
      <c r="L230" s="38">
        <f t="shared" si="10"/>
        <v>1</v>
      </c>
      <c r="M230" s="38">
        <f t="shared" si="11"/>
        <v>228.3110272</v>
      </c>
      <c r="N230" s="39">
        <f t="shared" si="12"/>
        <v>178.3110272</v>
      </c>
      <c r="O230" s="39">
        <f t="shared" si="13"/>
        <v>-599.6949871</v>
      </c>
      <c r="P230" s="39">
        <f t="shared" si="14"/>
        <v>-17.68301312</v>
      </c>
      <c r="Q230" s="38">
        <f t="shared" si="15"/>
        <v>-416.7950223</v>
      </c>
      <c r="R230" s="38">
        <f t="shared" si="16"/>
        <v>-431.6038802</v>
      </c>
      <c r="S230" s="40">
        <v>226.0</v>
      </c>
      <c r="T230" s="37">
        <f t="shared" si="24"/>
        <v>2.521064059</v>
      </c>
      <c r="U230" s="37">
        <f t="shared" si="18"/>
        <v>48.52106406</v>
      </c>
      <c r="V230" s="37">
        <f t="shared" si="23"/>
        <v>1.060658645</v>
      </c>
      <c r="W230" s="37">
        <f>'入力・結果'!$I$7/V230</f>
        <v>304056.3535</v>
      </c>
      <c r="X230" s="39">
        <f>(W230/I230*10)*'入力・結果'!$I$8</f>
        <v>3040.788366</v>
      </c>
      <c r="Y230" s="38">
        <f>DEGREES(ACOS(('入力・結果'!$G$3-('入力・結果'!$G$4*COS(RADIANS(S230))))/((('入力・結果'!$G$3^2)+('入力・結果'!$G$4^2)-(2*'入力・結果'!$G$3*'入力・結果'!$G$4*COS(RADIANS(S230))))^(1/2))))</f>
        <v>29.05748362</v>
      </c>
      <c r="Z230" s="38">
        <f>DEGREES(ACOS((('入力・結果'!$G$3^2)+('入力・結果'!$G$4^2)-('入力・結果'!$G$5^2)+('入力・結果'!$G$6^2)-(2*'入力・結果'!$G$3*'入力・結果'!$G$4*COS(RADIANS(S230))))/(2*'入力・結果'!$G$6*(('入力・結果'!$G$3^2)+('入力・結果'!$G$4^2)-(2*'入力・結果'!$G$3*'入力・結果'!$G$4*(COS(RADIANS(S230)))))^(1/2))))</f>
        <v>25.36668333</v>
      </c>
      <c r="AA230" s="38">
        <f>DEGREES(ACOS(('入力・結果'!$G$4-('入力・結果'!$G$3*COS(RADIANS(S230))))/((('入力・結果'!$G$3^2)+('入力・結果'!$G$4^2)-(2*'入力・結果'!$G$3*'入力・結果'!$G$4*COS(RADIANS(S230))))^(1/2))))</f>
        <v>16.94251638</v>
      </c>
      <c r="AB230" s="38">
        <f>DEGREES(ACOS((('入力・結果'!$G$3^2)+('入力・結果'!$G$4^2)+('入力・結果'!$G$5^2)-('入力・結果'!$G$6^2)-(2*'入力・結果'!$G$3*'入力・結果'!$G$4*COS(RADIANS(S230))))/(2*'入力・結果'!$G$5*(('入力・結果'!$G$3^2)+('入力・結果'!$G$4^2)-(2*'入力・結果'!$G$3*'入力・結果'!$G$4*(COS(RADIANS(S230)))))^(1/2))))</f>
        <v>19.46358044</v>
      </c>
      <c r="AC230" s="37">
        <f t="shared" si="19"/>
        <v>-259.2116343</v>
      </c>
      <c r="AD230" s="37">
        <f t="shared" si="20"/>
        <v>0</v>
      </c>
      <c r="AE230" s="37" t="str">
        <f t="shared" si="21"/>
        <v/>
      </c>
      <c r="AF230" s="37" t="str">
        <f t="shared" si="22"/>
        <v/>
      </c>
      <c r="AG230" s="35"/>
      <c r="AH230" s="35"/>
      <c r="AI230" s="35"/>
      <c r="AJ230" s="35">
        <v>227.0</v>
      </c>
      <c r="AK230" s="35">
        <f t="shared" si="1"/>
        <v>0.9424287876</v>
      </c>
    </row>
    <row r="231" ht="12.75" customHeight="1">
      <c r="A231" s="35"/>
      <c r="B231" s="37">
        <v>227.0</v>
      </c>
      <c r="C231" s="38">
        <f t="shared" si="2"/>
        <v>-34.099918</v>
      </c>
      <c r="D231" s="38">
        <f t="shared" si="3"/>
        <v>36.56768508</v>
      </c>
      <c r="E231" s="38">
        <f>'演算'!U231</f>
        <v>49.58215219</v>
      </c>
      <c r="F231" s="38">
        <f t="shared" si="4"/>
        <v>-49.58215219</v>
      </c>
      <c r="G231" s="38">
        <f t="shared" si="5"/>
        <v>-390.6963181</v>
      </c>
      <c r="H231" s="38">
        <f t="shared" si="6"/>
        <v>455.3026937</v>
      </c>
      <c r="I231" s="39">
        <f t="shared" si="7"/>
        <v>599.9534614</v>
      </c>
      <c r="J231" s="38">
        <f t="shared" si="8"/>
        <v>49.36702848</v>
      </c>
      <c r="K231" s="38" t="str">
        <f t="shared" si="9"/>
        <v/>
      </c>
      <c r="L231" s="38">
        <f t="shared" si="10"/>
        <v>1</v>
      </c>
      <c r="M231" s="38">
        <f t="shared" si="11"/>
        <v>229.3670285</v>
      </c>
      <c r="N231" s="39">
        <f t="shared" si="12"/>
        <v>179.3670285</v>
      </c>
      <c r="O231" s="39">
        <f t="shared" si="13"/>
        <v>-599.9168509</v>
      </c>
      <c r="P231" s="39">
        <f t="shared" si="14"/>
        <v>-6.627813294</v>
      </c>
      <c r="Q231" s="38">
        <f t="shared" si="15"/>
        <v>-409.199016</v>
      </c>
      <c r="R231" s="38">
        <f t="shared" si="16"/>
        <v>-438.812221</v>
      </c>
      <c r="S231" s="40">
        <v>227.0</v>
      </c>
      <c r="T231" s="37">
        <f t="shared" si="24"/>
        <v>2.582152189</v>
      </c>
      <c r="U231" s="37">
        <f t="shared" si="18"/>
        <v>49.58215219</v>
      </c>
      <c r="V231" s="37">
        <f t="shared" si="23"/>
        <v>1.06108813</v>
      </c>
      <c r="W231" s="37">
        <f>'入力・結果'!$I$7/V231</f>
        <v>303933.284</v>
      </c>
      <c r="X231" s="39">
        <f>(W231/I231*10)*'入力・結果'!$I$8</f>
        <v>3039.568602</v>
      </c>
      <c r="Y231" s="38">
        <f>DEGREES(ACOS(('入力・結果'!$G$3-('入力・結果'!$G$4*COS(RADIANS(S231))))/((('入力・結果'!$G$3^2)+('入力・結果'!$G$4^2)-(2*'入力・結果'!$G$3*'入力・結果'!$G$4*COS(RADIANS(S231))))^(1/2))))</f>
        <v>29.70386929</v>
      </c>
      <c r="Z231" s="38">
        <f>DEGREES(ACOS((('入力・結果'!$G$3^2)+('入力・結果'!$G$4^2)-('入力・結果'!$G$5^2)+('入力・結果'!$G$6^2)-(2*'入力・結果'!$G$3*'入力・結果'!$G$4*COS(RADIANS(S231))))/(2*'入力・結果'!$G$6*(('入力・結果'!$G$3^2)+('入力・結果'!$G$4^2)-(2*'入力・結果'!$G$3*'入力・結果'!$G$4*(COS(RADIANS(S231)))))^(1/2))))</f>
        <v>25.92361978</v>
      </c>
      <c r="AA231" s="38">
        <f>DEGREES(ACOS(('入力・結果'!$G$4-('入力・結果'!$G$3*COS(RADIANS(S231))))/((('入力・結果'!$G$3^2)+('入力・結果'!$G$4^2)-(2*'入力・結果'!$G$3*'入力・結果'!$G$4*COS(RADIANS(S231))))^(1/2))))</f>
        <v>17.29613071</v>
      </c>
      <c r="AB231" s="38">
        <f>DEGREES(ACOS((('入力・結果'!$G$3^2)+('入力・結果'!$G$4^2)+('入力・結果'!$G$5^2)-('入力・結果'!$G$6^2)-(2*'入力・結果'!$G$3*'入力・結果'!$G$4*COS(RADIANS(S231))))/(2*'入力・結果'!$G$5*(('入力・結果'!$G$3^2)+('入力・結果'!$G$4^2)-(2*'入力・結果'!$G$3*'入力・結果'!$G$4*(COS(RADIANS(S231)))))^(1/2))))</f>
        <v>19.8782829</v>
      </c>
      <c r="AC231" s="37">
        <f t="shared" si="19"/>
        <v>-260.4313981</v>
      </c>
      <c r="AD231" s="37">
        <f t="shared" si="20"/>
        <v>0</v>
      </c>
      <c r="AE231" s="37" t="str">
        <f t="shared" si="21"/>
        <v/>
      </c>
      <c r="AF231" s="37" t="str">
        <f t="shared" si="22"/>
        <v/>
      </c>
      <c r="AG231" s="35"/>
      <c r="AH231" s="35"/>
      <c r="AI231" s="35"/>
      <c r="AJ231" s="35">
        <v>228.0</v>
      </c>
      <c r="AK231" s="35">
        <f t="shared" si="1"/>
        <v>0.9420355458</v>
      </c>
    </row>
    <row r="232" ht="12.75" customHeight="1">
      <c r="A232" s="35"/>
      <c r="B232" s="37">
        <v>228.0</v>
      </c>
      <c r="C232" s="38">
        <f t="shared" si="2"/>
        <v>-33.45653032</v>
      </c>
      <c r="D232" s="38">
        <f t="shared" si="3"/>
        <v>37.15724127</v>
      </c>
      <c r="E232" s="38">
        <f>'演算'!U232</f>
        <v>50.64368326</v>
      </c>
      <c r="F232" s="38">
        <f t="shared" si="4"/>
        <v>-50.64368326</v>
      </c>
      <c r="G232" s="38">
        <f t="shared" si="5"/>
        <v>-382.2341814</v>
      </c>
      <c r="H232" s="38">
        <f t="shared" si="6"/>
        <v>462.4267442</v>
      </c>
      <c r="I232" s="39">
        <f t="shared" si="7"/>
        <v>599.9512173</v>
      </c>
      <c r="J232" s="38">
        <f t="shared" si="8"/>
        <v>50.42343603</v>
      </c>
      <c r="K232" s="38" t="str">
        <f t="shared" si="9"/>
        <v/>
      </c>
      <c r="L232" s="38">
        <f t="shared" si="10"/>
        <v>1</v>
      </c>
      <c r="M232" s="38">
        <f t="shared" si="11"/>
        <v>230.423436</v>
      </c>
      <c r="N232" s="39">
        <f t="shared" si="12"/>
        <v>180.423436</v>
      </c>
      <c r="O232" s="39">
        <f t="shared" si="13"/>
        <v>-599.9348335</v>
      </c>
      <c r="P232" s="39">
        <f t="shared" si="14"/>
        <v>4.433810902</v>
      </c>
      <c r="Q232" s="38">
        <f t="shared" si="15"/>
        <v>-401.4783638</v>
      </c>
      <c r="R232" s="38">
        <f t="shared" si="16"/>
        <v>-445.8868953</v>
      </c>
      <c r="S232" s="40">
        <v>228.0</v>
      </c>
      <c r="T232" s="37">
        <f t="shared" si="24"/>
        <v>2.643683259</v>
      </c>
      <c r="U232" s="37">
        <f t="shared" si="18"/>
        <v>50.64368326</v>
      </c>
      <c r="V232" s="37">
        <f t="shared" si="23"/>
        <v>1.061531069</v>
      </c>
      <c r="W232" s="37">
        <f>'入力・結果'!$I$7/V232</f>
        <v>303806.4635</v>
      </c>
      <c r="X232" s="39">
        <f>(W232/I232*10)*'入力・結果'!$I$8</f>
        <v>3038.311663</v>
      </c>
      <c r="Y232" s="38">
        <f>DEGREES(ACOS(('入力・結果'!$G$3-('入力・結果'!$G$4*COS(RADIANS(S232))))/((('入力・結果'!$G$3^2)+('入力・結果'!$G$4^2)-(2*'入力・結果'!$G$3*'入力・結果'!$G$4*COS(RADIANS(S232))))^(1/2))))</f>
        <v>30.35128794</v>
      </c>
      <c r="Z232" s="38">
        <f>DEGREES(ACOS((('入力・結果'!$G$3^2)+('入力・結果'!$G$4^2)-('入力・結果'!$G$5^2)+('入力・結果'!$G$6^2)-(2*'入力・結果'!$G$3*'入力・結果'!$G$4*COS(RADIANS(S232))))/(2*'入力・結果'!$G$6*(('入力・結果'!$G$3^2)+('入力・結果'!$G$4^2)-(2*'入力・結果'!$G$3*'入力・結果'!$G$4*(COS(RADIANS(S232)))))^(1/2))))</f>
        <v>26.48093938</v>
      </c>
      <c r="AA232" s="38">
        <f>DEGREES(ACOS(('入力・結果'!$G$4-('入力・結果'!$G$3*COS(RADIANS(S232))))/((('入力・結果'!$G$3^2)+('入力・結果'!$G$4^2)-(2*'入力・結果'!$G$3*'入力・結果'!$G$4*COS(RADIANS(S232))))^(1/2))))</f>
        <v>17.64871206</v>
      </c>
      <c r="AB232" s="38">
        <f>DEGREES(ACOS((('入力・結果'!$G$3^2)+('入力・結果'!$G$4^2)+('入力・結果'!$G$5^2)-('入力・結果'!$G$6^2)-(2*'入力・結果'!$G$3*'入力・結果'!$G$4*COS(RADIANS(S232))))/(2*'入力・結果'!$G$5*(('入力・結果'!$G$3^2)+('入力・結果'!$G$4^2)-(2*'入力・結果'!$G$3*'入力・結果'!$G$4*(COS(RADIANS(S232)))))^(1/2))))</f>
        <v>20.29239532</v>
      </c>
      <c r="AC232" s="37">
        <f t="shared" si="19"/>
        <v>-261.6883367</v>
      </c>
      <c r="AD232" s="37">
        <f t="shared" si="20"/>
        <v>0</v>
      </c>
      <c r="AE232" s="37" t="str">
        <f t="shared" si="21"/>
        <v/>
      </c>
      <c r="AF232" s="37" t="str">
        <f t="shared" si="22"/>
        <v/>
      </c>
      <c r="AG232" s="35"/>
      <c r="AH232" s="35"/>
      <c r="AI232" s="35"/>
      <c r="AJ232" s="35">
        <v>229.0</v>
      </c>
      <c r="AK232" s="35">
        <f t="shared" si="1"/>
        <v>0.9416304221</v>
      </c>
    </row>
    <row r="233" ht="12.75" customHeight="1">
      <c r="A233" s="35"/>
      <c r="B233" s="37">
        <v>229.0</v>
      </c>
      <c r="C233" s="38">
        <f t="shared" si="2"/>
        <v>-32.80295145</v>
      </c>
      <c r="D233" s="38">
        <f t="shared" si="3"/>
        <v>37.73547901</v>
      </c>
      <c r="E233" s="38">
        <f>'演算'!U233</f>
        <v>51.70567104</v>
      </c>
      <c r="F233" s="38">
        <f t="shared" si="4"/>
        <v>-51.70567104</v>
      </c>
      <c r="G233" s="38">
        <f t="shared" si="5"/>
        <v>-373.6386956</v>
      </c>
      <c r="H233" s="38">
        <f t="shared" si="6"/>
        <v>469.3962202</v>
      </c>
      <c r="I233" s="39">
        <f t="shared" si="7"/>
        <v>599.9489032</v>
      </c>
      <c r="J233" s="38">
        <f t="shared" si="8"/>
        <v>51.48026246</v>
      </c>
      <c r="K233" s="38" t="str">
        <f t="shared" si="9"/>
        <v/>
      </c>
      <c r="L233" s="38">
        <f t="shared" si="10"/>
        <v>1</v>
      </c>
      <c r="M233" s="38">
        <f t="shared" si="11"/>
        <v>231.4802625</v>
      </c>
      <c r="N233" s="39">
        <f t="shared" si="12"/>
        <v>181.4802625</v>
      </c>
      <c r="O233" s="39">
        <f t="shared" si="13"/>
        <v>-599.7486902</v>
      </c>
      <c r="P233" s="39">
        <f t="shared" si="14"/>
        <v>15.49822793</v>
      </c>
      <c r="Q233" s="38">
        <f t="shared" si="15"/>
        <v>-393.6354174</v>
      </c>
      <c r="R233" s="38">
        <f t="shared" si="16"/>
        <v>-452.8257481</v>
      </c>
      <c r="S233" s="40">
        <v>229.0</v>
      </c>
      <c r="T233" s="37">
        <f t="shared" si="24"/>
        <v>2.705671037</v>
      </c>
      <c r="U233" s="37">
        <f t="shared" si="18"/>
        <v>51.70567104</v>
      </c>
      <c r="V233" s="37">
        <f t="shared" si="23"/>
        <v>1.061987778</v>
      </c>
      <c r="W233" s="37">
        <f>'入力・結果'!$I$7/V233</f>
        <v>303675.8111</v>
      </c>
      <c r="X233" s="39">
        <f>(W233/I233*10)*'入力・結果'!$I$8</f>
        <v>3037.016748</v>
      </c>
      <c r="Y233" s="38">
        <f>DEGREES(ACOS(('入力・結果'!$G$3-('入力・結果'!$G$4*COS(RADIANS(S233))))/((('入力・結果'!$G$3^2)+('入力・結果'!$G$4^2)-(2*'入力・結果'!$G$3*'入力・結果'!$G$4*COS(RADIANS(S233))))^(1/2))))</f>
        <v>30.99977124</v>
      </c>
      <c r="Z233" s="38">
        <f>DEGREES(ACOS((('入力・結果'!$G$3^2)+('入力・結果'!$G$4^2)-('入力・結果'!$G$5^2)+('入力・結果'!$G$6^2)-(2*'入力・結果'!$G$3*'入力・結果'!$G$4*COS(RADIANS(S233))))/(2*'入力・結果'!$G$6*(('入力・結果'!$G$3^2)+('入力・結果'!$G$4^2)-(2*'入力・結果'!$G$3*'入力・結果'!$G$4*(COS(RADIANS(S233)))))^(1/2))))</f>
        <v>27.0386536</v>
      </c>
      <c r="AA233" s="38">
        <f>DEGREES(ACOS(('入力・結果'!$G$4-('入力・結果'!$G$3*COS(RADIANS(S233))))/((('入力・結果'!$G$3^2)+('入力・結果'!$G$4^2)-(2*'入力・結果'!$G$3*'入力・結果'!$G$4*COS(RADIANS(S233))))^(1/2))))</f>
        <v>18.00022876</v>
      </c>
      <c r="AB233" s="38">
        <f>DEGREES(ACOS((('入力・結果'!$G$3^2)+('入力・結果'!$G$4^2)+('入力・結果'!$G$5^2)-('入力・結果'!$G$6^2)-(2*'入力・結果'!$G$3*'入力・結果'!$G$4*COS(RADIANS(S233))))/(2*'入力・結果'!$G$5*(('入力・結果'!$G$3^2)+('入力・結果'!$G$4^2)-(2*'入力・結果'!$G$3*'入力・結果'!$G$4*(COS(RADIANS(S233)))))^(1/2))))</f>
        <v>20.7058998</v>
      </c>
      <c r="AC233" s="37">
        <f t="shared" si="19"/>
        <v>-262.9832522</v>
      </c>
      <c r="AD233" s="37">
        <f t="shared" si="20"/>
        <v>0</v>
      </c>
      <c r="AE233" s="37" t="str">
        <f t="shared" si="21"/>
        <v/>
      </c>
      <c r="AF233" s="37" t="str">
        <f t="shared" si="22"/>
        <v/>
      </c>
      <c r="AG233" s="35"/>
      <c r="AH233" s="35"/>
      <c r="AI233" s="35"/>
      <c r="AJ233" s="35">
        <v>230.0</v>
      </c>
      <c r="AK233" s="35">
        <f t="shared" si="1"/>
        <v>0.9412131559</v>
      </c>
    </row>
    <row r="234" ht="12.75" customHeight="1">
      <c r="A234" s="35"/>
      <c r="B234" s="37">
        <v>230.0</v>
      </c>
      <c r="C234" s="38">
        <f t="shared" si="2"/>
        <v>-32.13938048</v>
      </c>
      <c r="D234" s="38">
        <f t="shared" si="3"/>
        <v>38.30222216</v>
      </c>
      <c r="E234" s="38">
        <f>'演算'!U234</f>
        <v>52.76812962</v>
      </c>
      <c r="F234" s="38">
        <f t="shared" si="4"/>
        <v>-52.76812962</v>
      </c>
      <c r="G234" s="38">
        <f t="shared" si="5"/>
        <v>-364.9125275</v>
      </c>
      <c r="H234" s="38">
        <f t="shared" si="6"/>
        <v>476.2086421</v>
      </c>
      <c r="I234" s="39">
        <f t="shared" si="7"/>
        <v>599.9465172</v>
      </c>
      <c r="J234" s="38">
        <f t="shared" si="8"/>
        <v>52.53752071</v>
      </c>
      <c r="K234" s="38" t="str">
        <f t="shared" si="9"/>
        <v/>
      </c>
      <c r="L234" s="38">
        <f t="shared" si="10"/>
        <v>1</v>
      </c>
      <c r="M234" s="38">
        <f t="shared" si="11"/>
        <v>232.5375207</v>
      </c>
      <c r="N234" s="39">
        <f t="shared" si="12"/>
        <v>182.5375207</v>
      </c>
      <c r="O234" s="39">
        <f t="shared" si="13"/>
        <v>-599.3582353</v>
      </c>
      <c r="P234" s="39">
        <f t="shared" si="14"/>
        <v>26.56180084</v>
      </c>
      <c r="Q234" s="38">
        <f t="shared" si="15"/>
        <v>-385.6725658</v>
      </c>
      <c r="R234" s="38">
        <f t="shared" si="16"/>
        <v>-459.6266659</v>
      </c>
      <c r="S234" s="40">
        <v>230.0</v>
      </c>
      <c r="T234" s="37">
        <f t="shared" si="24"/>
        <v>2.768129624</v>
      </c>
      <c r="U234" s="37">
        <f t="shared" si="18"/>
        <v>52.76812962</v>
      </c>
      <c r="V234" s="37">
        <f t="shared" si="23"/>
        <v>1.062458587</v>
      </c>
      <c r="W234" s="37">
        <f>'入力・結果'!$I$7/V234</f>
        <v>303541.2428</v>
      </c>
      <c r="X234" s="39">
        <f>(W234/I234*10)*'入力・結果'!$I$8</f>
        <v>3035.683022</v>
      </c>
      <c r="Y234" s="38">
        <f>DEGREES(ACOS(('入力・結果'!$G$3-('入力・結果'!$G$4*COS(RADIANS(S234))))/((('入力・結果'!$G$3^2)+('入力・結果'!$G$4^2)-(2*'入力・結果'!$G$3*'入力・結果'!$G$4*COS(RADIANS(S234))))^(1/2))))</f>
        <v>31.64935163</v>
      </c>
      <c r="Z234" s="38">
        <f>DEGREES(ACOS((('入力・結果'!$G$3^2)+('入力・結果'!$G$4^2)-('入力・結果'!$G$5^2)+('入力・結果'!$G$6^2)-(2*'入力・結果'!$G$3*'入力・結果'!$G$4*COS(RADIANS(S234))))/(2*'入力・結果'!$G$6*(('入力・結果'!$G$3^2)+('入力・結果'!$G$4^2)-(2*'入力・結果'!$G$3*'入力・結果'!$G$4*(COS(RADIANS(S234)))))^(1/2))))</f>
        <v>27.59677414</v>
      </c>
      <c r="AA234" s="38">
        <f>DEGREES(ACOS(('入力・結果'!$G$4-('入力・結果'!$G$3*COS(RADIANS(S234))))/((('入力・結果'!$G$3^2)+('入力・結果'!$G$4^2)-(2*'入力・結果'!$G$3*'入力・結果'!$G$4*COS(RADIANS(S234))))^(1/2))))</f>
        <v>18.35064837</v>
      </c>
      <c r="AB234" s="38">
        <f>DEGREES(ACOS((('入力・結果'!$G$3^2)+('入力・結果'!$G$4^2)+('入力・結果'!$G$5^2)-('入力・結果'!$G$6^2)-(2*'入力・結果'!$G$3*'入力・結果'!$G$4*COS(RADIANS(S234))))/(2*'入力・結果'!$G$5*(('入力・結果'!$G$3^2)+('入力・結果'!$G$4^2)-(2*'入力・結果'!$G$3*'入力・結果'!$G$4*(COS(RADIANS(S234)))))^(1/2))))</f>
        <v>21.11877799</v>
      </c>
      <c r="AC234" s="37">
        <f t="shared" si="19"/>
        <v>-264.3169776</v>
      </c>
      <c r="AD234" s="37">
        <f t="shared" si="20"/>
        <v>0</v>
      </c>
      <c r="AE234" s="37" t="str">
        <f t="shared" si="21"/>
        <v/>
      </c>
      <c r="AF234" s="37" t="str">
        <f t="shared" si="22"/>
        <v/>
      </c>
      <c r="AG234" s="35"/>
      <c r="AH234" s="35"/>
      <c r="AI234" s="35"/>
      <c r="AJ234" s="35">
        <v>231.0</v>
      </c>
      <c r="AK234" s="35">
        <f t="shared" si="1"/>
        <v>0.9407834766</v>
      </c>
    </row>
    <row r="235" ht="12.75" customHeight="1">
      <c r="A235" s="35"/>
      <c r="B235" s="37">
        <v>231.0</v>
      </c>
      <c r="C235" s="38">
        <f t="shared" si="2"/>
        <v>-31.46601955</v>
      </c>
      <c r="D235" s="38">
        <f t="shared" si="3"/>
        <v>38.85729807</v>
      </c>
      <c r="E235" s="38">
        <f>'演算'!U235</f>
        <v>53.83107346</v>
      </c>
      <c r="F235" s="38">
        <f t="shared" si="4"/>
        <v>-53.83107346</v>
      </c>
      <c r="G235" s="38">
        <f t="shared" si="5"/>
        <v>-356.0583858</v>
      </c>
      <c r="H235" s="38">
        <f t="shared" si="6"/>
        <v>482.8615726</v>
      </c>
      <c r="I235" s="39">
        <f t="shared" si="7"/>
        <v>599.9440577</v>
      </c>
      <c r="J235" s="38">
        <f t="shared" si="8"/>
        <v>53.59522401</v>
      </c>
      <c r="K235" s="38" t="str">
        <f t="shared" si="9"/>
        <v/>
      </c>
      <c r="L235" s="38">
        <f t="shared" si="10"/>
        <v>1</v>
      </c>
      <c r="M235" s="38">
        <f t="shared" si="11"/>
        <v>233.595224</v>
      </c>
      <c r="N235" s="39">
        <f t="shared" si="12"/>
        <v>183.595224</v>
      </c>
      <c r="O235" s="39">
        <f t="shared" si="13"/>
        <v>-598.7633432</v>
      </c>
      <c r="P235" s="39">
        <f t="shared" si="14"/>
        <v>37.62088821</v>
      </c>
      <c r="Q235" s="38">
        <f t="shared" si="15"/>
        <v>-377.5922346</v>
      </c>
      <c r="R235" s="38">
        <f t="shared" si="16"/>
        <v>-466.2875769</v>
      </c>
      <c r="S235" s="40">
        <v>231.0</v>
      </c>
      <c r="T235" s="37">
        <f t="shared" si="24"/>
        <v>2.831073463</v>
      </c>
      <c r="U235" s="37">
        <f t="shared" si="18"/>
        <v>53.83107346</v>
      </c>
      <c r="V235" s="37">
        <f t="shared" si="23"/>
        <v>1.062943839</v>
      </c>
      <c r="W235" s="37">
        <f>'入力・結果'!$I$7/V235</f>
        <v>303402.6712</v>
      </c>
      <c r="X235" s="39">
        <f>(W235/I235*10)*'入力・結果'!$I$8</f>
        <v>3034.309623</v>
      </c>
      <c r="Y235" s="38">
        <f>DEGREES(ACOS(('入力・結果'!$G$3-('入力・結果'!$G$4*COS(RADIANS(S235))))/((('入力・結果'!$G$3^2)+('入力・結果'!$G$4^2)-(2*'入力・結果'!$G$3*'入力・結果'!$G$4*COS(RADIANS(S235))))^(1/2))))</f>
        <v>32.30006228</v>
      </c>
      <c r="Z235" s="38">
        <f>DEGREES(ACOS((('入力・結果'!$G$3^2)+('入力・結果'!$G$4^2)-('入力・結果'!$G$5^2)+('入力・結果'!$G$6^2)-(2*'入力・結果'!$G$3*'入力・結果'!$G$4*COS(RADIANS(S235))))/(2*'入力・結果'!$G$6*(('入力・結果'!$G$3^2)+('入力・結果'!$G$4^2)-(2*'入力・結果'!$G$3*'入力・結果'!$G$4*(COS(RADIANS(S235)))))^(1/2))))</f>
        <v>28.15531299</v>
      </c>
      <c r="AA235" s="38">
        <f>DEGREES(ACOS(('入力・結果'!$G$4-('入力・結果'!$G$3*COS(RADIANS(S235))))/((('入力・結果'!$G$3^2)+('入力・結果'!$G$4^2)-(2*'入力・結果'!$G$3*'入力・結果'!$G$4*COS(RADIANS(S235))))^(1/2))))</f>
        <v>18.69993772</v>
      </c>
      <c r="AB235" s="38">
        <f>DEGREES(ACOS((('入力・結果'!$G$3^2)+('入力・結果'!$G$4^2)+('入力・結果'!$G$5^2)-('入力・結果'!$G$6^2)-(2*'入力・結果'!$G$3*'入力・結果'!$G$4*COS(RADIANS(S235))))/(2*'入力・結果'!$G$5*(('入力・結果'!$G$3^2)+('入力・結果'!$G$4^2)-(2*'入力・結果'!$G$3*'入力・結果'!$G$4*(COS(RADIANS(S235)))))^(1/2))))</f>
        <v>21.53101118</v>
      </c>
      <c r="AC235" s="37">
        <f t="shared" si="19"/>
        <v>-265.6903775</v>
      </c>
      <c r="AD235" s="37">
        <f t="shared" si="20"/>
        <v>0</v>
      </c>
      <c r="AE235" s="37" t="str">
        <f t="shared" si="21"/>
        <v/>
      </c>
      <c r="AF235" s="37" t="str">
        <f t="shared" si="22"/>
        <v/>
      </c>
      <c r="AG235" s="35"/>
      <c r="AH235" s="35"/>
      <c r="AI235" s="35"/>
      <c r="AJ235" s="35">
        <v>232.0</v>
      </c>
      <c r="AK235" s="35">
        <f t="shared" si="1"/>
        <v>0.9403411032</v>
      </c>
    </row>
    <row r="236" ht="12.75" customHeight="1">
      <c r="A236" s="35"/>
      <c r="B236" s="37">
        <v>232.0</v>
      </c>
      <c r="C236" s="38">
        <f t="shared" si="2"/>
        <v>-30.78307377</v>
      </c>
      <c r="D236" s="38">
        <f t="shared" si="3"/>
        <v>39.40053768</v>
      </c>
      <c r="E236" s="38">
        <f>'演算'!U236</f>
        <v>54.89451735</v>
      </c>
      <c r="F236" s="38">
        <f t="shared" si="4"/>
        <v>-54.89451735</v>
      </c>
      <c r="G236" s="38">
        <f t="shared" si="5"/>
        <v>-347.0790199</v>
      </c>
      <c r="H236" s="38">
        <f t="shared" si="6"/>
        <v>489.3526179</v>
      </c>
      <c r="I236" s="39">
        <f t="shared" si="7"/>
        <v>599.9415227</v>
      </c>
      <c r="J236" s="38">
        <f t="shared" si="8"/>
        <v>54.65338595</v>
      </c>
      <c r="K236" s="38" t="str">
        <f t="shared" si="9"/>
        <v/>
      </c>
      <c r="L236" s="38">
        <f t="shared" si="10"/>
        <v>1</v>
      </c>
      <c r="M236" s="38">
        <f t="shared" si="11"/>
        <v>234.6533859</v>
      </c>
      <c r="N236" s="39">
        <f t="shared" si="12"/>
        <v>184.6533859</v>
      </c>
      <c r="O236" s="39">
        <f t="shared" si="13"/>
        <v>-597.9639472</v>
      </c>
      <c r="P236" s="39">
        <f t="shared" si="14"/>
        <v>48.67184505</v>
      </c>
      <c r="Q236" s="38">
        <f t="shared" si="15"/>
        <v>-369.3968852</v>
      </c>
      <c r="R236" s="38">
        <f t="shared" si="16"/>
        <v>-472.8064522</v>
      </c>
      <c r="S236" s="40">
        <v>232.0</v>
      </c>
      <c r="T236" s="37">
        <f t="shared" si="24"/>
        <v>2.894517352</v>
      </c>
      <c r="U236" s="37">
        <f t="shared" si="18"/>
        <v>54.89451735</v>
      </c>
      <c r="V236" s="37">
        <f t="shared" si="23"/>
        <v>1.063443889</v>
      </c>
      <c r="W236" s="37">
        <f>'入力・結果'!$I$7/V236</f>
        <v>303260.0058</v>
      </c>
      <c r="X236" s="39">
        <f>(W236/I236*10)*'入力・結果'!$I$8</f>
        <v>3032.895651</v>
      </c>
      <c r="Y236" s="38">
        <f>DEGREES(ACOS(('入力・結果'!$G$3-('入力・結果'!$G$4*COS(RADIANS(S236))))/((('入力・結果'!$G$3^2)+('入力・結果'!$G$4^2)-(2*'入力・結果'!$G$3*'入力・結果'!$G$4*COS(RADIANS(S236))))^(1/2))))</f>
        <v>32.95193717</v>
      </c>
      <c r="Z236" s="38">
        <f>DEGREES(ACOS((('入力・結果'!$G$3^2)+('入力・結果'!$G$4^2)-('入力・結果'!$G$5^2)+('入力・結果'!$G$6^2)-(2*'入力・結果'!$G$3*'入力・結果'!$G$4*COS(RADIANS(S236))))/(2*'入力・結果'!$G$6*(('入力・結果'!$G$3^2)+('入力・結果'!$G$4^2)-(2*'入力・結果'!$G$3*'入力・結果'!$G$4*(COS(RADIANS(S236)))))^(1/2))))</f>
        <v>28.71428238</v>
      </c>
      <c r="AA236" s="38">
        <f>DEGREES(ACOS(('入力・結果'!$G$4-('入力・結果'!$G$3*COS(RADIANS(S236))))/((('入力・結果'!$G$3^2)+('入力・結果'!$G$4^2)-(2*'入力・結果'!$G$3*'入力・結果'!$G$4*COS(RADIANS(S236))))^(1/2))))</f>
        <v>19.04806283</v>
      </c>
      <c r="AB236" s="38">
        <f>DEGREES(ACOS((('入力・結果'!$G$3^2)+('入力・結果'!$G$4^2)+('入力・結果'!$G$5^2)-('入力・結果'!$G$6^2)-(2*'入力・結果'!$G$3*'入力・結果'!$G$4*COS(RADIANS(S236))))/(2*'入力・結果'!$G$5*(('入力・結果'!$G$3^2)+('入力・結果'!$G$4^2)-(2*'入力・結果'!$G$3*'入力・結果'!$G$4*(COS(RADIANS(S236)))))^(1/2))))</f>
        <v>21.94258018</v>
      </c>
      <c r="AC236" s="37">
        <f t="shared" si="19"/>
        <v>-267.1043495</v>
      </c>
      <c r="AD236" s="37">
        <f t="shared" si="20"/>
        <v>0</v>
      </c>
      <c r="AE236" s="37" t="str">
        <f t="shared" si="21"/>
        <v/>
      </c>
      <c r="AF236" s="37" t="str">
        <f t="shared" si="22"/>
        <v/>
      </c>
      <c r="AG236" s="35"/>
      <c r="AH236" s="35"/>
      <c r="AI236" s="35"/>
      <c r="AJ236" s="35">
        <v>233.0</v>
      </c>
      <c r="AK236" s="35">
        <f t="shared" si="1"/>
        <v>0.9398857442</v>
      </c>
    </row>
    <row r="237" ht="12.75" customHeight="1">
      <c r="A237" s="35"/>
      <c r="B237" s="37">
        <v>233.0</v>
      </c>
      <c r="C237" s="38">
        <f t="shared" si="2"/>
        <v>-30.09075116</v>
      </c>
      <c r="D237" s="38">
        <f t="shared" si="3"/>
        <v>39.9317755</v>
      </c>
      <c r="E237" s="38">
        <f>'演算'!U237</f>
        <v>55.95847646</v>
      </c>
      <c r="F237" s="38">
        <f t="shared" si="4"/>
        <v>-55.95847646</v>
      </c>
      <c r="G237" s="38">
        <f t="shared" si="5"/>
        <v>-337.9772194</v>
      </c>
      <c r="H237" s="38">
        <f t="shared" si="6"/>
        <v>495.6794279</v>
      </c>
      <c r="I237" s="39">
        <f t="shared" si="7"/>
        <v>599.9389103</v>
      </c>
      <c r="J237" s="38">
        <f t="shared" si="8"/>
        <v>55.71202044</v>
      </c>
      <c r="K237" s="38" t="str">
        <f t="shared" si="9"/>
        <v/>
      </c>
      <c r="L237" s="38">
        <f t="shared" si="10"/>
        <v>1</v>
      </c>
      <c r="M237" s="38">
        <f t="shared" si="11"/>
        <v>235.7120204</v>
      </c>
      <c r="N237" s="39">
        <f t="shared" si="12"/>
        <v>185.7120204</v>
      </c>
      <c r="O237" s="39">
        <f t="shared" si="13"/>
        <v>-596.9600403</v>
      </c>
      <c r="P237" s="39">
        <f t="shared" si="14"/>
        <v>59.71102376</v>
      </c>
      <c r="Q237" s="38">
        <f t="shared" si="15"/>
        <v>-361.0890139</v>
      </c>
      <c r="R237" s="38">
        <f t="shared" si="16"/>
        <v>-479.181306</v>
      </c>
      <c r="S237" s="40">
        <v>233.0</v>
      </c>
      <c r="T237" s="37">
        <f t="shared" si="24"/>
        <v>2.958476462</v>
      </c>
      <c r="U237" s="37">
        <f t="shared" si="18"/>
        <v>55.95847646</v>
      </c>
      <c r="V237" s="37">
        <f t="shared" si="23"/>
        <v>1.06395911</v>
      </c>
      <c r="W237" s="37">
        <f>'入力・結果'!$I$7/V237</f>
        <v>303113.1525</v>
      </c>
      <c r="X237" s="39">
        <f>(W237/I237*10)*'入力・結果'!$I$8</f>
        <v>3031.440175</v>
      </c>
      <c r="Y237" s="38">
        <f>DEGREES(ACOS(('入力・結果'!$G$3-('入力・結果'!$G$4*COS(RADIANS(S237))))/((('入力・結果'!$G$3^2)+('入力・結果'!$G$4^2)-(2*'入力・結果'!$G$3*'入力・結果'!$G$4*COS(RADIANS(S237))))^(1/2))))</f>
        <v>33.60501108</v>
      </c>
      <c r="Z237" s="38">
        <f>DEGREES(ACOS((('入力・結果'!$G$3^2)+('入力・結果'!$G$4^2)-('入力・結果'!$G$5^2)+('入力・結果'!$G$6^2)-(2*'入力・結果'!$G$3*'入力・結果'!$G$4*COS(RADIANS(S237))))/(2*'入力・結果'!$G$6*(('入力・結果'!$G$3^2)+('入力・結果'!$G$4^2)-(2*'入力・結果'!$G$3*'入力・結果'!$G$4*(COS(RADIANS(S237)))))^(1/2))))</f>
        <v>29.27369481</v>
      </c>
      <c r="AA237" s="38">
        <f>DEGREES(ACOS(('入力・結果'!$G$4-('入力・結果'!$G$3*COS(RADIANS(S237))))/((('入力・結果'!$G$3^2)+('入力・結果'!$G$4^2)-(2*'入力・結果'!$G$3*'入力・結果'!$G$4*COS(RADIANS(S237))))^(1/2))))</f>
        <v>19.39498892</v>
      </c>
      <c r="AB237" s="38">
        <f>DEGREES(ACOS((('入力・結果'!$G$3^2)+('入力・結果'!$G$4^2)+('入力・結果'!$G$5^2)-('入力・結果'!$G$6^2)-(2*'入力・結果'!$G$3*'入力・結果'!$G$4*COS(RADIANS(S237))))/(2*'入力・結果'!$G$5*(('入力・結果'!$G$3^2)+('入力・結果'!$G$4^2)-(2*'入力・結果'!$G$3*'入力・結果'!$G$4*(COS(RADIANS(S237)))))^(1/2))))</f>
        <v>22.35346538</v>
      </c>
      <c r="AC237" s="37">
        <f t="shared" si="19"/>
        <v>-268.5598253</v>
      </c>
      <c r="AD237" s="37">
        <f t="shared" si="20"/>
        <v>0</v>
      </c>
      <c r="AE237" s="37" t="str">
        <f t="shared" si="21"/>
        <v/>
      </c>
      <c r="AF237" s="37" t="str">
        <f t="shared" si="22"/>
        <v/>
      </c>
      <c r="AG237" s="35"/>
      <c r="AH237" s="35"/>
      <c r="AI237" s="35"/>
      <c r="AJ237" s="35">
        <v>234.0</v>
      </c>
      <c r="AK237" s="35">
        <f t="shared" si="1"/>
        <v>0.9394170968</v>
      </c>
    </row>
    <row r="238" ht="12.75" customHeight="1">
      <c r="A238" s="35"/>
      <c r="B238" s="37">
        <v>234.0</v>
      </c>
      <c r="C238" s="38">
        <f t="shared" si="2"/>
        <v>-29.38926261</v>
      </c>
      <c r="D238" s="38">
        <f t="shared" si="3"/>
        <v>40.45084972</v>
      </c>
      <c r="E238" s="38">
        <f>'演算'!U238</f>
        <v>57.02296635</v>
      </c>
      <c r="F238" s="38">
        <f t="shared" si="4"/>
        <v>-57.02296635</v>
      </c>
      <c r="G238" s="38">
        <f t="shared" si="5"/>
        <v>-328.7558135</v>
      </c>
      <c r="H238" s="38">
        <f t="shared" si="6"/>
        <v>501.8396968</v>
      </c>
      <c r="I238" s="39">
        <f t="shared" si="7"/>
        <v>599.9362184</v>
      </c>
      <c r="J238" s="38">
        <f t="shared" si="8"/>
        <v>56.77114177</v>
      </c>
      <c r="K238" s="38" t="str">
        <f t="shared" si="9"/>
        <v/>
      </c>
      <c r="L238" s="38">
        <f t="shared" si="10"/>
        <v>1</v>
      </c>
      <c r="M238" s="38">
        <f t="shared" si="11"/>
        <v>236.7711418</v>
      </c>
      <c r="N238" s="39">
        <f t="shared" si="12"/>
        <v>186.7711418</v>
      </c>
      <c r="O238" s="39">
        <f t="shared" si="13"/>
        <v>-595.7516746</v>
      </c>
      <c r="P238" s="39">
        <f t="shared" si="14"/>
        <v>70.73477502</v>
      </c>
      <c r="Q238" s="38">
        <f t="shared" si="15"/>
        <v>-352.6711514</v>
      </c>
      <c r="R238" s="38">
        <f t="shared" si="16"/>
        <v>-485.4101966</v>
      </c>
      <c r="S238" s="40">
        <v>234.0</v>
      </c>
      <c r="T238" s="37">
        <f t="shared" si="24"/>
        <v>3.02296635</v>
      </c>
      <c r="U238" s="37">
        <f t="shared" si="18"/>
        <v>57.02296635</v>
      </c>
      <c r="V238" s="37">
        <f t="shared" si="23"/>
        <v>1.064489888</v>
      </c>
      <c r="W238" s="37">
        <f>'入力・結果'!$I$7/V238</f>
        <v>302962.0137</v>
      </c>
      <c r="X238" s="39">
        <f>(W238/I238*10)*'入力・結果'!$I$8</f>
        <v>3029.942228</v>
      </c>
      <c r="Y238" s="38">
        <f>DEGREES(ACOS(('入力・結果'!$G$3-('入力・結果'!$G$4*COS(RADIANS(S238))))/((('入力・結果'!$G$3^2)+('入力・結果'!$G$4^2)-(2*'入力・結果'!$G$3*'入力・結果'!$G$4*COS(RADIANS(S238))))^(1/2))))</f>
        <v>34.25931965</v>
      </c>
      <c r="Z238" s="38">
        <f>DEGREES(ACOS((('入力・結果'!$G$3^2)+('入力・結果'!$G$4^2)-('入力・結果'!$G$5^2)+('入力・結果'!$G$6^2)-(2*'入力・結果'!$G$3*'入力・結果'!$G$4*COS(RADIANS(S238))))/(2*'入力・結果'!$G$6*(('入力・結果'!$G$3^2)+('入力・結果'!$G$4^2)-(2*'入力・結果'!$G$3*'入力・結果'!$G$4*(COS(RADIANS(S238)))))^(1/2))))</f>
        <v>29.83356306</v>
      </c>
      <c r="AA238" s="38">
        <f>DEGREES(ACOS(('入力・結果'!$G$4-('入力・結果'!$G$3*COS(RADIANS(S238))))/((('入力・結果'!$G$3^2)+('入力・結果'!$G$4^2)-(2*'入力・結果'!$G$3*'入力・結果'!$G$4*COS(RADIANS(S238))))^(1/2))))</f>
        <v>19.74068035</v>
      </c>
      <c r="AB238" s="38">
        <f>DEGREES(ACOS((('入力・結果'!$G$3^2)+('入力・結果'!$G$4^2)+('入力・結果'!$G$5^2)-('入力・結果'!$G$6^2)-(2*'入力・結果'!$G$3*'入力・結果'!$G$4*COS(RADIANS(S238))))/(2*'入力・結果'!$G$5*(('入力・結果'!$G$3^2)+('入力・結果'!$G$4^2)-(2*'入力・結果'!$G$3*'入力・結果'!$G$4*(COS(RADIANS(S238)))))^(1/2))))</f>
        <v>22.7636467</v>
      </c>
      <c r="AC238" s="37">
        <f t="shared" si="19"/>
        <v>-270.0577721</v>
      </c>
      <c r="AD238" s="37">
        <f t="shared" si="20"/>
        <v>0</v>
      </c>
      <c r="AE238" s="37" t="str">
        <f t="shared" si="21"/>
        <v/>
      </c>
      <c r="AF238" s="37" t="str">
        <f t="shared" si="22"/>
        <v/>
      </c>
      <c r="AG238" s="35"/>
      <c r="AH238" s="35"/>
      <c r="AI238" s="35"/>
      <c r="AJ238" s="35">
        <v>235.0</v>
      </c>
      <c r="AK238" s="35">
        <f t="shared" si="1"/>
        <v>0.9389348469</v>
      </c>
    </row>
    <row r="239" ht="12.75" customHeight="1">
      <c r="A239" s="35"/>
      <c r="B239" s="37">
        <v>235.0</v>
      </c>
      <c r="C239" s="38">
        <f t="shared" si="2"/>
        <v>-28.67882182</v>
      </c>
      <c r="D239" s="38">
        <f t="shared" si="3"/>
        <v>40.95760221</v>
      </c>
      <c r="E239" s="38">
        <f>'演算'!U239</f>
        <v>58.08800297</v>
      </c>
      <c r="F239" s="38">
        <f t="shared" si="4"/>
        <v>-58.08800297</v>
      </c>
      <c r="G239" s="38">
        <f t="shared" si="5"/>
        <v>-319.4176698</v>
      </c>
      <c r="H239" s="38">
        <f t="shared" si="6"/>
        <v>507.8311635</v>
      </c>
      <c r="I239" s="39">
        <f t="shared" si="7"/>
        <v>599.933445</v>
      </c>
      <c r="J239" s="38">
        <f t="shared" si="8"/>
        <v>57.83076456</v>
      </c>
      <c r="K239" s="38" t="str">
        <f t="shared" si="9"/>
        <v/>
      </c>
      <c r="L239" s="38">
        <f t="shared" si="10"/>
        <v>1</v>
      </c>
      <c r="M239" s="38">
        <f t="shared" si="11"/>
        <v>237.8307646</v>
      </c>
      <c r="N239" s="39">
        <f t="shared" si="12"/>
        <v>187.8307646</v>
      </c>
      <c r="O239" s="39">
        <f t="shared" si="13"/>
        <v>-594.3389613</v>
      </c>
      <c r="P239" s="39">
        <f t="shared" si="14"/>
        <v>81.73944874</v>
      </c>
      <c r="Q239" s="38">
        <f t="shared" si="15"/>
        <v>-344.1458618</v>
      </c>
      <c r="R239" s="38">
        <f t="shared" si="16"/>
        <v>-491.4912266</v>
      </c>
      <c r="S239" s="40">
        <v>235.0</v>
      </c>
      <c r="T239" s="37">
        <f t="shared" si="24"/>
        <v>3.088002975</v>
      </c>
      <c r="U239" s="37">
        <f t="shared" si="18"/>
        <v>58.08800297</v>
      </c>
      <c r="V239" s="37">
        <f t="shared" si="23"/>
        <v>1.065036625</v>
      </c>
      <c r="W239" s="37">
        <f>'入力・結果'!$I$7/V239</f>
        <v>302806.4881</v>
      </c>
      <c r="X239" s="39">
        <f>(W239/I239*10)*'入力・結果'!$I$8</f>
        <v>3028.400806</v>
      </c>
      <c r="Y239" s="38">
        <f>DEGREES(ACOS(('入力・結果'!$G$3-('入力・結果'!$G$4*COS(RADIANS(S239))))/((('入力・結果'!$G$3^2)+('入力・結果'!$G$4^2)-(2*'入力・結果'!$G$3*'入力・結果'!$G$4*COS(RADIANS(S239))))^(1/2))))</f>
        <v>34.9148994</v>
      </c>
      <c r="Z239" s="38">
        <f>DEGREES(ACOS((('入力・結果'!$G$3^2)+('入力・結果'!$G$4^2)-('入力・結果'!$G$5^2)+('入力・結果'!$G$6^2)-(2*'入力・結果'!$G$3*'入力・結果'!$G$4*COS(RADIANS(S239))))/(2*'入力・結果'!$G$6*(('入力・結果'!$G$3^2)+('入力・結果'!$G$4^2)-(2*'入力・結果'!$G$3*'入力・結果'!$G$4*(COS(RADIANS(S239)))))^(1/2))))</f>
        <v>30.39390022</v>
      </c>
      <c r="AA239" s="38">
        <f>DEGREES(ACOS(('入力・結果'!$G$4-('入力・結果'!$G$3*COS(RADIANS(S239))))/((('入力・結果'!$G$3^2)+('入力・結果'!$G$4^2)-(2*'入力・結果'!$G$3*'入力・結果'!$G$4*COS(RADIANS(S239))))^(1/2))))</f>
        <v>20.0851006</v>
      </c>
      <c r="AB239" s="38">
        <f>DEGREES(ACOS((('入力・結果'!$G$3^2)+('入力・結果'!$G$4^2)+('入力・結果'!$G$5^2)-('入力・結果'!$G$6^2)-(2*'入力・結果'!$G$3*'入力・結果'!$G$4*COS(RADIANS(S239))))/(2*'入力・結果'!$G$5*(('入力・結果'!$G$3^2)+('入力・結果'!$G$4^2)-(2*'入力・結果'!$G$3*'入力・結果'!$G$4*(COS(RADIANS(S239)))))^(1/2))))</f>
        <v>23.17310358</v>
      </c>
      <c r="AC239" s="37">
        <f t="shared" si="19"/>
        <v>-271.5991936</v>
      </c>
      <c r="AD239" s="37">
        <f t="shared" si="20"/>
        <v>0</v>
      </c>
      <c r="AE239" s="37" t="str">
        <f t="shared" si="21"/>
        <v/>
      </c>
      <c r="AF239" s="37" t="str">
        <f t="shared" si="22"/>
        <v/>
      </c>
      <c r="AG239" s="35"/>
      <c r="AH239" s="35"/>
      <c r="AI239" s="35"/>
      <c r="AJ239" s="35">
        <v>236.0</v>
      </c>
      <c r="AK239" s="35">
        <f t="shared" si="1"/>
        <v>0.9384386684</v>
      </c>
    </row>
    <row r="240" ht="12.75" customHeight="1">
      <c r="A240" s="35"/>
      <c r="B240" s="37">
        <v>236.0</v>
      </c>
      <c r="C240" s="38">
        <f t="shared" si="2"/>
        <v>-27.95964517</v>
      </c>
      <c r="D240" s="38">
        <f t="shared" si="3"/>
        <v>41.45187863</v>
      </c>
      <c r="E240" s="38">
        <f>'演算'!U240</f>
        <v>59.15360271</v>
      </c>
      <c r="F240" s="38">
        <f t="shared" si="4"/>
        <v>-59.15360271</v>
      </c>
      <c r="G240" s="38">
        <f t="shared" si="5"/>
        <v>-309.9656937</v>
      </c>
      <c r="H240" s="38">
        <f t="shared" si="6"/>
        <v>513.6516124</v>
      </c>
      <c r="I240" s="39">
        <f t="shared" si="7"/>
        <v>599.9305878</v>
      </c>
      <c r="J240" s="38">
        <f t="shared" si="8"/>
        <v>58.89090385</v>
      </c>
      <c r="K240" s="38" t="str">
        <f t="shared" si="9"/>
        <v/>
      </c>
      <c r="L240" s="38">
        <f t="shared" si="10"/>
        <v>1</v>
      </c>
      <c r="M240" s="38">
        <f t="shared" si="11"/>
        <v>238.8909038</v>
      </c>
      <c r="N240" s="39">
        <f t="shared" si="12"/>
        <v>188.8909038</v>
      </c>
      <c r="O240" s="39">
        <f t="shared" si="13"/>
        <v>-592.7220707</v>
      </c>
      <c r="P240" s="39">
        <f t="shared" si="14"/>
        <v>92.72139491</v>
      </c>
      <c r="Q240" s="38">
        <f t="shared" si="15"/>
        <v>-335.5157421</v>
      </c>
      <c r="R240" s="38">
        <f t="shared" si="16"/>
        <v>-497.4225435</v>
      </c>
      <c r="S240" s="40">
        <v>236.0</v>
      </c>
      <c r="T240" s="37">
        <f t="shared" si="24"/>
        <v>3.153602714</v>
      </c>
      <c r="U240" s="37">
        <f t="shared" si="18"/>
        <v>59.15360271</v>
      </c>
      <c r="V240" s="37">
        <f t="shared" si="23"/>
        <v>1.065599739</v>
      </c>
      <c r="W240" s="37">
        <f>'入力・結果'!$I$7/V240</f>
        <v>302646.4705</v>
      </c>
      <c r="X240" s="39">
        <f>(W240/I240*10)*'入力・結果'!$I$8</f>
        <v>3026.814868</v>
      </c>
      <c r="Y240" s="38">
        <f>DEGREES(ACOS(('入力・結果'!$G$3-('入力・結果'!$G$4*COS(RADIANS(S240))))/((('入力・結果'!$G$3^2)+('入力・結果'!$G$4^2)-(2*'入力・結果'!$G$3*'入力・結果'!$G$4*COS(RADIANS(S240))))^(1/2))))</f>
        <v>35.57178778</v>
      </c>
      <c r="Z240" s="38">
        <f>DEGREES(ACOS((('入力・結果'!$G$3^2)+('入力・結果'!$G$4^2)-('入力・結果'!$G$5^2)+('入力・結果'!$G$6^2)-(2*'入力・結果'!$G$3*'入力・結果'!$G$4*COS(RADIANS(S240))))/(2*'入力・結果'!$G$6*(('入力・結果'!$G$3^2)+('入力・結果'!$G$4^2)-(2*'入力・結果'!$G$3*'入力・結果'!$G$4*(COS(RADIANS(S240)))))^(1/2))))</f>
        <v>30.95471967</v>
      </c>
      <c r="AA240" s="38">
        <f>DEGREES(ACOS(('入力・結果'!$G$4-('入力・結果'!$G$3*COS(RADIANS(S240))))/((('入力・結果'!$G$3^2)+('入力・結果'!$G$4^2)-(2*'入力・結果'!$G$3*'入力・結果'!$G$4*COS(RADIANS(S240))))^(1/2))))</f>
        <v>20.42821222</v>
      </c>
      <c r="AB240" s="38">
        <f>DEGREES(ACOS((('入力・結果'!$G$3^2)+('入力・結果'!$G$4^2)+('入力・結果'!$G$5^2)-('入力・結果'!$G$6^2)-(2*'入力・結果'!$G$3*'入力・結果'!$G$4*COS(RADIANS(S240))))/(2*'入力・結果'!$G$5*(('入力・結果'!$G$3^2)+('入力・結果'!$G$4^2)-(2*'入力・結果'!$G$3*'入力・結果'!$G$4*(COS(RADIANS(S240)))))^(1/2))))</f>
        <v>23.58181494</v>
      </c>
      <c r="AC240" s="37">
        <f t="shared" si="19"/>
        <v>-273.1851315</v>
      </c>
      <c r="AD240" s="37">
        <f t="shared" si="20"/>
        <v>0</v>
      </c>
      <c r="AE240" s="37" t="str">
        <f t="shared" si="21"/>
        <v/>
      </c>
      <c r="AF240" s="37" t="str">
        <f t="shared" si="22"/>
        <v/>
      </c>
      <c r="AG240" s="35"/>
      <c r="AH240" s="35"/>
      <c r="AI240" s="35"/>
      <c r="AJ240" s="35">
        <v>237.0</v>
      </c>
      <c r="AK240" s="35">
        <f t="shared" si="1"/>
        <v>0.9379282229</v>
      </c>
    </row>
    <row r="241" ht="12.75" customHeight="1">
      <c r="A241" s="35"/>
      <c r="B241" s="37">
        <v>237.0</v>
      </c>
      <c r="C241" s="38">
        <f t="shared" si="2"/>
        <v>-27.23195175</v>
      </c>
      <c r="D241" s="38">
        <f t="shared" si="3"/>
        <v>41.9335284</v>
      </c>
      <c r="E241" s="38">
        <f>'演算'!U241</f>
        <v>60.21978238</v>
      </c>
      <c r="F241" s="38">
        <f t="shared" si="4"/>
        <v>-60.21978238</v>
      </c>
      <c r="G241" s="38">
        <f t="shared" si="5"/>
        <v>-300.4028278</v>
      </c>
      <c r="H241" s="38">
        <f t="shared" si="6"/>
        <v>519.2988733</v>
      </c>
      <c r="I241" s="39">
        <f t="shared" si="7"/>
        <v>599.9276446</v>
      </c>
      <c r="J241" s="38">
        <f t="shared" si="8"/>
        <v>59.95157506</v>
      </c>
      <c r="K241" s="38" t="str">
        <f t="shared" si="9"/>
        <v/>
      </c>
      <c r="L241" s="38">
        <f t="shared" si="10"/>
        <v>1</v>
      </c>
      <c r="M241" s="38">
        <f t="shared" si="11"/>
        <v>239.9515751</v>
      </c>
      <c r="N241" s="39">
        <f t="shared" si="12"/>
        <v>189.9515751</v>
      </c>
      <c r="O241" s="39">
        <f t="shared" si="13"/>
        <v>-590.9012318</v>
      </c>
      <c r="P241" s="39">
        <f t="shared" si="14"/>
        <v>103.6769645</v>
      </c>
      <c r="Q241" s="38">
        <f t="shared" si="15"/>
        <v>-326.783421</v>
      </c>
      <c r="R241" s="38">
        <f t="shared" si="16"/>
        <v>-503.2023408</v>
      </c>
      <c r="S241" s="40">
        <v>237.0</v>
      </c>
      <c r="T241" s="37">
        <f t="shared" si="24"/>
        <v>3.21978238</v>
      </c>
      <c r="U241" s="37">
        <f t="shared" si="18"/>
        <v>60.21978238</v>
      </c>
      <c r="V241" s="37">
        <f t="shared" si="23"/>
        <v>1.066179667</v>
      </c>
      <c r="W241" s="37">
        <f>'入力・結果'!$I$7/V241</f>
        <v>302481.8519</v>
      </c>
      <c r="X241" s="39">
        <f>(W241/I241*10)*'入力・結果'!$I$8</f>
        <v>3025.183333</v>
      </c>
      <c r="Y241" s="38">
        <f>DEGREES(ACOS(('入力・結果'!$G$3-('入力・結果'!$G$4*COS(RADIANS(S241))))/((('入力・結果'!$G$3^2)+('入力・結果'!$G$4^2)-(2*'入力・結果'!$G$3*'入力・結果'!$G$4*COS(RADIANS(S241))))^(1/2))))</f>
        <v>36.23002318</v>
      </c>
      <c r="Z241" s="38">
        <f>DEGREES(ACOS((('入力・結果'!$G$3^2)+('入力・結果'!$G$4^2)-('入力・結果'!$G$5^2)+('入力・結果'!$G$6^2)-(2*'入力・結果'!$G$3*'入力・結果'!$G$4*COS(RADIANS(S241))))/(2*'入力・結果'!$G$6*(('入力・結果'!$G$3^2)+('入力・結果'!$G$4^2)-(2*'入力・結果'!$G$3*'入力・結果'!$G$4*(COS(RADIANS(S241)))))^(1/2))))</f>
        <v>31.5160351</v>
      </c>
      <c r="AA241" s="38">
        <f>DEGREES(ACOS(('入力・結果'!$G$4-('入力・結果'!$G$3*COS(RADIANS(S241))))/((('入力・結果'!$G$3^2)+('入力・結果'!$G$4^2)-(2*'入力・結果'!$G$3*'入力・結果'!$G$4*COS(RADIANS(S241))))^(1/2))))</f>
        <v>20.76997682</v>
      </c>
      <c r="AB241" s="38">
        <f>DEGREES(ACOS((('入力・結果'!$G$3^2)+('入力・結果'!$G$4^2)+('入力・結果'!$G$5^2)-('入力・結果'!$G$6^2)-(2*'入力・結果'!$G$3*'入力・結果'!$G$4*COS(RADIANS(S241))))/(2*'入力・結果'!$G$5*(('入力・結果'!$G$3^2)+('入力・結果'!$G$4^2)-(2*'入力・結果'!$G$3*'入力・結果'!$G$4*(COS(RADIANS(S241)))))^(1/2))))</f>
        <v>23.9897592</v>
      </c>
      <c r="AC241" s="37">
        <f t="shared" si="19"/>
        <v>-274.8166672</v>
      </c>
      <c r="AD241" s="37">
        <f t="shared" si="20"/>
        <v>0</v>
      </c>
      <c r="AE241" s="37" t="str">
        <f t="shared" si="21"/>
        <v/>
      </c>
      <c r="AF241" s="37" t="str">
        <f t="shared" si="22"/>
        <v/>
      </c>
      <c r="AG241" s="35"/>
      <c r="AH241" s="35"/>
      <c r="AI241" s="35"/>
      <c r="AJ241" s="35">
        <v>238.0</v>
      </c>
      <c r="AK241" s="35">
        <f t="shared" si="1"/>
        <v>0.9374031591</v>
      </c>
    </row>
    <row r="242" ht="12.75" customHeight="1">
      <c r="A242" s="35"/>
      <c r="B242" s="37">
        <v>238.0</v>
      </c>
      <c r="C242" s="38">
        <f t="shared" si="2"/>
        <v>-26.49596321</v>
      </c>
      <c r="D242" s="38">
        <f t="shared" si="3"/>
        <v>42.40240481</v>
      </c>
      <c r="E242" s="38">
        <f>'演算'!U242</f>
        <v>61.28655924</v>
      </c>
      <c r="F242" s="38">
        <f t="shared" si="4"/>
        <v>-61.28655924</v>
      </c>
      <c r="G242" s="38">
        <f t="shared" si="5"/>
        <v>-290.7320507</v>
      </c>
      <c r="H242" s="38">
        <f t="shared" si="6"/>
        <v>524.7708222</v>
      </c>
      <c r="I242" s="39">
        <f t="shared" si="7"/>
        <v>599.9246129</v>
      </c>
      <c r="J242" s="38">
        <f t="shared" si="8"/>
        <v>61.01279403</v>
      </c>
      <c r="K242" s="38" t="str">
        <f t="shared" si="9"/>
        <v/>
      </c>
      <c r="L242" s="38">
        <f t="shared" si="10"/>
        <v>1</v>
      </c>
      <c r="M242" s="38">
        <f t="shared" si="11"/>
        <v>241.012794</v>
      </c>
      <c r="N242" s="39">
        <f t="shared" si="12"/>
        <v>191.012794</v>
      </c>
      <c r="O242" s="39">
        <f t="shared" si="13"/>
        <v>-588.8767322</v>
      </c>
      <c r="P242" s="39">
        <f t="shared" si="14"/>
        <v>114.6025105</v>
      </c>
      <c r="Q242" s="38">
        <f t="shared" si="15"/>
        <v>-317.9515585</v>
      </c>
      <c r="R242" s="38">
        <f t="shared" si="16"/>
        <v>-508.8288577</v>
      </c>
      <c r="S242" s="40">
        <v>238.0</v>
      </c>
      <c r="T242" s="37">
        <f t="shared" si="24"/>
        <v>3.286559242</v>
      </c>
      <c r="U242" s="37">
        <f t="shared" si="18"/>
        <v>61.28655924</v>
      </c>
      <c r="V242" s="37">
        <f t="shared" si="23"/>
        <v>1.066776861</v>
      </c>
      <c r="W242" s="37">
        <f>'入力・結果'!$I$7/V242</f>
        <v>302312.5188</v>
      </c>
      <c r="X242" s="39">
        <f>(W242/I242*10)*'入力・結果'!$I$8</f>
        <v>3023.505077</v>
      </c>
      <c r="Y242" s="38">
        <f>DEGREES(ACOS(('入力・結果'!$G$3-('入力・結果'!$G$4*COS(RADIANS(S242))))/((('入力・結果'!$G$3^2)+('入力・結果'!$G$4^2)-(2*'入力・結果'!$G$3*'入力・結果'!$G$4*COS(RADIANS(S242))))^(1/2))))</f>
        <v>36.88964501</v>
      </c>
      <c r="Z242" s="38">
        <f>DEGREES(ACOS((('入力・結果'!$G$3^2)+('入力・結果'!$G$4^2)-('入力・結果'!$G$5^2)+('入力・結果'!$G$6^2)-(2*'入力・結果'!$G$3*'入力・結果'!$G$4*COS(RADIANS(S242))))/(2*'入力・結果'!$G$6*(('入力・結果'!$G$3^2)+('入力・結果'!$G$4^2)-(2*'入力・結果'!$G$3*'入力・結果'!$G$4*(COS(RADIANS(S242)))))^(1/2))))</f>
        <v>32.07786053</v>
      </c>
      <c r="AA242" s="38">
        <f>DEGREES(ACOS(('入力・結果'!$G$4-('入力・結果'!$G$3*COS(RADIANS(S242))))/((('入力・結果'!$G$3^2)+('入力・結果'!$G$4^2)-(2*'入力・結果'!$G$3*'入力・結果'!$G$4*COS(RADIANS(S242))))^(1/2))))</f>
        <v>21.11035499</v>
      </c>
      <c r="AB242" s="38">
        <f>DEGREES(ACOS((('入力・結果'!$G$3^2)+('入力・結果'!$G$4^2)+('入力・結果'!$G$5^2)-('入力・結果'!$G$6^2)-(2*'入力・結果'!$G$3*'入力・結果'!$G$4*COS(RADIANS(S242))))/(2*'入力・結果'!$G$5*(('入力・結果'!$G$3^2)+('入力・結果'!$G$4^2)-(2*'入力・結果'!$G$3*'入力・結果'!$G$4*(COS(RADIANS(S242)))))^(1/2))))</f>
        <v>24.39691423</v>
      </c>
      <c r="AC242" s="37">
        <f t="shared" si="19"/>
        <v>-276.4949228</v>
      </c>
      <c r="AD242" s="37">
        <f t="shared" si="20"/>
        <v>0</v>
      </c>
      <c r="AE242" s="37" t="str">
        <f t="shared" si="21"/>
        <v/>
      </c>
      <c r="AF242" s="37" t="str">
        <f t="shared" si="22"/>
        <v/>
      </c>
      <c r="AG242" s="35"/>
      <c r="AH242" s="35"/>
      <c r="AI242" s="35"/>
      <c r="AJ242" s="35">
        <v>239.0</v>
      </c>
      <c r="AK242" s="35">
        <f t="shared" si="1"/>
        <v>0.9368631125</v>
      </c>
    </row>
    <row r="243" ht="12.75" customHeight="1">
      <c r="A243" s="35"/>
      <c r="B243" s="37">
        <v>239.0</v>
      </c>
      <c r="C243" s="38">
        <f t="shared" si="2"/>
        <v>-25.75190375</v>
      </c>
      <c r="D243" s="38">
        <f t="shared" si="3"/>
        <v>42.85836504</v>
      </c>
      <c r="E243" s="38">
        <f>'演算'!U243</f>
        <v>62.35395104</v>
      </c>
      <c r="F243" s="38">
        <f t="shared" si="4"/>
        <v>-62.35395104</v>
      </c>
      <c r="G243" s="38">
        <f t="shared" si="5"/>
        <v>-280.9563767</v>
      </c>
      <c r="H243" s="38">
        <f t="shared" si="6"/>
        <v>530.0653816</v>
      </c>
      <c r="I243" s="39">
        <f t="shared" si="7"/>
        <v>599.9214902</v>
      </c>
      <c r="J243" s="38">
        <f t="shared" si="8"/>
        <v>62.07457705</v>
      </c>
      <c r="K243" s="38" t="str">
        <f t="shared" si="9"/>
        <v/>
      </c>
      <c r="L243" s="38">
        <f t="shared" si="10"/>
        <v>1</v>
      </c>
      <c r="M243" s="38">
        <f t="shared" si="11"/>
        <v>242.074577</v>
      </c>
      <c r="N243" s="39">
        <f t="shared" si="12"/>
        <v>192.074577</v>
      </c>
      <c r="O243" s="39">
        <f t="shared" si="13"/>
        <v>-586.6489179</v>
      </c>
      <c r="P243" s="39">
        <f t="shared" si="14"/>
        <v>125.4943885</v>
      </c>
      <c r="Q243" s="38">
        <f t="shared" si="15"/>
        <v>-309.0228449</v>
      </c>
      <c r="R243" s="38">
        <f t="shared" si="16"/>
        <v>-514.3003804</v>
      </c>
      <c r="S243" s="40">
        <v>239.0</v>
      </c>
      <c r="T243" s="37">
        <f t="shared" si="24"/>
        <v>3.353951037</v>
      </c>
      <c r="U243" s="37">
        <f t="shared" si="18"/>
        <v>62.35395104</v>
      </c>
      <c r="V243" s="37">
        <f t="shared" si="23"/>
        <v>1.067391796</v>
      </c>
      <c r="W243" s="37">
        <f>'入力・結果'!$I$7/V243</f>
        <v>302138.3538</v>
      </c>
      <c r="X243" s="39">
        <f>(W243/I243*10)*'入力・結果'!$I$8</f>
        <v>3021.778937</v>
      </c>
      <c r="Y243" s="38">
        <f>DEGREES(ACOS(('入力・結果'!$G$3-('入力・結果'!$G$4*COS(RADIANS(S243))))/((('入力・結果'!$G$3^2)+('入力・結果'!$G$4^2)-(2*'入力・結果'!$G$3*'入力・結果'!$G$4*COS(RADIANS(S243))))^(1/2))))</f>
        <v>37.55069368</v>
      </c>
      <c r="Z243" s="38">
        <f>DEGREES(ACOS((('入力・結果'!$G$3^2)+('入力・結果'!$G$4^2)-('入力・結果'!$G$5^2)+('入力・結果'!$G$6^2)-(2*'入力・結果'!$G$3*'入力・結果'!$G$4*COS(RADIANS(S243))))/(2*'入力・結果'!$G$6*(('入力・結果'!$G$3^2)+('入力・結果'!$G$4^2)-(2*'入力・結果'!$G$3*'入力・結果'!$G$4*(COS(RADIANS(S243)))))^(1/2))))</f>
        <v>32.64021033</v>
      </c>
      <c r="AA243" s="38">
        <f>DEGREES(ACOS(('入力・結果'!$G$4-('入力・結果'!$G$3*COS(RADIANS(S243))))/((('入力・結果'!$G$3^2)+('入力・結果'!$G$4^2)-(2*'入力・結果'!$G$3*'入力・結果'!$G$4*COS(RADIANS(S243))))^(1/2))))</f>
        <v>21.44930632</v>
      </c>
      <c r="AB243" s="38">
        <f>DEGREES(ACOS((('入力・結果'!$G$3^2)+('入力・結果'!$G$4^2)+('入力・結果'!$G$5^2)-('入力・結果'!$G$6^2)-(2*'入力・結果'!$G$3*'入力・結果'!$G$4*COS(RADIANS(S243))))/(2*'入力・結果'!$G$5*(('入力・結果'!$G$3^2)+('入力・結果'!$G$4^2)-(2*'入力・結果'!$G$3*'入力・結果'!$G$4*(COS(RADIANS(S243)))))^(1/2))))</f>
        <v>24.80325736</v>
      </c>
      <c r="AC243" s="37">
        <f t="shared" si="19"/>
        <v>-278.2210632</v>
      </c>
      <c r="AD243" s="37">
        <f t="shared" si="20"/>
        <v>0</v>
      </c>
      <c r="AE243" s="37" t="str">
        <f t="shared" si="21"/>
        <v/>
      </c>
      <c r="AF243" s="37" t="str">
        <f t="shared" si="22"/>
        <v/>
      </c>
      <c r="AG243" s="35"/>
      <c r="AH243" s="35"/>
      <c r="AI243" s="35"/>
      <c r="AJ243" s="35">
        <v>240.0</v>
      </c>
      <c r="AK243" s="35">
        <f t="shared" si="1"/>
        <v>0.9363077048</v>
      </c>
    </row>
    <row r="244" ht="12.75" customHeight="1">
      <c r="A244" s="35"/>
      <c r="B244" s="37">
        <v>240.0</v>
      </c>
      <c r="C244" s="38">
        <f t="shared" si="2"/>
        <v>-25</v>
      </c>
      <c r="D244" s="38">
        <f t="shared" si="3"/>
        <v>43.30127019</v>
      </c>
      <c r="E244" s="38">
        <f>'演算'!U244</f>
        <v>63.421976</v>
      </c>
      <c r="F244" s="38">
        <f t="shared" si="4"/>
        <v>-63.421976</v>
      </c>
      <c r="G244" s="38">
        <f t="shared" si="5"/>
        <v>-271.0788544</v>
      </c>
      <c r="H244" s="38">
        <f t="shared" si="6"/>
        <v>535.180521</v>
      </c>
      <c r="I244" s="39">
        <f t="shared" si="7"/>
        <v>599.9182739</v>
      </c>
      <c r="J244" s="38">
        <f t="shared" si="8"/>
        <v>63.13694083</v>
      </c>
      <c r="K244" s="38" t="str">
        <f t="shared" si="9"/>
        <v/>
      </c>
      <c r="L244" s="38">
        <f t="shared" si="10"/>
        <v>1</v>
      </c>
      <c r="M244" s="38">
        <f t="shared" si="11"/>
        <v>243.1369408</v>
      </c>
      <c r="N244" s="39">
        <f t="shared" si="12"/>
        <v>193.1369408</v>
      </c>
      <c r="O244" s="39">
        <f t="shared" si="13"/>
        <v>-584.2181931</v>
      </c>
      <c r="P244" s="39">
        <f t="shared" si="14"/>
        <v>136.3489578</v>
      </c>
      <c r="Q244" s="38">
        <f t="shared" si="15"/>
        <v>-300</v>
      </c>
      <c r="R244" s="38">
        <f t="shared" si="16"/>
        <v>-519.6152423</v>
      </c>
      <c r="S244" s="40">
        <v>240.0</v>
      </c>
      <c r="T244" s="37">
        <f t="shared" si="24"/>
        <v>3.421975998</v>
      </c>
      <c r="U244" s="37">
        <f t="shared" si="18"/>
        <v>63.421976</v>
      </c>
      <c r="V244" s="37">
        <f t="shared" si="23"/>
        <v>1.068024961</v>
      </c>
      <c r="W244" s="37">
        <f>'入力・結果'!$I$7/V244</f>
        <v>301959.2348</v>
      </c>
      <c r="X244" s="39">
        <f>(W244/I244*10)*'入力・結果'!$I$8</f>
        <v>3020.003703</v>
      </c>
      <c r="Y244" s="38">
        <f>DEGREES(ACOS(('入力・結果'!$G$3-('入力・結果'!$G$4*COS(RADIANS(S244))))/((('入力・結果'!$G$3^2)+('入力・結果'!$G$4^2)-(2*'入力・結果'!$G$3*'入力・結果'!$G$4*COS(RADIANS(S244))))^(1/2))))</f>
        <v>38.2132107</v>
      </c>
      <c r="Z244" s="38">
        <f>DEGREES(ACOS((('入力・結果'!$G$3^2)+('入力・結果'!$G$4^2)-('入力・結果'!$G$5^2)+('入力・結果'!$G$6^2)-(2*'入力・結果'!$G$3*'入力・結果'!$G$4*COS(RADIANS(S244))))/(2*'入力・結果'!$G$6*(('入力・結果'!$G$3^2)+('入力・結果'!$G$4^2)-(2*'入力・結果'!$G$3*'入力・結果'!$G$4*(COS(RADIANS(S244)))))^(1/2))))</f>
        <v>33.2030992</v>
      </c>
      <c r="AA244" s="38">
        <f>DEGREES(ACOS(('入力・結果'!$G$4-('入力・結果'!$G$3*COS(RADIANS(S244))))/((('入力・結果'!$G$3^2)+('入力・結果'!$G$4^2)-(2*'入力・結果'!$G$3*'入力・結果'!$G$4*COS(RADIANS(S244))))^(1/2))))</f>
        <v>21.7867893</v>
      </c>
      <c r="AB244" s="38">
        <f>DEGREES(ACOS((('入力・結果'!$G$3^2)+('入力・結果'!$G$4^2)+('入力・結果'!$G$5^2)-('入力・結果'!$G$6^2)-(2*'入力・結果'!$G$3*'入力・結果'!$G$4*COS(RADIANS(S244))))/(2*'入力・結果'!$G$5*(('入力・結果'!$G$3^2)+('入力・結果'!$G$4^2)-(2*'入力・結果'!$G$3*'入力・結果'!$G$4*(COS(RADIANS(S244)))))^(1/2))))</f>
        <v>25.2087653</v>
      </c>
      <c r="AC244" s="37">
        <f t="shared" si="19"/>
        <v>-279.9962971</v>
      </c>
      <c r="AD244" s="37">
        <f t="shared" si="20"/>
        <v>0</v>
      </c>
      <c r="AE244" s="37" t="str">
        <f t="shared" si="21"/>
        <v/>
      </c>
      <c r="AF244" s="37" t="str">
        <f t="shared" si="22"/>
        <v/>
      </c>
      <c r="AG244" s="35"/>
      <c r="AH244" s="35"/>
      <c r="AI244" s="35"/>
      <c r="AJ244" s="35">
        <v>241.0</v>
      </c>
      <c r="AK244" s="35">
        <f t="shared" si="1"/>
        <v>0.9357365431</v>
      </c>
    </row>
    <row r="245" ht="12.75" customHeight="1">
      <c r="A245" s="35"/>
      <c r="B245" s="37">
        <v>241.0</v>
      </c>
      <c r="C245" s="38">
        <f t="shared" si="2"/>
        <v>-24.24048101</v>
      </c>
      <c r="D245" s="38">
        <f t="shared" si="3"/>
        <v>43.73098536</v>
      </c>
      <c r="E245" s="38">
        <f>'演算'!U245</f>
        <v>64.49065287</v>
      </c>
      <c r="F245" s="38">
        <f t="shared" si="4"/>
        <v>-64.49065287</v>
      </c>
      <c r="G245" s="38">
        <f t="shared" si="5"/>
        <v>-261.1025665</v>
      </c>
      <c r="H245" s="38">
        <f t="shared" si="6"/>
        <v>540.1142571</v>
      </c>
      <c r="I245" s="39">
        <f t="shared" si="7"/>
        <v>599.9149614</v>
      </c>
      <c r="J245" s="38">
        <f t="shared" si="8"/>
        <v>64.19990259</v>
      </c>
      <c r="K245" s="38" t="str">
        <f t="shared" si="9"/>
        <v/>
      </c>
      <c r="L245" s="38">
        <f t="shared" si="10"/>
        <v>1</v>
      </c>
      <c r="M245" s="38">
        <f t="shared" si="11"/>
        <v>244.1999026</v>
      </c>
      <c r="N245" s="39">
        <f t="shared" si="12"/>
        <v>194.1999026</v>
      </c>
      <c r="O245" s="39">
        <f t="shared" si="13"/>
        <v>-581.5850199</v>
      </c>
      <c r="P245" s="39">
        <f t="shared" si="14"/>
        <v>147.1625821</v>
      </c>
      <c r="Q245" s="38">
        <f t="shared" si="15"/>
        <v>-290.8857721</v>
      </c>
      <c r="R245" s="38">
        <f t="shared" si="16"/>
        <v>-524.7718243</v>
      </c>
      <c r="S245" s="40">
        <v>241.0</v>
      </c>
      <c r="T245" s="37">
        <f t="shared" si="24"/>
        <v>3.490652869</v>
      </c>
      <c r="U245" s="37">
        <f t="shared" si="18"/>
        <v>64.49065287</v>
      </c>
      <c r="V245" s="37">
        <f t="shared" si="23"/>
        <v>1.06867687</v>
      </c>
      <c r="W245" s="37">
        <f>'入力・結果'!$I$7/V245</f>
        <v>301775.0351</v>
      </c>
      <c r="X245" s="39">
        <f>(W245/I245*10)*'入力・結果'!$I$8</f>
        <v>3018.178121</v>
      </c>
      <c r="Y245" s="38">
        <f>DEGREES(ACOS(('入力・結果'!$G$3-('入力・結果'!$G$4*COS(RADIANS(S245))))/((('入力・結果'!$G$3^2)+('入力・結果'!$G$4^2)-(2*'入力・結果'!$G$3*'入力・結果'!$G$4*COS(RADIANS(S245))))^(1/2))))</f>
        <v>38.87723869</v>
      </c>
      <c r="Z245" s="38">
        <f>DEGREES(ACOS((('入力・結果'!$G$3^2)+('入力・結果'!$G$4^2)-('入力・結果'!$G$5^2)+('入力・結果'!$G$6^2)-(2*'入力・結果'!$G$3*'入力・結果'!$G$4*COS(RADIANS(S245))))/(2*'入力・結果'!$G$6*(('入力・結果'!$G$3^2)+('入力・結果'!$G$4^2)-(2*'入力・結果'!$G$3*'入力・結果'!$G$4*(COS(RADIANS(S245)))))^(1/2))))</f>
        <v>33.76654221</v>
      </c>
      <c r="AA245" s="38">
        <f>DEGREES(ACOS(('入力・結果'!$G$4-('入力・結果'!$G$3*COS(RADIANS(S245))))/((('入力・結果'!$G$3^2)+('入力・結果'!$G$4^2)-(2*'入力・結果'!$G$3*'入力・結果'!$G$4*COS(RADIANS(S245))))^(1/2))))</f>
        <v>22.12276131</v>
      </c>
      <c r="AB245" s="38">
        <f>DEGREES(ACOS((('入力・結果'!$G$3^2)+('入力・結果'!$G$4^2)+('入力・結果'!$G$5^2)-('入力・結果'!$G$6^2)-(2*'入力・結果'!$G$3*'入力・結果'!$G$4*COS(RADIANS(S245))))/(2*'入力・結果'!$G$5*(('入力・結果'!$G$3^2)+('入力・結果'!$G$4^2)-(2*'入力・結果'!$G$3*'入力・結果'!$G$4*(COS(RADIANS(S245)))))^(1/2))))</f>
        <v>25.61341418</v>
      </c>
      <c r="AC245" s="37">
        <f t="shared" si="19"/>
        <v>-281.8218794</v>
      </c>
      <c r="AD245" s="37">
        <f t="shared" si="20"/>
        <v>0</v>
      </c>
      <c r="AE245" s="37" t="str">
        <f t="shared" si="21"/>
        <v/>
      </c>
      <c r="AF245" s="37" t="str">
        <f t="shared" si="22"/>
        <v/>
      </c>
      <c r="AG245" s="35"/>
      <c r="AH245" s="35"/>
      <c r="AI245" s="35"/>
      <c r="AJ245" s="35">
        <v>242.0</v>
      </c>
      <c r="AK245" s="35">
        <f t="shared" si="1"/>
        <v>0.9351492197</v>
      </c>
    </row>
    <row r="246" ht="12.75" customHeight="1">
      <c r="A246" s="35"/>
      <c r="B246" s="37">
        <v>242.0</v>
      </c>
      <c r="C246" s="38">
        <f t="shared" si="2"/>
        <v>-23.47357814</v>
      </c>
      <c r="D246" s="38">
        <f t="shared" si="3"/>
        <v>44.14737964</v>
      </c>
      <c r="E246" s="38">
        <f>'演算'!U246</f>
        <v>65.56000092</v>
      </c>
      <c r="F246" s="38">
        <f t="shared" si="4"/>
        <v>-65.56000092</v>
      </c>
      <c r="G246" s="38">
        <f t="shared" si="5"/>
        <v>-251.0306285</v>
      </c>
      <c r="H246" s="38">
        <f t="shared" si="6"/>
        <v>544.864654</v>
      </c>
      <c r="I246" s="39">
        <f t="shared" si="7"/>
        <v>599.9115498</v>
      </c>
      <c r="J246" s="38">
        <f t="shared" si="8"/>
        <v>65.26347999</v>
      </c>
      <c r="K246" s="38" t="str">
        <f t="shared" si="9"/>
        <v/>
      </c>
      <c r="L246" s="38">
        <f t="shared" si="10"/>
        <v>1</v>
      </c>
      <c r="M246" s="38">
        <f t="shared" si="11"/>
        <v>245.26348</v>
      </c>
      <c r="N246" s="39">
        <f t="shared" si="12"/>
        <v>195.26348</v>
      </c>
      <c r="O246" s="39">
        <f t="shared" si="13"/>
        <v>-578.7499181</v>
      </c>
      <c r="P246" s="39">
        <f t="shared" si="14"/>
        <v>157.9316305</v>
      </c>
      <c r="Q246" s="38">
        <f t="shared" si="15"/>
        <v>-281.6829377</v>
      </c>
      <c r="R246" s="38">
        <f t="shared" si="16"/>
        <v>-529.7685557</v>
      </c>
      <c r="S246" s="40">
        <v>242.0</v>
      </c>
      <c r="T246" s="37">
        <f t="shared" si="24"/>
        <v>3.560000924</v>
      </c>
      <c r="U246" s="37">
        <f t="shared" si="18"/>
        <v>65.56000092</v>
      </c>
      <c r="V246" s="37">
        <f t="shared" si="23"/>
        <v>1.069348056</v>
      </c>
      <c r="W246" s="37">
        <f>'入力・結果'!$I$7/V246</f>
        <v>301585.6234</v>
      </c>
      <c r="X246" s="39">
        <f>(W246/I246*10)*'入力・結果'!$I$8</f>
        <v>3016.300887</v>
      </c>
      <c r="Y246" s="38">
        <f>DEGREES(ACOS(('入力・結果'!$G$3-('入力・結果'!$G$4*COS(RADIANS(S246))))/((('入力・結果'!$G$3^2)+('入力・結果'!$G$4^2)-(2*'入力・結果'!$G$3*'入力・結果'!$G$4*COS(RADIANS(S246))))^(1/2))))</f>
        <v>39.54282142</v>
      </c>
      <c r="Z246" s="38">
        <f>DEGREES(ACOS((('入力・結果'!$G$3^2)+('入力・結果'!$G$4^2)-('入力・結果'!$G$5^2)+('入力・結果'!$G$6^2)-(2*'入力・結果'!$G$3*'入力・結果'!$G$4*COS(RADIANS(S246))))/(2*'入力・結果'!$G$6*(('入力・結果'!$G$3^2)+('入力・結果'!$G$4^2)-(2*'入力・結果'!$G$3*'入力・結果'!$G$4*(COS(RADIANS(S246)))))^(1/2))))</f>
        <v>34.3305548</v>
      </c>
      <c r="AA246" s="38">
        <f>DEGREES(ACOS(('入力・結果'!$G$4-('入力・結果'!$G$3*COS(RADIANS(S246))))/((('入力・結果'!$G$3^2)+('入力・結果'!$G$4^2)-(2*'入力・結果'!$G$3*'入力・結果'!$G$4*COS(RADIANS(S246))))^(1/2))))</f>
        <v>22.45717858</v>
      </c>
      <c r="AB246" s="38">
        <f>DEGREES(ACOS((('入力・結果'!$G$3^2)+('入力・結果'!$G$4^2)+('入力・結果'!$G$5^2)-('入力・結果'!$G$6^2)-(2*'入力・結果'!$G$3*'入力・結果'!$G$4*COS(RADIANS(S246))))/(2*'入力・結果'!$G$5*(('入力・結果'!$G$3^2)+('入力・結果'!$G$4^2)-(2*'入力・結果'!$G$3*'入力・結果'!$G$4*(COS(RADIANS(S246)))))^(1/2))))</f>
        <v>26.0171795</v>
      </c>
      <c r="AC246" s="37">
        <f t="shared" si="19"/>
        <v>-283.6991125</v>
      </c>
      <c r="AD246" s="37">
        <f t="shared" si="20"/>
        <v>0</v>
      </c>
      <c r="AE246" s="37" t="str">
        <f t="shared" si="21"/>
        <v/>
      </c>
      <c r="AF246" s="37" t="str">
        <f t="shared" si="22"/>
        <v/>
      </c>
      <c r="AG246" s="35"/>
      <c r="AH246" s="35"/>
      <c r="AI246" s="35"/>
      <c r="AJ246" s="35">
        <v>243.0</v>
      </c>
      <c r="AK246" s="35">
        <f t="shared" si="1"/>
        <v>0.9345453115</v>
      </c>
    </row>
    <row r="247" ht="12.75" customHeight="1">
      <c r="A247" s="35"/>
      <c r="B247" s="37">
        <v>243.0</v>
      </c>
      <c r="C247" s="38">
        <f t="shared" si="2"/>
        <v>-22.69952499</v>
      </c>
      <c r="D247" s="38">
        <f t="shared" si="3"/>
        <v>44.55032621</v>
      </c>
      <c r="E247" s="38">
        <f>'演算'!U247</f>
        <v>66.63004</v>
      </c>
      <c r="F247" s="38">
        <f t="shared" si="4"/>
        <v>-66.63004</v>
      </c>
      <c r="G247" s="38">
        <f t="shared" si="5"/>
        <v>-240.8661881</v>
      </c>
      <c r="H247" s="38">
        <f t="shared" si="6"/>
        <v>549.4298238</v>
      </c>
      <c r="I247" s="39">
        <f t="shared" si="7"/>
        <v>599.9080362</v>
      </c>
      <c r="J247" s="38">
        <f t="shared" si="8"/>
        <v>66.32769125</v>
      </c>
      <c r="K247" s="38" t="str">
        <f t="shared" si="9"/>
        <v/>
      </c>
      <c r="L247" s="38">
        <f t="shared" si="10"/>
        <v>1</v>
      </c>
      <c r="M247" s="38">
        <f t="shared" si="11"/>
        <v>246.3276913</v>
      </c>
      <c r="N247" s="39">
        <f t="shared" si="12"/>
        <v>196.3276913</v>
      </c>
      <c r="O247" s="39">
        <f t="shared" si="13"/>
        <v>-575.7134647</v>
      </c>
      <c r="P247" s="39">
        <f t="shared" si="14"/>
        <v>168.6524782</v>
      </c>
      <c r="Q247" s="38">
        <f t="shared" si="15"/>
        <v>-272.3942998</v>
      </c>
      <c r="R247" s="38">
        <f t="shared" si="16"/>
        <v>-534.6039145</v>
      </c>
      <c r="S247" s="40">
        <v>243.0</v>
      </c>
      <c r="T247" s="37">
        <f t="shared" si="24"/>
        <v>3.630039999</v>
      </c>
      <c r="U247" s="37">
        <f t="shared" si="18"/>
        <v>66.63004</v>
      </c>
      <c r="V247" s="37">
        <f t="shared" si="23"/>
        <v>1.070039074</v>
      </c>
      <c r="W247" s="37">
        <f>'入力・結果'!$I$7/V247</f>
        <v>301390.863</v>
      </c>
      <c r="X247" s="39">
        <f>(W247/I247*10)*'入力・結果'!$I$8</f>
        <v>3014.370651</v>
      </c>
      <c r="Y247" s="38">
        <f>DEGREES(ACOS(('入力・結果'!$G$3-('入力・結果'!$G$4*COS(RADIANS(S247))))/((('入力・結果'!$G$3^2)+('入力・結果'!$G$4^2)-(2*'入力・結果'!$G$3*'入力・結果'!$G$4*COS(RADIANS(S247))))^(1/2))))</f>
        <v>40.21000389</v>
      </c>
      <c r="Z247" s="38">
        <f>DEGREES(ACOS((('入力・結果'!$G$3^2)+('入力・結果'!$G$4^2)-('入力・結果'!$G$5^2)+('入力・結果'!$G$6^2)-(2*'入力・結果'!$G$3*'入力・結果'!$G$4*COS(RADIANS(S247))))/(2*'入力・結果'!$G$6*(('入力・結果'!$G$3^2)+('入力・結果'!$G$4^2)-(2*'入力・結果'!$G$3*'入力・結果'!$G$4*(COS(RADIANS(S247)))))^(1/2))))</f>
        <v>34.89515281</v>
      </c>
      <c r="AA247" s="38">
        <f>DEGREES(ACOS(('入力・結果'!$G$4-('入力・結果'!$G$3*COS(RADIANS(S247))))/((('入力・結果'!$G$3^2)+('入力・結果'!$G$4^2)-(2*'入力・結果'!$G$3*'入力・結果'!$G$4*COS(RADIANS(S247))))^(1/2))))</f>
        <v>22.78999611</v>
      </c>
      <c r="AB247" s="38">
        <f>DEGREES(ACOS((('入力・結果'!$G$3^2)+('入力・結果'!$G$4^2)+('入力・結果'!$G$5^2)-('入力・結果'!$G$6^2)-(2*'入力・結果'!$G$3*'入力・結果'!$G$4*COS(RADIANS(S247))))/(2*'入力・結果'!$G$5*(('入力・結果'!$G$3^2)+('入力・結果'!$G$4^2)-(2*'入力・結果'!$G$3*'入力・結果'!$G$4*(COS(RADIANS(S247)))))^(1/2))))</f>
        <v>26.4200361</v>
      </c>
      <c r="AC247" s="37">
        <f t="shared" si="19"/>
        <v>-285.6293485</v>
      </c>
      <c r="AD247" s="37">
        <f t="shared" si="20"/>
        <v>0</v>
      </c>
      <c r="AE247" s="37" t="str">
        <f t="shared" si="21"/>
        <v/>
      </c>
      <c r="AF247" s="37" t="str">
        <f t="shared" si="22"/>
        <v/>
      </c>
      <c r="AG247" s="35"/>
      <c r="AH247" s="35"/>
      <c r="AI247" s="35"/>
      <c r="AJ247" s="35">
        <v>244.0</v>
      </c>
      <c r="AK247" s="35">
        <f t="shared" si="1"/>
        <v>0.9339243793</v>
      </c>
    </row>
    <row r="248" ht="12.75" customHeight="1">
      <c r="A248" s="35"/>
      <c r="B248" s="37">
        <v>244.0</v>
      </c>
      <c r="C248" s="38">
        <f t="shared" si="2"/>
        <v>-21.91855734</v>
      </c>
      <c r="D248" s="38">
        <f t="shared" si="3"/>
        <v>44.93970231</v>
      </c>
      <c r="E248" s="38">
        <f>'演算'!U248</f>
        <v>67.7007905</v>
      </c>
      <c r="F248" s="38">
        <f t="shared" si="4"/>
        <v>-67.7007905</v>
      </c>
      <c r="G248" s="38">
        <f t="shared" si="5"/>
        <v>-230.6124243</v>
      </c>
      <c r="H248" s="38">
        <f t="shared" si="6"/>
        <v>553.8079268</v>
      </c>
      <c r="I248" s="39">
        <f t="shared" si="7"/>
        <v>599.9044174</v>
      </c>
      <c r="J248" s="38">
        <f t="shared" si="8"/>
        <v>67.3925551</v>
      </c>
      <c r="K248" s="38" t="str">
        <f t="shared" si="9"/>
        <v/>
      </c>
      <c r="L248" s="38">
        <f t="shared" si="10"/>
        <v>1</v>
      </c>
      <c r="M248" s="38">
        <f t="shared" si="11"/>
        <v>247.3925551</v>
      </c>
      <c r="N248" s="39">
        <f t="shared" si="12"/>
        <v>197.3925551</v>
      </c>
      <c r="O248" s="39">
        <f t="shared" si="13"/>
        <v>-572.4762939</v>
      </c>
      <c r="P248" s="39">
        <f t="shared" si="14"/>
        <v>179.3215073</v>
      </c>
      <c r="Q248" s="38">
        <f t="shared" si="15"/>
        <v>-263.0226881</v>
      </c>
      <c r="R248" s="38">
        <f t="shared" si="16"/>
        <v>-539.2764278</v>
      </c>
      <c r="S248" s="40">
        <v>244.0</v>
      </c>
      <c r="T248" s="37">
        <f t="shared" si="24"/>
        <v>3.700790503</v>
      </c>
      <c r="U248" s="37">
        <f t="shared" si="18"/>
        <v>67.7007905</v>
      </c>
      <c r="V248" s="37">
        <f t="shared" si="23"/>
        <v>1.070750504</v>
      </c>
      <c r="W248" s="37">
        <f>'入力・結果'!$I$7/V248</f>
        <v>301190.6123</v>
      </c>
      <c r="X248" s="39">
        <f>(W248/I248*10)*'入力・結果'!$I$8</f>
        <v>3012.386009</v>
      </c>
      <c r="Y248" s="38">
        <f>DEGREES(ACOS(('入力・結果'!$G$3-('入力・結果'!$G$4*COS(RADIANS(S248))))/((('入力・結果'!$G$3^2)+('入力・結果'!$G$4^2)-(2*'入力・結果'!$G$3*'入力・結果'!$G$4*COS(RADIANS(S248))))^(1/2))))</f>
        <v>40.87883234</v>
      </c>
      <c r="Z248" s="38">
        <f>DEGREES(ACOS((('入力・結果'!$G$3^2)+('入力・結果'!$G$4^2)-('入力・結果'!$G$5^2)+('入力・結果'!$G$6^2)-(2*'入力・結果'!$G$3*'入力・結果'!$G$4*COS(RADIANS(S248))))/(2*'入力・結果'!$G$6*(('入力・結果'!$G$3^2)+('入力・結果'!$G$4^2)-(2*'入力・結果'!$G$3*'入力・結果'!$G$4*(COS(RADIANS(S248)))))^(1/2))))</f>
        <v>35.46035248</v>
      </c>
      <c r="AA248" s="38">
        <f>DEGREES(ACOS(('入力・結果'!$G$4-('入力・結果'!$G$3*COS(RADIANS(S248))))/((('入力・結果'!$G$3^2)+('入力・結果'!$G$4^2)-(2*'入力・結果'!$G$3*'入力・結果'!$G$4*COS(RADIANS(S248))))^(1/2))))</f>
        <v>23.12116766</v>
      </c>
      <c r="AB248" s="38">
        <f>DEGREES(ACOS((('入力・結果'!$G$3^2)+('入力・結果'!$G$4^2)+('入力・結果'!$G$5^2)-('入力・結果'!$G$6^2)-(2*'入力・結果'!$G$3*'入力・結果'!$G$4*COS(RADIANS(S248))))/(2*'入力・結果'!$G$5*(('入力・結果'!$G$3^2)+('入力・結果'!$G$4^2)-(2*'入力・結果'!$G$3*'入力・結果'!$G$4*(COS(RADIANS(S248)))))^(1/2))))</f>
        <v>26.82195816</v>
      </c>
      <c r="AC248" s="37">
        <f t="shared" si="19"/>
        <v>-287.6139908</v>
      </c>
      <c r="AD248" s="37">
        <f t="shared" si="20"/>
        <v>0</v>
      </c>
      <c r="AE248" s="37" t="str">
        <f t="shared" si="21"/>
        <v/>
      </c>
      <c r="AF248" s="37" t="str">
        <f t="shared" si="22"/>
        <v/>
      </c>
      <c r="AG248" s="35"/>
      <c r="AH248" s="35"/>
      <c r="AI248" s="35"/>
      <c r="AJ248" s="35">
        <v>245.0</v>
      </c>
      <c r="AK248" s="35">
        <f t="shared" si="1"/>
        <v>0.9332859668</v>
      </c>
    </row>
    <row r="249" ht="12.75" customHeight="1">
      <c r="A249" s="35"/>
      <c r="B249" s="37">
        <v>245.0</v>
      </c>
      <c r="C249" s="38">
        <f t="shared" si="2"/>
        <v>-21.13091309</v>
      </c>
      <c r="D249" s="38">
        <f t="shared" si="3"/>
        <v>45.31538935</v>
      </c>
      <c r="E249" s="38">
        <f>'演算'!U249</f>
        <v>68.77227345</v>
      </c>
      <c r="F249" s="38">
        <f t="shared" si="4"/>
        <v>-68.77227345</v>
      </c>
      <c r="G249" s="38">
        <f t="shared" si="5"/>
        <v>-220.2725467</v>
      </c>
      <c r="H249" s="38">
        <f t="shared" si="6"/>
        <v>557.9971715</v>
      </c>
      <c r="I249" s="39">
        <f t="shared" si="7"/>
        <v>599.9006903</v>
      </c>
      <c r="J249" s="38">
        <f t="shared" si="8"/>
        <v>68.45809081</v>
      </c>
      <c r="K249" s="38" t="str">
        <f t="shared" si="9"/>
        <v/>
      </c>
      <c r="L249" s="38">
        <f t="shared" si="10"/>
        <v>1</v>
      </c>
      <c r="M249" s="38">
        <f t="shared" si="11"/>
        <v>248.4580908</v>
      </c>
      <c r="N249" s="39">
        <f t="shared" si="12"/>
        <v>198.4580908</v>
      </c>
      <c r="O249" s="39">
        <f t="shared" si="13"/>
        <v>-569.0390963</v>
      </c>
      <c r="P249" s="39">
        <f t="shared" si="14"/>
        <v>189.9351077</v>
      </c>
      <c r="Q249" s="38">
        <f t="shared" si="15"/>
        <v>-253.570957</v>
      </c>
      <c r="R249" s="38">
        <f t="shared" si="16"/>
        <v>-543.7846722</v>
      </c>
      <c r="S249" s="40">
        <v>245.0</v>
      </c>
      <c r="T249" s="37">
        <f t="shared" si="24"/>
        <v>3.772273452</v>
      </c>
      <c r="U249" s="37">
        <f t="shared" si="18"/>
        <v>68.77227345</v>
      </c>
      <c r="V249" s="37">
        <f t="shared" si="23"/>
        <v>1.071482949</v>
      </c>
      <c r="W249" s="37">
        <f>'入力・結果'!$I$7/V249</f>
        <v>300984.7243</v>
      </c>
      <c r="X249" s="39">
        <f>(W249/I249*10)*'入力・結果'!$I$8</f>
        <v>3010.345504</v>
      </c>
      <c r="Y249" s="38">
        <f>DEGREES(ACOS(('入力・結果'!$G$3-('入力・結果'!$G$4*COS(RADIANS(S249))))/((('入力・結果'!$G$3^2)+('入力・結果'!$G$4^2)-(2*'入力・結果'!$G$3*'入力・結果'!$G$4*COS(RADIANS(S249))))^(1/2))))</f>
        <v>41.54935433</v>
      </c>
      <c r="Z249" s="38">
        <f>DEGREES(ACOS((('入力・結果'!$G$3^2)+('入力・結果'!$G$4^2)-('入力・結果'!$G$5^2)+('入力・結果'!$G$6^2)-(2*'入力・結果'!$G$3*'入力・結果'!$G$4*COS(RADIANS(S249))))/(2*'入力・結果'!$G$6*(('入力・結果'!$G$3^2)+('入力・結果'!$G$4^2)-(2*'入力・結果'!$G$3*'入力・結果'!$G$4*(COS(RADIANS(S249)))))^(1/2))))</f>
        <v>36.02617046</v>
      </c>
      <c r="AA249" s="38">
        <f>DEGREES(ACOS(('入力・結果'!$G$4-('入力・結果'!$G$3*COS(RADIANS(S249))))/((('入力・結果'!$G$3^2)+('入力・結果'!$G$4^2)-(2*'入力・結果'!$G$3*'入力・結果'!$G$4*COS(RADIANS(S249))))^(1/2))))</f>
        <v>23.45064567</v>
      </c>
      <c r="AB249" s="38">
        <f>DEGREES(ACOS((('入力・結果'!$G$3^2)+('入力・結果'!$G$4^2)+('入力・結果'!$G$5^2)-('入力・結果'!$G$6^2)-(2*'入力・結果'!$G$3*'入力・結果'!$G$4*COS(RADIANS(S249))))/(2*'入力・結果'!$G$5*(('入力・結果'!$G$3^2)+('入力・結果'!$G$4^2)-(2*'入力・結果'!$G$3*'入力・結果'!$G$4*(COS(RADIANS(S249)))))^(1/2))))</f>
        <v>27.22291912</v>
      </c>
      <c r="AC249" s="37">
        <f t="shared" si="19"/>
        <v>-289.6544964</v>
      </c>
      <c r="AD249" s="37">
        <f t="shared" si="20"/>
        <v>0</v>
      </c>
      <c r="AE249" s="37" t="str">
        <f t="shared" si="21"/>
        <v/>
      </c>
      <c r="AF249" s="37" t="str">
        <f t="shared" si="22"/>
        <v/>
      </c>
      <c r="AG249" s="35"/>
      <c r="AH249" s="35"/>
      <c r="AI249" s="35"/>
      <c r="AJ249" s="35">
        <v>246.0</v>
      </c>
      <c r="AK249" s="35">
        <f t="shared" si="1"/>
        <v>0.9326296006</v>
      </c>
    </row>
    <row r="250" ht="12.75" customHeight="1">
      <c r="A250" s="35"/>
      <c r="B250" s="37">
        <v>246.0</v>
      </c>
      <c r="C250" s="38">
        <f t="shared" si="2"/>
        <v>-20.33683215</v>
      </c>
      <c r="D250" s="38">
        <f t="shared" si="3"/>
        <v>45.67727288</v>
      </c>
      <c r="E250" s="38">
        <f>'演算'!U250</f>
        <v>69.84451049</v>
      </c>
      <c r="F250" s="38">
        <f t="shared" si="4"/>
        <v>-69.84451049</v>
      </c>
      <c r="G250" s="38">
        <f t="shared" si="5"/>
        <v>-209.8497944</v>
      </c>
      <c r="H250" s="38">
        <f t="shared" si="6"/>
        <v>561.9958152</v>
      </c>
      <c r="I250" s="39">
        <f t="shared" si="7"/>
        <v>599.8968516</v>
      </c>
      <c r="J250" s="38">
        <f t="shared" si="8"/>
        <v>69.52431826</v>
      </c>
      <c r="K250" s="38" t="str">
        <f t="shared" si="9"/>
        <v/>
      </c>
      <c r="L250" s="38">
        <f t="shared" si="10"/>
        <v>1</v>
      </c>
      <c r="M250" s="38">
        <f t="shared" si="11"/>
        <v>249.5243183</v>
      </c>
      <c r="N250" s="39">
        <f t="shared" si="12"/>
        <v>199.5243183</v>
      </c>
      <c r="O250" s="39">
        <f t="shared" si="13"/>
        <v>-565.402619</v>
      </c>
      <c r="P250" s="39">
        <f t="shared" si="14"/>
        <v>200.4896778</v>
      </c>
      <c r="Q250" s="38">
        <f t="shared" si="15"/>
        <v>-244.0419858</v>
      </c>
      <c r="R250" s="38">
        <f t="shared" si="16"/>
        <v>-548.1272746</v>
      </c>
      <c r="S250" s="40">
        <v>246.0</v>
      </c>
      <c r="T250" s="37">
        <f t="shared" si="24"/>
        <v>3.844510489</v>
      </c>
      <c r="U250" s="37">
        <f t="shared" si="18"/>
        <v>69.84451049</v>
      </c>
      <c r="V250" s="37">
        <f t="shared" si="23"/>
        <v>1.072237038</v>
      </c>
      <c r="W250" s="37">
        <f>'入力・結果'!$I$7/V250</f>
        <v>300773.0462</v>
      </c>
      <c r="X250" s="39">
        <f>(W250/I250*10)*'入力・結果'!$I$8</f>
        <v>3008.247622</v>
      </c>
      <c r="Y250" s="38">
        <f>DEGREES(ACOS(('入力・結果'!$G$3-('入力・結果'!$G$4*COS(RADIANS(S250))))/((('入力・結果'!$G$3^2)+('入力・結果'!$G$4^2)-(2*'入力・結果'!$G$3*'入力・結果'!$G$4*COS(RADIANS(S250))))^(1/2))))</f>
        <v>42.22161876</v>
      </c>
      <c r="Z250" s="38">
        <f>DEGREES(ACOS((('入力・結果'!$G$3^2)+('入力・結果'!$G$4^2)-('入力・結果'!$G$5^2)+('入力・結果'!$G$6^2)-(2*'入力・結果'!$G$3*'入力・結果'!$G$4*COS(RADIANS(S250))))/(2*'入力・結果'!$G$6*(('入力・結果'!$G$3^2)+('入力・結果'!$G$4^2)-(2*'入力・結果'!$G$3*'入力・結果'!$G$4*(COS(RADIANS(S250)))))^(1/2))))</f>
        <v>36.59262383</v>
      </c>
      <c r="AA250" s="38">
        <f>DEGREES(ACOS(('入力・結果'!$G$4-('入力・結果'!$G$3*COS(RADIANS(S250))))/((('入力・結果'!$G$3^2)+('入力・結果'!$G$4^2)-(2*'入力・結果'!$G$3*'入力・結果'!$G$4*COS(RADIANS(S250))))^(1/2))))</f>
        <v>23.77838124</v>
      </c>
      <c r="AB250" s="38">
        <f>DEGREES(ACOS((('入力・結果'!$G$3^2)+('入力・結果'!$G$4^2)+('入力・結果'!$G$5^2)-('入力・結果'!$G$6^2)-(2*'入力・結果'!$G$3*'入力・結果'!$G$4*COS(RADIANS(S250))))/(2*'入力・結果'!$G$5*(('入力・結果'!$G$3^2)+('入力・結果'!$G$4^2)-(2*'入力・結果'!$G$3*'入力・結果'!$G$4*(COS(RADIANS(S250)))))^(1/2))))</f>
        <v>27.62289173</v>
      </c>
      <c r="AC250" s="37">
        <f t="shared" si="19"/>
        <v>-291.7523781</v>
      </c>
      <c r="AD250" s="37">
        <f t="shared" si="20"/>
        <v>0</v>
      </c>
      <c r="AE250" s="37" t="str">
        <f t="shared" si="21"/>
        <v/>
      </c>
      <c r="AF250" s="37" t="str">
        <f t="shared" si="22"/>
        <v/>
      </c>
      <c r="AG250" s="35"/>
      <c r="AH250" s="35"/>
      <c r="AI250" s="35"/>
      <c r="AJ250" s="35">
        <v>247.0</v>
      </c>
      <c r="AK250" s="35">
        <f t="shared" si="1"/>
        <v>0.9319547889</v>
      </c>
    </row>
    <row r="251" ht="12.75" customHeight="1">
      <c r="A251" s="35"/>
      <c r="B251" s="37">
        <v>247.0</v>
      </c>
      <c r="C251" s="38">
        <f t="shared" si="2"/>
        <v>-19.53655642</v>
      </c>
      <c r="D251" s="38">
        <f t="shared" si="3"/>
        <v>46.02524267</v>
      </c>
      <c r="E251" s="38">
        <f>'演算'!U251</f>
        <v>70.91752391</v>
      </c>
      <c r="F251" s="38">
        <f t="shared" si="4"/>
        <v>-70.91752391</v>
      </c>
      <c r="G251" s="38">
        <f t="shared" si="5"/>
        <v>-199.3474355</v>
      </c>
      <c r="H251" s="38">
        <f t="shared" si="6"/>
        <v>565.8021638</v>
      </c>
      <c r="I251" s="39">
        <f t="shared" si="7"/>
        <v>599.8928976</v>
      </c>
      <c r="J251" s="38">
        <f t="shared" si="8"/>
        <v>70.59125789</v>
      </c>
      <c r="K251" s="38" t="str">
        <f t="shared" si="9"/>
        <v/>
      </c>
      <c r="L251" s="38">
        <f t="shared" si="10"/>
        <v>1</v>
      </c>
      <c r="M251" s="38">
        <f t="shared" si="11"/>
        <v>250.5912579</v>
      </c>
      <c r="N251" s="39">
        <f t="shared" si="12"/>
        <v>200.5912579</v>
      </c>
      <c r="O251" s="39">
        <f t="shared" si="13"/>
        <v>-561.5676651</v>
      </c>
      <c r="P251" s="39">
        <f t="shared" si="14"/>
        <v>210.9816252</v>
      </c>
      <c r="Q251" s="38">
        <f t="shared" si="15"/>
        <v>-234.4386771</v>
      </c>
      <c r="R251" s="38">
        <f t="shared" si="16"/>
        <v>-552.3029121</v>
      </c>
      <c r="S251" s="40">
        <v>247.0</v>
      </c>
      <c r="T251" s="37">
        <f t="shared" si="24"/>
        <v>3.917523914</v>
      </c>
      <c r="U251" s="37">
        <f t="shared" si="18"/>
        <v>70.91752391</v>
      </c>
      <c r="V251" s="37">
        <f t="shared" si="23"/>
        <v>1.073013425</v>
      </c>
      <c r="W251" s="37">
        <f>'入力・結果'!$I$7/V251</f>
        <v>300555.4194</v>
      </c>
      <c r="X251" s="39">
        <f>(W251/I251*10)*'入力・結果'!$I$8</f>
        <v>3006.090793</v>
      </c>
      <c r="Y251" s="38">
        <f>DEGREES(ACOS(('入力・結果'!$G$3-('入力・結果'!$G$4*COS(RADIANS(S251))))/((('入力・結果'!$G$3^2)+('入力・結果'!$G$4^2)-(2*'入力・結果'!$G$3*'入力・結果'!$G$4*COS(RADIANS(S251))))^(1/2))))</f>
        <v>42.89567596</v>
      </c>
      <c r="Z251" s="38">
        <f>DEGREES(ACOS((('入力・結果'!$G$3^2)+('入力・結果'!$G$4^2)-('入力・結果'!$G$5^2)+('入力・結果'!$G$6^2)-(2*'入力・結果'!$G$3*'入力・結果'!$G$4*COS(RADIANS(S251))))/(2*'入力・結果'!$G$6*(('入力・結果'!$G$3^2)+('入力・結果'!$G$4^2)-(2*'入力・結果'!$G$3*'入力・結果'!$G$4*(COS(RADIANS(S251)))))^(1/2))))</f>
        <v>37.15973014</v>
      </c>
      <c r="AA251" s="38">
        <f>DEGREES(ACOS(('入力・結果'!$G$4-('入力・結果'!$G$3*COS(RADIANS(S251))))/((('入力・結果'!$G$3^2)+('入力・結果'!$G$4^2)-(2*'入力・結果'!$G$3*'入力・結果'!$G$4*COS(RADIANS(S251))))^(1/2))))</f>
        <v>24.10432404</v>
      </c>
      <c r="AB251" s="38">
        <f>DEGREES(ACOS((('入力・結果'!$G$3^2)+('入力・結果'!$G$4^2)+('入力・結果'!$G$5^2)-('入力・結果'!$G$6^2)-(2*'入力・結果'!$G$3*'入力・結果'!$G$4*COS(RADIANS(S251))))/(2*'入力・結果'!$G$5*(('入力・結果'!$G$3^2)+('入力・結果'!$G$4^2)-(2*'入力・結果'!$G$3*'入力・結果'!$G$4*(COS(RADIANS(S251)))))^(1/2))))</f>
        <v>28.02184796</v>
      </c>
      <c r="AC251" s="37">
        <f t="shared" si="19"/>
        <v>-293.9092066</v>
      </c>
      <c r="AD251" s="37">
        <f t="shared" si="20"/>
        <v>0</v>
      </c>
      <c r="AE251" s="37" t="str">
        <f t="shared" si="21"/>
        <v/>
      </c>
      <c r="AF251" s="37" t="str">
        <f t="shared" si="22"/>
        <v/>
      </c>
      <c r="AG251" s="35"/>
      <c r="AH251" s="35"/>
      <c r="AI251" s="35"/>
      <c r="AJ251" s="35">
        <v>248.0</v>
      </c>
      <c r="AK251" s="35">
        <f t="shared" si="1"/>
        <v>0.9312610214</v>
      </c>
    </row>
    <row r="252" ht="12.75" customHeight="1">
      <c r="A252" s="35"/>
      <c r="B252" s="37">
        <v>248.0</v>
      </c>
      <c r="C252" s="38">
        <f t="shared" si="2"/>
        <v>-18.73032967</v>
      </c>
      <c r="D252" s="38">
        <f t="shared" si="3"/>
        <v>46.35919273</v>
      </c>
      <c r="E252" s="38">
        <f>'演算'!U252</f>
        <v>71.99133671</v>
      </c>
      <c r="F252" s="38">
        <f t="shared" si="4"/>
        <v>-71.99133671</v>
      </c>
      <c r="G252" s="38">
        <f t="shared" si="5"/>
        <v>-188.768766</v>
      </c>
      <c r="H252" s="38">
        <f t="shared" si="6"/>
        <v>569.4145724</v>
      </c>
      <c r="I252" s="39">
        <f t="shared" si="7"/>
        <v>599.8888249</v>
      </c>
      <c r="J252" s="38">
        <f t="shared" si="8"/>
        <v>71.65893081</v>
      </c>
      <c r="K252" s="38" t="str">
        <f t="shared" si="9"/>
        <v/>
      </c>
      <c r="L252" s="38">
        <f t="shared" si="10"/>
        <v>1</v>
      </c>
      <c r="M252" s="38">
        <f t="shared" si="11"/>
        <v>251.6589308</v>
      </c>
      <c r="N252" s="39">
        <f t="shared" si="12"/>
        <v>201.6589308</v>
      </c>
      <c r="O252" s="39">
        <f t="shared" si="13"/>
        <v>-557.5350929</v>
      </c>
      <c r="P252" s="39">
        <f t="shared" si="14"/>
        <v>221.4073676</v>
      </c>
      <c r="Q252" s="38">
        <f t="shared" si="15"/>
        <v>-224.763956</v>
      </c>
      <c r="R252" s="38">
        <f t="shared" si="16"/>
        <v>-556.3103127</v>
      </c>
      <c r="S252" s="40">
        <v>248.0</v>
      </c>
      <c r="T252" s="37">
        <f t="shared" si="24"/>
        <v>3.991336709</v>
      </c>
      <c r="U252" s="37">
        <f t="shared" si="18"/>
        <v>71.99133671</v>
      </c>
      <c r="V252" s="37">
        <f t="shared" si="23"/>
        <v>1.073812795</v>
      </c>
      <c r="W252" s="37">
        <f>'入力・結果'!$I$7/V252</f>
        <v>300331.6794</v>
      </c>
      <c r="X252" s="39">
        <f>(W252/I252*10)*'入力・結果'!$I$8</f>
        <v>3003.873387</v>
      </c>
      <c r="Y252" s="38">
        <f>DEGREES(ACOS(('入力・結果'!$G$3-('入力・結果'!$G$4*COS(RADIANS(S252))))/((('入力・結果'!$G$3^2)+('入力・結果'!$G$4^2)-(2*'入力・結果'!$G$3*'入力・結果'!$G$4*COS(RADIANS(S252))))^(1/2))))</f>
        <v>43.57157773</v>
      </c>
      <c r="Z252" s="38">
        <f>DEGREES(ACOS((('入力・結果'!$G$3^2)+('入力・結果'!$G$4^2)-('入力・結果'!$G$5^2)+('入力・結果'!$G$6^2)-(2*'入力・結果'!$G$3*'入力・結果'!$G$4*COS(RADIANS(S252))))/(2*'入力・結果'!$G$6*(('入力・結果'!$G$3^2)+('入力・結果'!$G$4^2)-(2*'入力・結果'!$G$3*'入力・結果'!$G$4*(COS(RADIANS(S252)))))^(1/2))))</f>
        <v>37.72750738</v>
      </c>
      <c r="AA252" s="38">
        <f>DEGREES(ACOS(('入力・結果'!$G$4-('入力・結果'!$G$3*COS(RADIANS(S252))))/((('入力・結果'!$G$3^2)+('入力・結果'!$G$4^2)-(2*'入力・結果'!$G$3*'入力・結果'!$G$4*COS(RADIANS(S252))))^(1/2))))</f>
        <v>24.42842227</v>
      </c>
      <c r="AB252" s="38">
        <f>DEGREES(ACOS((('入力・結果'!$G$3^2)+('入力・結果'!$G$4^2)+('入力・結果'!$G$5^2)-('入力・結果'!$G$6^2)-(2*'入力・結果'!$G$3*'入力・結果'!$G$4*COS(RADIANS(S252))))/(2*'入力・結果'!$G$5*(('入力・結果'!$G$3^2)+('入力・結果'!$G$4^2)-(2*'入力・結果'!$G$3*'入力・結果'!$G$4*(COS(RADIANS(S252)))))^(1/2))))</f>
        <v>28.41975898</v>
      </c>
      <c r="AC252" s="37">
        <f t="shared" si="19"/>
        <v>-296.1266129</v>
      </c>
      <c r="AD252" s="37">
        <f t="shared" si="20"/>
        <v>0</v>
      </c>
      <c r="AE252" s="37" t="str">
        <f t="shared" si="21"/>
        <v/>
      </c>
      <c r="AF252" s="37" t="str">
        <f t="shared" si="22"/>
        <v/>
      </c>
      <c r="AG252" s="35"/>
      <c r="AH252" s="35"/>
      <c r="AI252" s="35"/>
      <c r="AJ252" s="35">
        <v>249.0</v>
      </c>
      <c r="AK252" s="35">
        <f t="shared" si="1"/>
        <v>0.9305477676</v>
      </c>
    </row>
    <row r="253" ht="12.75" customHeight="1">
      <c r="A253" s="35"/>
      <c r="B253" s="37">
        <v>249.0</v>
      </c>
      <c r="C253" s="38">
        <f t="shared" si="2"/>
        <v>-17.91839748</v>
      </c>
      <c r="D253" s="38">
        <f t="shared" si="3"/>
        <v>46.67902132</v>
      </c>
      <c r="E253" s="38">
        <f>'演算'!U253</f>
        <v>73.06597257</v>
      </c>
      <c r="F253" s="38">
        <f t="shared" si="4"/>
        <v>-73.06597257</v>
      </c>
      <c r="G253" s="38">
        <f t="shared" si="5"/>
        <v>-178.1171092</v>
      </c>
      <c r="H253" s="38">
        <f t="shared" si="6"/>
        <v>572.8314448</v>
      </c>
      <c r="I253" s="39">
        <f t="shared" si="7"/>
        <v>599.8846296</v>
      </c>
      <c r="J253" s="38">
        <f t="shared" si="8"/>
        <v>72.72735876</v>
      </c>
      <c r="K253" s="38" t="str">
        <f t="shared" si="9"/>
        <v/>
      </c>
      <c r="L253" s="38">
        <f t="shared" si="10"/>
        <v>1</v>
      </c>
      <c r="M253" s="38">
        <f t="shared" si="11"/>
        <v>252.7273588</v>
      </c>
      <c r="N253" s="39">
        <f t="shared" si="12"/>
        <v>202.7273588</v>
      </c>
      <c r="O253" s="39">
        <f t="shared" si="13"/>
        <v>-553.305816</v>
      </c>
      <c r="P253" s="39">
        <f t="shared" si="14"/>
        <v>231.7633334</v>
      </c>
      <c r="Q253" s="38">
        <f t="shared" si="15"/>
        <v>-215.0207697</v>
      </c>
      <c r="R253" s="38">
        <f t="shared" si="16"/>
        <v>-560.1482559</v>
      </c>
      <c r="S253" s="40">
        <v>249.0</v>
      </c>
      <c r="T253" s="37">
        <f t="shared" si="24"/>
        <v>4.065972568</v>
      </c>
      <c r="U253" s="37">
        <f t="shared" si="18"/>
        <v>73.06597257</v>
      </c>
      <c r="V253" s="37">
        <f t="shared" si="23"/>
        <v>1.074635859</v>
      </c>
      <c r="W253" s="37">
        <f>'入力・結果'!$I$7/V253</f>
        <v>300101.6551</v>
      </c>
      <c r="X253" s="39">
        <f>(W253/I253*10)*'入力・結果'!$I$8</f>
        <v>3001.593709</v>
      </c>
      <c r="Y253" s="38">
        <f>DEGREES(ACOS(('入力・結果'!$G$3-('入力・結果'!$G$4*COS(RADIANS(S253))))/((('入力・結果'!$G$3^2)+('入力・結果'!$G$4^2)-(2*'入力・結果'!$G$3*'入力・結果'!$G$4*COS(RADIANS(S253))))^(1/2))))</f>
        <v>44.2493774</v>
      </c>
      <c r="Z253" s="38">
        <f>DEGREES(ACOS((('入力・結果'!$G$3^2)+('入力・結果'!$G$4^2)-('入力・結果'!$G$5^2)+('入力・結果'!$G$6^2)-(2*'入力・結果'!$G$3*'入力・結果'!$G$4*COS(RADIANS(S253))))/(2*'入力・結果'!$G$6*(('入力・結果'!$G$3^2)+('入力・結果'!$G$4^2)-(2*'入力・結果'!$G$3*'入力・結果'!$G$4*(COS(RADIANS(S253)))))^(1/2))))</f>
        <v>38.29597404</v>
      </c>
      <c r="AA253" s="38">
        <f>DEGREES(ACOS(('入力・結果'!$G$4-('入力・結果'!$G$3*COS(RADIANS(S253))))/((('入力・結果'!$G$3^2)+('入力・結果'!$G$4^2)-(2*'入力・結果'!$G$3*'入力・結果'!$G$4*COS(RADIANS(S253))))^(1/2))))</f>
        <v>24.7506226</v>
      </c>
      <c r="AB253" s="38">
        <f>DEGREES(ACOS((('入力・結果'!$G$3^2)+('入力・結果'!$G$4^2)+('入力・結果'!$G$5^2)-('入力・結果'!$G$6^2)-(2*'入力・結果'!$G$3*'入力・結果'!$G$4*COS(RADIANS(S253))))/(2*'入力・結果'!$G$5*(('入力・結果'!$G$3^2)+('入力・結果'!$G$4^2)-(2*'入力・結果'!$G$3*'入力・結果'!$G$4*(COS(RADIANS(S253)))))^(1/2))))</f>
        <v>28.81659517</v>
      </c>
      <c r="AC253" s="37">
        <f t="shared" si="19"/>
        <v>-298.4062907</v>
      </c>
      <c r="AD253" s="37">
        <f t="shared" si="20"/>
        <v>0</v>
      </c>
      <c r="AE253" s="37" t="str">
        <f t="shared" si="21"/>
        <v/>
      </c>
      <c r="AF253" s="37" t="str">
        <f t="shared" si="22"/>
        <v/>
      </c>
      <c r="AG253" s="35"/>
      <c r="AH253" s="35"/>
      <c r="AI253" s="35"/>
      <c r="AJ253" s="35">
        <v>250.0</v>
      </c>
      <c r="AK253" s="35">
        <f t="shared" si="1"/>
        <v>0.929814477</v>
      </c>
    </row>
    <row r="254" ht="12.75" customHeight="1">
      <c r="A254" s="35"/>
      <c r="B254" s="37">
        <v>250.0</v>
      </c>
      <c r="C254" s="38">
        <f t="shared" si="2"/>
        <v>-17.10100717</v>
      </c>
      <c r="D254" s="38">
        <f t="shared" si="3"/>
        <v>46.98463104</v>
      </c>
      <c r="E254" s="38">
        <f>'演算'!U254</f>
        <v>74.14145593</v>
      </c>
      <c r="F254" s="38">
        <f t="shared" si="4"/>
        <v>-74.14145593</v>
      </c>
      <c r="G254" s="38">
        <f t="shared" si="5"/>
        <v>-167.3958147</v>
      </c>
      <c r="H254" s="38">
        <f t="shared" si="6"/>
        <v>576.0512344</v>
      </c>
      <c r="I254" s="39">
        <f t="shared" si="7"/>
        <v>599.8803076</v>
      </c>
      <c r="J254" s="38">
        <f t="shared" si="8"/>
        <v>73.79656417</v>
      </c>
      <c r="K254" s="38" t="str">
        <f t="shared" si="9"/>
        <v/>
      </c>
      <c r="L254" s="38">
        <f t="shared" si="10"/>
        <v>1</v>
      </c>
      <c r="M254" s="38">
        <f t="shared" si="11"/>
        <v>253.7965642</v>
      </c>
      <c r="N254" s="39">
        <f t="shared" si="12"/>
        <v>203.7965642</v>
      </c>
      <c r="O254" s="39">
        <f t="shared" si="13"/>
        <v>-548.8808027</v>
      </c>
      <c r="P254" s="39">
        <f t="shared" si="14"/>
        <v>242.0459624</v>
      </c>
      <c r="Q254" s="38">
        <f t="shared" si="15"/>
        <v>-205.212086</v>
      </c>
      <c r="R254" s="38">
        <f t="shared" si="16"/>
        <v>-563.8155725</v>
      </c>
      <c r="S254" s="40">
        <v>250.0</v>
      </c>
      <c r="T254" s="37">
        <f t="shared" si="24"/>
        <v>4.141455931</v>
      </c>
      <c r="U254" s="37">
        <f t="shared" si="18"/>
        <v>74.14145593</v>
      </c>
      <c r="V254" s="37">
        <f t="shared" si="23"/>
        <v>1.075483362</v>
      </c>
      <c r="W254" s="37">
        <f>'入力・結果'!$I$7/V254</f>
        <v>299865.1688</v>
      </c>
      <c r="X254" s="39">
        <f>(W254/I254*10)*'入力・結果'!$I$8</f>
        <v>2999.250001</v>
      </c>
      <c r="Y254" s="38">
        <f>DEGREES(ACOS(('入力・結果'!$G$3-('入力・結果'!$G$4*COS(RADIANS(S254))))/((('入力・結果'!$G$3^2)+('入力・結果'!$G$4^2)-(2*'入力・結果'!$G$3*'入力・結果'!$G$4*COS(RADIANS(S254))))^(1/2))))</f>
        <v>44.92912991</v>
      </c>
      <c r="Z254" s="38">
        <f>DEGREES(ACOS((('入力・結果'!$G$3^2)+('入力・結果'!$G$4^2)-('入力・結果'!$G$5^2)+('入力・結果'!$G$6^2)-(2*'入力・結果'!$G$3*'入力・結果'!$G$4*COS(RADIANS(S254))))/(2*'入力・結果'!$G$6*(('入力・結果'!$G$3^2)+('入力・結果'!$G$4^2)-(2*'入力・結果'!$G$3*'入力・結果'!$G$4*(COS(RADIANS(S254)))))^(1/2))))</f>
        <v>38.86514908</v>
      </c>
      <c r="AA254" s="38">
        <f>DEGREES(ACOS(('入力・結果'!$G$4-('入力・結果'!$G$3*COS(RADIANS(S254))))/((('入力・結果'!$G$3^2)+('入力・結果'!$G$4^2)-(2*'入力・結果'!$G$3*'入力・結果'!$G$4*COS(RADIANS(S254))))^(1/2))))</f>
        <v>25.07087009</v>
      </c>
      <c r="AB254" s="38">
        <f>DEGREES(ACOS((('入力・結果'!$G$3^2)+('入力・結果'!$G$4^2)+('入力・結果'!$G$5^2)-('入力・結果'!$G$6^2)-(2*'入力・結果'!$G$3*'入力・結果'!$G$4*COS(RADIANS(S254))))/(2*'入力・結果'!$G$5*(('入力・結果'!$G$3^2)+('入力・結果'!$G$4^2)-(2*'入力・結果'!$G$3*'入力・結果'!$G$4*(COS(RADIANS(S254)))))^(1/2))))</f>
        <v>29.21232602</v>
      </c>
      <c r="AC254" s="37">
        <f t="shared" si="19"/>
        <v>-300.7499993</v>
      </c>
      <c r="AD254" s="37">
        <f t="shared" si="20"/>
        <v>0</v>
      </c>
      <c r="AE254" s="37" t="str">
        <f t="shared" si="21"/>
        <v/>
      </c>
      <c r="AF254" s="37" t="str">
        <f t="shared" si="22"/>
        <v/>
      </c>
      <c r="AG254" s="35"/>
      <c r="AH254" s="35"/>
      <c r="AI254" s="35"/>
      <c r="AJ254" s="35">
        <v>251.0</v>
      </c>
      <c r="AK254" s="35">
        <f t="shared" si="1"/>
        <v>0.9290605776</v>
      </c>
    </row>
    <row r="255" ht="12.75" customHeight="1">
      <c r="A255" s="35"/>
      <c r="B255" s="37">
        <v>251.0</v>
      </c>
      <c r="C255" s="38">
        <f t="shared" si="2"/>
        <v>-16.27840772</v>
      </c>
      <c r="D255" s="38">
        <f t="shared" si="3"/>
        <v>47.27592878</v>
      </c>
      <c r="E255" s="38">
        <f>'演算'!U255</f>
        <v>75.21781201</v>
      </c>
      <c r="F255" s="38">
        <f t="shared" si="4"/>
        <v>-75.21781201</v>
      </c>
      <c r="G255" s="38">
        <f t="shared" si="5"/>
        <v>-156.6082574</v>
      </c>
      <c r="H255" s="38">
        <f t="shared" si="6"/>
        <v>579.0724437</v>
      </c>
      <c r="I255" s="39">
        <f t="shared" si="7"/>
        <v>599.8758549</v>
      </c>
      <c r="J255" s="38">
        <f t="shared" si="8"/>
        <v>74.86657017</v>
      </c>
      <c r="K255" s="38" t="str">
        <f t="shared" si="9"/>
        <v/>
      </c>
      <c r="L255" s="38">
        <f t="shared" si="10"/>
        <v>1</v>
      </c>
      <c r="M255" s="38">
        <f t="shared" si="11"/>
        <v>254.8665702</v>
      </c>
      <c r="N255" s="39">
        <f t="shared" si="12"/>
        <v>204.8665702</v>
      </c>
      <c r="O255" s="39">
        <f t="shared" si="13"/>
        <v>-544.2610751</v>
      </c>
      <c r="P255" s="39">
        <f t="shared" si="14"/>
        <v>252.2517066</v>
      </c>
      <c r="Q255" s="38">
        <f t="shared" si="15"/>
        <v>-195.3408927</v>
      </c>
      <c r="R255" s="38">
        <f t="shared" si="16"/>
        <v>-567.3111454</v>
      </c>
      <c r="S255" s="40">
        <v>251.0</v>
      </c>
      <c r="T255" s="37">
        <f t="shared" si="24"/>
        <v>4.217812009</v>
      </c>
      <c r="U255" s="37">
        <f t="shared" si="18"/>
        <v>75.21781201</v>
      </c>
      <c r="V255" s="37">
        <f t="shared" si="23"/>
        <v>1.076356078</v>
      </c>
      <c r="W255" s="37">
        <f>'入力・結果'!$I$7/V255</f>
        <v>299622.0363</v>
      </c>
      <c r="X255" s="39">
        <f>(W255/I255*10)*'入力・結果'!$I$8</f>
        <v>2996.840434</v>
      </c>
      <c r="Y255" s="38">
        <f>DEGREES(ACOS(('入力・結果'!$G$3-('入力・結果'!$G$4*COS(RADIANS(S255))))/((('入力・結果'!$G$3^2)+('入力・結果'!$G$4^2)-(2*'入力・結果'!$G$3*'入力・結果'!$G$4*COS(RADIANS(S255))))^(1/2))))</f>
        <v>45.61089184</v>
      </c>
      <c r="Z255" s="38">
        <f>DEGREES(ACOS((('入力・結果'!$G$3^2)+('入力・結果'!$G$4^2)-('入力・結果'!$G$5^2)+('入力・結果'!$G$6^2)-(2*'入力・結果'!$G$3*'入力・結果'!$G$4*COS(RADIANS(S255))))/(2*'入力・結果'!$G$6*(('入力・結果'!$G$3^2)+('入力・結果'!$G$4^2)-(2*'入力・結果'!$G$3*'入力・結果'!$G$4*(COS(RADIANS(S255)))))^(1/2))))</f>
        <v>39.43505201</v>
      </c>
      <c r="AA255" s="38">
        <f>DEGREES(ACOS(('入力・結果'!$G$4-('入力・結果'!$G$3*COS(RADIANS(S255))))/((('入力・結果'!$G$3^2)+('入力・結果'!$G$4^2)-(2*'入力・結果'!$G$3*'入力・結果'!$G$4*COS(RADIANS(S255))))^(1/2))))</f>
        <v>25.38910816</v>
      </c>
      <c r="AB255" s="38">
        <f>DEGREES(ACOS((('入力・結果'!$G$3^2)+('入力・結果'!$G$4^2)+('入力・結果'!$G$5^2)-('入力・結果'!$G$6^2)-(2*'入力・結果'!$G$3*'入力・結果'!$G$4*COS(RADIANS(S255))))/(2*'入力・結果'!$G$5*(('入力・結果'!$G$3^2)+('入力・結果'!$G$4^2)-(2*'入力・結果'!$G$3*'入力・結果'!$G$4*(COS(RADIANS(S255)))))^(1/2))))</f>
        <v>29.60692017</v>
      </c>
      <c r="AC255" s="37">
        <f t="shared" si="19"/>
        <v>-303.1595656</v>
      </c>
      <c r="AD255" s="37">
        <f t="shared" si="20"/>
        <v>0</v>
      </c>
      <c r="AE255" s="37" t="str">
        <f t="shared" si="21"/>
        <v/>
      </c>
      <c r="AF255" s="37" t="str">
        <f t="shared" si="22"/>
        <v/>
      </c>
      <c r="AG255" s="35"/>
      <c r="AH255" s="35"/>
      <c r="AI255" s="35"/>
      <c r="AJ255" s="35">
        <v>252.0</v>
      </c>
      <c r="AK255" s="35">
        <f t="shared" si="1"/>
        <v>0.9282854752</v>
      </c>
    </row>
    <row r="256" ht="12.75" customHeight="1">
      <c r="A256" s="35"/>
      <c r="B256" s="37">
        <v>252.0</v>
      </c>
      <c r="C256" s="38">
        <f t="shared" si="2"/>
        <v>-15.45084972</v>
      </c>
      <c r="D256" s="38">
        <f t="shared" si="3"/>
        <v>47.55282581</v>
      </c>
      <c r="E256" s="38">
        <f>'演算'!U256</f>
        <v>76.29506683</v>
      </c>
      <c r="F256" s="38">
        <f t="shared" si="4"/>
        <v>-76.29506683</v>
      </c>
      <c r="G256" s="38">
        <f t="shared" si="5"/>
        <v>-145.7578373</v>
      </c>
      <c r="H256" s="38">
        <f t="shared" si="6"/>
        <v>581.8936243</v>
      </c>
      <c r="I256" s="39">
        <f t="shared" si="7"/>
        <v>599.8712672</v>
      </c>
      <c r="J256" s="38">
        <f t="shared" si="8"/>
        <v>75.93740066</v>
      </c>
      <c r="K256" s="38" t="str">
        <f t="shared" si="9"/>
        <v/>
      </c>
      <c r="L256" s="38">
        <f t="shared" si="10"/>
        <v>1</v>
      </c>
      <c r="M256" s="38">
        <f t="shared" si="11"/>
        <v>255.9374007</v>
      </c>
      <c r="N256" s="39">
        <f t="shared" si="12"/>
        <v>205.9374007</v>
      </c>
      <c r="O256" s="39">
        <f t="shared" si="13"/>
        <v>-539.4477093</v>
      </c>
      <c r="P256" s="39">
        <f t="shared" si="14"/>
        <v>262.3770305</v>
      </c>
      <c r="Q256" s="38">
        <f t="shared" si="15"/>
        <v>-185.4101966</v>
      </c>
      <c r="R256" s="38">
        <f t="shared" si="16"/>
        <v>-570.6339098</v>
      </c>
      <c r="S256" s="40">
        <v>252.0</v>
      </c>
      <c r="T256" s="37">
        <f t="shared" si="24"/>
        <v>4.295066826</v>
      </c>
      <c r="U256" s="37">
        <f t="shared" si="18"/>
        <v>76.29506683</v>
      </c>
      <c r="V256" s="37">
        <f t="shared" si="23"/>
        <v>1.077254817</v>
      </c>
      <c r="W256" s="37">
        <f>'入力・結果'!$I$7/V256</f>
        <v>299372.0658</v>
      </c>
      <c r="X256" s="39">
        <f>(W256/I256*10)*'入力・結果'!$I$8</f>
        <v>2994.363112</v>
      </c>
      <c r="Y256" s="38">
        <f>DEGREES(ACOS(('入力・結果'!$G$3-('入力・結果'!$G$4*COS(RADIANS(S256))))/((('入力・結果'!$G$3^2)+('入力・結果'!$G$4^2)-(2*'入力・結果'!$G$3*'入力・結果'!$G$4*COS(RADIANS(S256))))^(1/2))))</f>
        <v>46.29472151</v>
      </c>
      <c r="Z256" s="38">
        <f>DEGREES(ACOS((('入力・結果'!$G$3^2)+('入力・結果'!$G$4^2)-('入力・結果'!$G$5^2)+('入力・結果'!$G$6^2)-(2*'入力・結果'!$G$3*'入力・結果'!$G$4*COS(RADIANS(S256))))/(2*'入力・結果'!$G$6*(('入力・結果'!$G$3^2)+('入力・結果'!$G$4^2)-(2*'入力・結果'!$G$3*'入力・結果'!$G$4*(COS(RADIANS(S256)))))^(1/2))))</f>
        <v>40.00570285</v>
      </c>
      <c r="AA256" s="38">
        <f>DEGREES(ACOS(('入力・結果'!$G$4-('入力・結果'!$G$3*COS(RADIANS(S256))))/((('入力・結果'!$G$3^2)+('入力・結果'!$G$4^2)-(2*'入力・結果'!$G$3*'入力・結果'!$G$4*COS(RADIANS(S256))))^(1/2))))</f>
        <v>25.70527849</v>
      </c>
      <c r="AB256" s="38">
        <f>DEGREES(ACOS((('入力・結果'!$G$3^2)+('入力・結果'!$G$4^2)+('入力・結果'!$G$5^2)-('入力・結果'!$G$6^2)-(2*'入力・結果'!$G$3*'入力・結果'!$G$4*COS(RADIANS(S256))))/(2*'入力・結果'!$G$5*(('入力・結果'!$G$3^2)+('入力・結果'!$G$4^2)-(2*'入力・結果'!$G$3*'入力・結果'!$G$4*(COS(RADIANS(S256)))))^(1/2))))</f>
        <v>30.00034532</v>
      </c>
      <c r="AC256" s="37">
        <f t="shared" si="19"/>
        <v>-305.6368879</v>
      </c>
      <c r="AD256" s="37">
        <f t="shared" si="20"/>
        <v>0</v>
      </c>
      <c r="AE256" s="37" t="str">
        <f t="shared" si="21"/>
        <v/>
      </c>
      <c r="AF256" s="37" t="str">
        <f t="shared" si="22"/>
        <v/>
      </c>
      <c r="AG256" s="35"/>
      <c r="AH256" s="35"/>
      <c r="AI256" s="35"/>
      <c r="AJ256" s="35">
        <v>253.0</v>
      </c>
      <c r="AK256" s="35">
        <f t="shared" si="1"/>
        <v>0.9274885525</v>
      </c>
    </row>
    <row r="257" ht="12.75" customHeight="1">
      <c r="A257" s="35"/>
      <c r="B257" s="37">
        <v>253.0</v>
      </c>
      <c r="C257" s="38">
        <f t="shared" si="2"/>
        <v>-14.61858524</v>
      </c>
      <c r="D257" s="38">
        <f t="shared" si="3"/>
        <v>47.8152378</v>
      </c>
      <c r="E257" s="38">
        <f>'演算'!U257</f>
        <v>77.37324725</v>
      </c>
      <c r="F257" s="38">
        <f t="shared" si="4"/>
        <v>-77.37324725</v>
      </c>
      <c r="G257" s="38">
        <f t="shared" si="5"/>
        <v>-134.8479781</v>
      </c>
      <c r="H257" s="38">
        <f t="shared" si="6"/>
        <v>584.5133774</v>
      </c>
      <c r="I257" s="39">
        <f t="shared" si="7"/>
        <v>599.8665398</v>
      </c>
      <c r="J257" s="38">
        <f t="shared" si="8"/>
        <v>77.00908028</v>
      </c>
      <c r="K257" s="38" t="str">
        <f t="shared" si="9"/>
        <v/>
      </c>
      <c r="L257" s="38">
        <f t="shared" si="10"/>
        <v>1</v>
      </c>
      <c r="M257" s="38">
        <f t="shared" si="11"/>
        <v>257.0090803</v>
      </c>
      <c r="N257" s="39">
        <f t="shared" si="12"/>
        <v>207.0090803</v>
      </c>
      <c r="O257" s="39">
        <f t="shared" si="13"/>
        <v>-534.4418342</v>
      </c>
      <c r="P257" s="39">
        <f t="shared" si="14"/>
        <v>272.4184124</v>
      </c>
      <c r="Q257" s="38">
        <f t="shared" si="15"/>
        <v>-175.4230228</v>
      </c>
      <c r="R257" s="38">
        <f t="shared" si="16"/>
        <v>-573.7828536</v>
      </c>
      <c r="S257" s="40">
        <v>253.0</v>
      </c>
      <c r="T257" s="37">
        <f t="shared" si="24"/>
        <v>4.37324725</v>
      </c>
      <c r="U257" s="37">
        <f t="shared" si="18"/>
        <v>77.37324725</v>
      </c>
      <c r="V257" s="37">
        <f t="shared" si="23"/>
        <v>1.078180423</v>
      </c>
      <c r="W257" s="37">
        <f>'入力・結果'!$I$7/V257</f>
        <v>299115.0582</v>
      </c>
      <c r="X257" s="39">
        <f>(W257/I257*10)*'入力・結果'!$I$8</f>
        <v>2991.816062</v>
      </c>
      <c r="Y257" s="38">
        <f>DEGREES(ACOS(('入力・結果'!$G$3-('入力・結果'!$G$4*COS(RADIANS(S257))))/((('入力・結果'!$G$3^2)+('入力・結果'!$G$4^2)-(2*'入力・結果'!$G$3*'入力・結果'!$G$4*COS(RADIANS(S257))))^(1/2))))</f>
        <v>46.98067904</v>
      </c>
      <c r="Z257" s="38">
        <f>DEGREES(ACOS((('入力・結果'!$G$3^2)+('入力・結果'!$G$4^2)-('入力・結果'!$G$5^2)+('入力・結果'!$G$6^2)-(2*'入力・結果'!$G$3*'入力・結果'!$G$4*COS(RADIANS(S257))))/(2*'入力・結果'!$G$6*(('入力・結果'!$G$3^2)+('入力・結果'!$G$4^2)-(2*'入力・結果'!$G$3*'入力・結果'!$G$4*(COS(RADIANS(S257)))))^(1/2))))</f>
        <v>40.5771222</v>
      </c>
      <c r="AA257" s="38">
        <f>DEGREES(ACOS(('入力・結果'!$G$4-('入力・結果'!$G$3*COS(RADIANS(S257))))/((('入力・結果'!$G$3^2)+('入力・結果'!$G$4^2)-(2*'入力・結果'!$G$3*'入力・結果'!$G$4*COS(RADIANS(S257))))^(1/2))))</f>
        <v>26.01932096</v>
      </c>
      <c r="AB257" s="38">
        <f>DEGREES(ACOS((('入力・結果'!$G$3^2)+('入力・結果'!$G$4^2)+('入力・結果'!$G$5^2)-('入力・結果'!$G$6^2)-(2*'入力・結果'!$G$3*'入力・結果'!$G$4*COS(RADIANS(S257))))/(2*'入力・結果'!$G$5*(('入力・結果'!$G$3^2)+('入力・結果'!$G$4^2)-(2*'入力・結果'!$G$3*'入力・結果'!$G$4*(COS(RADIANS(S257)))))^(1/2))))</f>
        <v>30.39256821</v>
      </c>
      <c r="AC257" s="37">
        <f t="shared" si="19"/>
        <v>-308.1839378</v>
      </c>
      <c r="AD257" s="37">
        <f t="shared" si="20"/>
        <v>0</v>
      </c>
      <c r="AE257" s="37" t="str">
        <f t="shared" si="21"/>
        <v/>
      </c>
      <c r="AF257" s="37" t="str">
        <f t="shared" si="22"/>
        <v/>
      </c>
      <c r="AG257" s="35"/>
      <c r="AH257" s="35"/>
      <c r="AI257" s="35"/>
      <c r="AJ257" s="35">
        <v>254.0</v>
      </c>
      <c r="AK257" s="35">
        <f t="shared" si="1"/>
        <v>0.926669168</v>
      </c>
    </row>
    <row r="258" ht="12.75" customHeight="1">
      <c r="A258" s="35"/>
      <c r="B258" s="37">
        <v>254.0</v>
      </c>
      <c r="C258" s="38">
        <f t="shared" si="2"/>
        <v>-13.78186779</v>
      </c>
      <c r="D258" s="38">
        <f t="shared" si="3"/>
        <v>48.0630848</v>
      </c>
      <c r="E258" s="38">
        <f>'演算'!U258</f>
        <v>78.45238103</v>
      </c>
      <c r="F258" s="38">
        <f t="shared" si="4"/>
        <v>-78.45238103</v>
      </c>
      <c r="G258" s="38">
        <f t="shared" si="5"/>
        <v>-123.8821265</v>
      </c>
      <c r="H258" s="38">
        <f t="shared" si="6"/>
        <v>586.9303533</v>
      </c>
      <c r="I258" s="39">
        <f t="shared" si="7"/>
        <v>599.8616681</v>
      </c>
      <c r="J258" s="38">
        <f t="shared" si="8"/>
        <v>78.08163452</v>
      </c>
      <c r="K258" s="38" t="str">
        <f t="shared" si="9"/>
        <v/>
      </c>
      <c r="L258" s="38">
        <f t="shared" si="10"/>
        <v>1</v>
      </c>
      <c r="M258" s="38">
        <f t="shared" si="11"/>
        <v>258.0816345</v>
      </c>
      <c r="N258" s="39">
        <f t="shared" si="12"/>
        <v>208.0816345</v>
      </c>
      <c r="O258" s="39">
        <f t="shared" si="13"/>
        <v>-529.2446316</v>
      </c>
      <c r="P258" s="39">
        <f t="shared" si="14"/>
        <v>282.3723442</v>
      </c>
      <c r="Q258" s="38">
        <f t="shared" si="15"/>
        <v>-165.3824135</v>
      </c>
      <c r="R258" s="38">
        <f t="shared" si="16"/>
        <v>-576.7570176</v>
      </c>
      <c r="S258" s="40">
        <v>254.0</v>
      </c>
      <c r="T258" s="37">
        <f t="shared" si="24"/>
        <v>4.452381027</v>
      </c>
      <c r="U258" s="37">
        <f t="shared" si="18"/>
        <v>78.45238103</v>
      </c>
      <c r="V258" s="37">
        <f t="shared" si="23"/>
        <v>1.079133778</v>
      </c>
      <c r="W258" s="37">
        <f>'入力・結果'!$I$7/V258</f>
        <v>298850.8067</v>
      </c>
      <c r="X258" s="39">
        <f>(W258/I258*10)*'入力・結果'!$I$8</f>
        <v>2989.197236</v>
      </c>
      <c r="Y258" s="38">
        <f>DEGREES(ACOS(('入力・結果'!$G$3-('入力・結果'!$G$4*COS(RADIANS(S258))))/((('入力・結果'!$G$3^2)+('入力・結果'!$G$4^2)-(2*'入力・結果'!$G$3*'入力・結果'!$G$4*COS(RADIANS(S258))))^(1/2))))</f>
        <v>47.66882642</v>
      </c>
      <c r="Z258" s="38">
        <f>DEGREES(ACOS((('入力・結果'!$G$3^2)+('入力・結果'!$G$4^2)-('入力・結果'!$G$5^2)+('入力・結果'!$G$6^2)-(2*'入力・結果'!$G$3*'入力・結果'!$G$4*COS(RADIANS(S258))))/(2*'入力・結果'!$G$6*(('入力・結果'!$G$3^2)+('入力・結果'!$G$4^2)-(2*'入力・結果'!$G$3*'入力・結果'!$G$4*(COS(RADIANS(S258)))))^(1/2))))</f>
        <v>41.1493312</v>
      </c>
      <c r="AA258" s="38">
        <f>DEGREES(ACOS(('入力・結果'!$G$4-('入力・結果'!$G$3*COS(RADIANS(S258))))/((('入力・結果'!$G$3^2)+('入力・結果'!$G$4^2)-(2*'入力・結果'!$G$3*'入力・結果'!$G$4*COS(RADIANS(S258))))^(1/2))))</f>
        <v>26.33117358</v>
      </c>
      <c r="AB258" s="38">
        <f>DEGREES(ACOS((('入力・結果'!$G$3^2)+('入力・結果'!$G$4^2)+('入力・結果'!$G$5^2)-('入力・結果'!$G$6^2)-(2*'入力・結果'!$G$3*'入力・結果'!$G$4*COS(RADIANS(S258))))/(2*'入力・結果'!$G$5*(('入力・結果'!$G$3^2)+('入力・結果'!$G$4^2)-(2*'入力・結果'!$G$3*'入力・結果'!$G$4*(COS(RADIANS(S258)))))^(1/2))))</f>
        <v>30.78355461</v>
      </c>
      <c r="AC258" s="37">
        <f t="shared" si="19"/>
        <v>-310.8027643</v>
      </c>
      <c r="AD258" s="37">
        <f t="shared" si="20"/>
        <v>0</v>
      </c>
      <c r="AE258" s="37" t="str">
        <f t="shared" si="21"/>
        <v/>
      </c>
      <c r="AF258" s="37" t="str">
        <f t="shared" si="22"/>
        <v/>
      </c>
      <c r="AG258" s="35"/>
      <c r="AH258" s="35"/>
      <c r="AI258" s="35"/>
      <c r="AJ258" s="35">
        <v>255.0</v>
      </c>
      <c r="AK258" s="35">
        <f t="shared" si="1"/>
        <v>0.9258266553</v>
      </c>
    </row>
    <row r="259" ht="12.75" customHeight="1">
      <c r="A259" s="35"/>
      <c r="B259" s="37">
        <v>255.0</v>
      </c>
      <c r="C259" s="38">
        <f t="shared" si="2"/>
        <v>-12.94095226</v>
      </c>
      <c r="D259" s="38">
        <f t="shared" si="3"/>
        <v>48.29629131</v>
      </c>
      <c r="E259" s="38">
        <f>'演算'!U259</f>
        <v>79.53249683</v>
      </c>
      <c r="F259" s="38">
        <f t="shared" si="4"/>
        <v>-79.53249683</v>
      </c>
      <c r="G259" s="38">
        <f t="shared" si="5"/>
        <v>-112.8637516</v>
      </c>
      <c r="H259" s="38">
        <f t="shared" si="6"/>
        <v>589.1432513</v>
      </c>
      <c r="I259" s="39">
        <f t="shared" si="7"/>
        <v>599.8566471</v>
      </c>
      <c r="J259" s="38">
        <f t="shared" si="8"/>
        <v>79.15508968</v>
      </c>
      <c r="K259" s="38" t="str">
        <f t="shared" si="9"/>
        <v/>
      </c>
      <c r="L259" s="38">
        <f t="shared" si="10"/>
        <v>1</v>
      </c>
      <c r="M259" s="38">
        <f t="shared" si="11"/>
        <v>259.1550897</v>
      </c>
      <c r="N259" s="39">
        <f t="shared" si="12"/>
        <v>209.1550897</v>
      </c>
      <c r="O259" s="39">
        <f t="shared" si="13"/>
        <v>-523.857335</v>
      </c>
      <c r="P259" s="39">
        <f t="shared" si="14"/>
        <v>292.2353326</v>
      </c>
      <c r="Q259" s="38">
        <f t="shared" si="15"/>
        <v>-155.2914271</v>
      </c>
      <c r="R259" s="38">
        <f t="shared" si="16"/>
        <v>-579.5554958</v>
      </c>
      <c r="S259" s="40">
        <v>255.0</v>
      </c>
      <c r="T259" s="37">
        <f t="shared" si="24"/>
        <v>4.532496829</v>
      </c>
      <c r="U259" s="37">
        <f t="shared" si="18"/>
        <v>79.53249683</v>
      </c>
      <c r="V259" s="37">
        <f t="shared" si="23"/>
        <v>1.080115802</v>
      </c>
      <c r="W259" s="37">
        <f>'入力・結果'!$I$7/V259</f>
        <v>298579.0963</v>
      </c>
      <c r="X259" s="39">
        <f>(W259/I259*10)*'入力・結果'!$I$8</f>
        <v>2986.504504</v>
      </c>
      <c r="Y259" s="38">
        <f>DEGREES(ACOS(('入力・結果'!$G$3-('入力・結果'!$G$4*COS(RADIANS(S259))))/((('入力・結果'!$G$3^2)+('入力・結果'!$G$4^2)-(2*'入力・結果'!$G$3*'入力・結果'!$G$4*COS(RADIANS(S259))))^(1/2))))</f>
        <v>48.3592276</v>
      </c>
      <c r="Z259" s="38">
        <f>DEGREES(ACOS((('入力・結果'!$G$3^2)+('入力・結果'!$G$4^2)-('入力・結果'!$G$5^2)+('入力・結果'!$G$6^2)-(2*'入力・結果'!$G$3*'入力・結果'!$G$4*COS(RADIANS(S259))))/(2*'入力・結果'!$G$6*(('入力・結果'!$G$3^2)+('入力・結果'!$G$4^2)-(2*'入力・結果'!$G$3*'入力・結果'!$G$4*(COS(RADIANS(S259)))))^(1/2))))</f>
        <v>41.72235162</v>
      </c>
      <c r="AA259" s="38">
        <f>DEGREES(ACOS(('入力・結果'!$G$4-('入力・結果'!$G$3*COS(RADIANS(S259))))/((('入力・結果'!$G$3^2)+('入力・結果'!$G$4^2)-(2*'入力・結果'!$G$3*'入力・結果'!$G$4*COS(RADIANS(S259))))^(1/2))))</f>
        <v>26.6407724</v>
      </c>
      <c r="AB259" s="38">
        <f>DEGREES(ACOS((('入力・結果'!$G$3^2)+('入力・結果'!$G$4^2)+('入力・結果'!$G$5^2)-('入力・結果'!$G$6^2)-(2*'入力・結果'!$G$3*'入力・結果'!$G$4*COS(RADIANS(S259))))/(2*'入力・結果'!$G$5*(('入力・結果'!$G$3^2)+('入力・結果'!$G$4^2)-(2*'入力・結果'!$G$3*'入力・結果'!$G$4*(COS(RADIANS(S259)))))^(1/2))))</f>
        <v>31.17326922</v>
      </c>
      <c r="AC259" s="37">
        <f t="shared" si="19"/>
        <v>-313.4954962</v>
      </c>
      <c r="AD259" s="37">
        <f t="shared" si="20"/>
        <v>0</v>
      </c>
      <c r="AE259" s="37" t="str">
        <f t="shared" si="21"/>
        <v/>
      </c>
      <c r="AF259" s="37" t="str">
        <f t="shared" si="22"/>
        <v/>
      </c>
      <c r="AG259" s="35"/>
      <c r="AH259" s="35"/>
      <c r="AI259" s="35"/>
      <c r="AJ259" s="35">
        <v>256.0</v>
      </c>
      <c r="AK259" s="35">
        <f t="shared" si="1"/>
        <v>0.9249603218</v>
      </c>
    </row>
    <row r="260" ht="12.75" customHeight="1">
      <c r="A260" s="35"/>
      <c r="B260" s="37">
        <v>256.0</v>
      </c>
      <c r="C260" s="38">
        <f t="shared" si="2"/>
        <v>-12.09609478</v>
      </c>
      <c r="D260" s="38">
        <f t="shared" si="3"/>
        <v>48.51478631</v>
      </c>
      <c r="E260" s="38">
        <f>'演算'!U260</f>
        <v>80.61362429</v>
      </c>
      <c r="F260" s="38">
        <f t="shared" si="4"/>
        <v>-80.61362429</v>
      </c>
      <c r="G260" s="38">
        <f t="shared" si="5"/>
        <v>-101.7963439</v>
      </c>
      <c r="H260" s="38">
        <f t="shared" si="6"/>
        <v>591.1508202</v>
      </c>
      <c r="I260" s="39">
        <f t="shared" si="7"/>
        <v>599.8514715</v>
      </c>
      <c r="J260" s="38">
        <f t="shared" si="8"/>
        <v>80.22947297</v>
      </c>
      <c r="K260" s="38" t="str">
        <f t="shared" si="9"/>
        <v/>
      </c>
      <c r="L260" s="38">
        <f t="shared" si="10"/>
        <v>1</v>
      </c>
      <c r="M260" s="38">
        <f t="shared" si="11"/>
        <v>260.229473</v>
      </c>
      <c r="N260" s="39">
        <f t="shared" si="12"/>
        <v>210.229473</v>
      </c>
      <c r="O260" s="39">
        <f t="shared" si="13"/>
        <v>-518.2812294</v>
      </c>
      <c r="P260" s="39">
        <f t="shared" si="14"/>
        <v>302.0038992</v>
      </c>
      <c r="Q260" s="38">
        <f t="shared" si="15"/>
        <v>-145.1531374</v>
      </c>
      <c r="R260" s="38">
        <f t="shared" si="16"/>
        <v>-582.1774358</v>
      </c>
      <c r="S260" s="40">
        <v>256.0</v>
      </c>
      <c r="T260" s="37">
        <f t="shared" si="24"/>
        <v>4.613624286</v>
      </c>
      <c r="U260" s="37">
        <f t="shared" si="18"/>
        <v>80.61362429</v>
      </c>
      <c r="V260" s="37">
        <f t="shared" si="23"/>
        <v>1.081127456</v>
      </c>
      <c r="W260" s="37">
        <f>'入力・結果'!$I$7/V260</f>
        <v>298299.7038</v>
      </c>
      <c r="X260" s="39">
        <f>(W260/I260*10)*'入力・結果'!$I$8</f>
        <v>2983.735654</v>
      </c>
      <c r="Y260" s="38">
        <f>DEGREES(ACOS(('入力・結果'!$G$3-('入力・結果'!$G$4*COS(RADIANS(S260))))/((('入力・結果'!$G$3^2)+('入力・結果'!$G$4^2)-(2*'入力・結果'!$G$3*'入力・結果'!$G$4*COS(RADIANS(S260))))^(1/2))))</f>
        <v>49.05194859</v>
      </c>
      <c r="Z260" s="38">
        <f>DEGREES(ACOS((('入力・結果'!$G$3^2)+('入力・結果'!$G$4^2)-('入力・結果'!$G$5^2)+('入力・結果'!$G$6^2)-(2*'入力・結果'!$G$3*'入力・結果'!$G$4*COS(RADIANS(S260))))/(2*'入力・結果'!$G$6*(('入力・結果'!$G$3^2)+('入力・結果'!$G$4^2)-(2*'入力・結果'!$G$3*'入力・結果'!$G$4*(COS(RADIANS(S260)))))^(1/2))))</f>
        <v>42.29620582</v>
      </c>
      <c r="AA260" s="38">
        <f>DEGREES(ACOS(('入力・結果'!$G$4-('入力・結果'!$G$3*COS(RADIANS(S260))))/((('入力・結果'!$G$3^2)+('入力・結果'!$G$4^2)-(2*'入力・結果'!$G$3*'入力・結果'!$G$4*COS(RADIANS(S260))))^(1/2))))</f>
        <v>26.94805141</v>
      </c>
      <c r="AB260" s="38">
        <f>DEGREES(ACOS((('入力・結果'!$G$3^2)+('入力・結果'!$G$4^2)+('入力・結果'!$G$5^2)-('入力・結果'!$G$6^2)-(2*'入力・結果'!$G$3*'入力・結果'!$G$4*COS(RADIANS(S260))))/(2*'入力・結果'!$G$5*(('入力・結果'!$G$3^2)+('入力・結果'!$G$4^2)-(2*'入力・結果'!$G$3*'入力・結果'!$G$4*(COS(RADIANS(S260)))))^(1/2))))</f>
        <v>31.5616757</v>
      </c>
      <c r="AC260" s="37">
        <f t="shared" si="19"/>
        <v>-316.2643461</v>
      </c>
      <c r="AD260" s="37">
        <f t="shared" si="20"/>
        <v>0</v>
      </c>
      <c r="AE260" s="37" t="str">
        <f t="shared" si="21"/>
        <v/>
      </c>
      <c r="AF260" s="37" t="str">
        <f t="shared" si="22"/>
        <v/>
      </c>
      <c r="AG260" s="35"/>
      <c r="AH260" s="35"/>
      <c r="AI260" s="35"/>
      <c r="AJ260" s="35">
        <v>257.0</v>
      </c>
      <c r="AK260" s="35">
        <f t="shared" si="1"/>
        <v>0.9240694474</v>
      </c>
    </row>
    <row r="261" ht="12.75" customHeight="1">
      <c r="A261" s="35"/>
      <c r="B261" s="37">
        <v>257.0</v>
      </c>
      <c r="C261" s="38">
        <f t="shared" si="2"/>
        <v>-11.24755272</v>
      </c>
      <c r="D261" s="38">
        <f t="shared" si="3"/>
        <v>48.71850324</v>
      </c>
      <c r="E261" s="38">
        <f>'演算'!U261</f>
        <v>81.69579403</v>
      </c>
      <c r="F261" s="38">
        <f t="shared" si="4"/>
        <v>-81.69579403</v>
      </c>
      <c r="G261" s="38">
        <f t="shared" si="5"/>
        <v>-90.68341455</v>
      </c>
      <c r="H261" s="38">
        <f t="shared" si="6"/>
        <v>592.9518575</v>
      </c>
      <c r="I261" s="39">
        <f t="shared" si="7"/>
        <v>599.8461361</v>
      </c>
      <c r="J261" s="38">
        <f t="shared" si="8"/>
        <v>81.30481249</v>
      </c>
      <c r="K261" s="38" t="str">
        <f t="shared" si="9"/>
        <v/>
      </c>
      <c r="L261" s="38">
        <f t="shared" si="10"/>
        <v>1</v>
      </c>
      <c r="M261" s="38">
        <f t="shared" si="11"/>
        <v>261.3048125</v>
      </c>
      <c r="N261" s="39">
        <f t="shared" si="12"/>
        <v>211.3048125</v>
      </c>
      <c r="O261" s="39">
        <f t="shared" si="13"/>
        <v>-512.5176507</v>
      </c>
      <c r="P261" s="39">
        <f t="shared" si="14"/>
        <v>311.6745813</v>
      </c>
      <c r="Q261" s="38">
        <f t="shared" si="15"/>
        <v>-134.9706326</v>
      </c>
      <c r="R261" s="38">
        <f t="shared" si="16"/>
        <v>-584.6220389</v>
      </c>
      <c r="S261" s="40">
        <v>257.0</v>
      </c>
      <c r="T261" s="37">
        <f t="shared" si="24"/>
        <v>4.695794032</v>
      </c>
      <c r="U261" s="37">
        <f t="shared" si="18"/>
        <v>81.69579403</v>
      </c>
      <c r="V261" s="37">
        <f t="shared" si="23"/>
        <v>1.082169747</v>
      </c>
      <c r="W261" s="37">
        <f>'入力・結果'!$I$7/V261</f>
        <v>298012.3968</v>
      </c>
      <c r="X261" s="39">
        <f>(W261/I261*10)*'入力・結果'!$I$8</f>
        <v>2980.888387</v>
      </c>
      <c r="Y261" s="38">
        <f>DEGREES(ACOS(('入力・結果'!$G$3-('入力・結果'!$G$4*COS(RADIANS(S261))))/((('入力・結果'!$G$3^2)+('入力・結果'!$G$4^2)-(2*'入力・結果'!$G$3*'入力・結果'!$G$4*COS(RADIANS(S261))))^(1/2))))</f>
        <v>49.74705747</v>
      </c>
      <c r="Z261" s="38">
        <f>DEGREES(ACOS((('入力・結果'!$G$3^2)+('入力・結果'!$G$4^2)-('入力・結果'!$G$5^2)+('入力・結果'!$G$6^2)-(2*'入力・結果'!$G$3*'入力・結果'!$G$4*COS(RADIANS(S261))))/(2*'入力・結果'!$G$6*(('入力・結果'!$G$3^2)+('入力・結果'!$G$4^2)-(2*'入力・結果'!$G$3*'入力・結果'!$G$4*(COS(RADIANS(S261)))))^(1/2))))</f>
        <v>42.87091682</v>
      </c>
      <c r="AA261" s="38">
        <f>DEGREES(ACOS(('入力・結果'!$G$4-('入力・結果'!$G$3*COS(RADIANS(S261))))/((('入力・結果'!$G$3^2)+('入力・結果'!$G$4^2)-(2*'入力・結果'!$G$3*'入力・結果'!$G$4*COS(RADIANS(S261))))^(1/2))))</f>
        <v>27.25294253</v>
      </c>
      <c r="AB261" s="38">
        <f>DEGREES(ACOS((('入力・結果'!$G$3^2)+('入力・結果'!$G$4^2)+('入力・結果'!$G$5^2)-('入力・結果'!$G$6^2)-(2*'入力・結果'!$G$3*'入力・結果'!$G$4*COS(RADIANS(S261))))/(2*'入力・結果'!$G$5*(('入力・結果'!$G$3^2)+('入力・結果'!$G$4^2)-(2*'入力・結果'!$G$3*'入力・結果'!$G$4*(COS(RADIANS(S261)))))^(1/2))))</f>
        <v>31.94873656</v>
      </c>
      <c r="AC261" s="37">
        <f t="shared" si="19"/>
        <v>-319.1116134</v>
      </c>
      <c r="AD261" s="37">
        <f t="shared" si="20"/>
        <v>0</v>
      </c>
      <c r="AE261" s="37" t="str">
        <f t="shared" si="21"/>
        <v/>
      </c>
      <c r="AF261" s="37" t="str">
        <f t="shared" si="22"/>
        <v/>
      </c>
      <c r="AG261" s="35"/>
      <c r="AH261" s="35"/>
      <c r="AI261" s="35"/>
      <c r="AJ261" s="35">
        <v>258.0</v>
      </c>
      <c r="AK261" s="35">
        <f t="shared" si="1"/>
        <v>0.9231532838</v>
      </c>
    </row>
    <row r="262" ht="12.75" customHeight="1">
      <c r="A262" s="35"/>
      <c r="B262" s="37">
        <v>258.0</v>
      </c>
      <c r="C262" s="38">
        <f t="shared" si="2"/>
        <v>-10.39558454</v>
      </c>
      <c r="D262" s="38">
        <f t="shared" si="3"/>
        <v>48.90738004</v>
      </c>
      <c r="E262" s="38">
        <f>'演算'!U262</f>
        <v>82.77903776</v>
      </c>
      <c r="F262" s="38">
        <f t="shared" si="4"/>
        <v>-82.77903776</v>
      </c>
      <c r="G262" s="38">
        <f t="shared" si="5"/>
        <v>-79.52849478</v>
      </c>
      <c r="H262" s="38">
        <f t="shared" si="6"/>
        <v>594.5452093</v>
      </c>
      <c r="I262" s="39">
        <f t="shared" si="7"/>
        <v>599.840635</v>
      </c>
      <c r="J262" s="38">
        <f t="shared" si="8"/>
        <v>82.38113735</v>
      </c>
      <c r="K262" s="38" t="str">
        <f t="shared" si="9"/>
        <v/>
      </c>
      <c r="L262" s="38">
        <f t="shared" si="10"/>
        <v>1</v>
      </c>
      <c r="M262" s="38">
        <f t="shared" si="11"/>
        <v>262.3811374</v>
      </c>
      <c r="N262" s="39">
        <f t="shared" si="12"/>
        <v>212.3811374</v>
      </c>
      <c r="O262" s="39">
        <f t="shared" si="13"/>
        <v>-506.5679848</v>
      </c>
      <c r="P262" s="39">
        <f t="shared" si="14"/>
        <v>321.2439324</v>
      </c>
      <c r="Q262" s="38">
        <f t="shared" si="15"/>
        <v>-124.7470145</v>
      </c>
      <c r="R262" s="38">
        <f t="shared" si="16"/>
        <v>-586.8885604</v>
      </c>
      <c r="S262" s="40">
        <v>258.0</v>
      </c>
      <c r="T262" s="37">
        <f t="shared" si="24"/>
        <v>4.779037755</v>
      </c>
      <c r="U262" s="37">
        <f t="shared" si="18"/>
        <v>82.77903776</v>
      </c>
      <c r="V262" s="37">
        <f t="shared" si="23"/>
        <v>1.083243723</v>
      </c>
      <c r="W262" s="37">
        <f>'入力・結果'!$I$7/V262</f>
        <v>297716.934</v>
      </c>
      <c r="X262" s="39">
        <f>(W262/I262*10)*'入力・結果'!$I$8</f>
        <v>2977.960311</v>
      </c>
      <c r="Y262" s="38">
        <f>DEGREES(ACOS(('入力・結果'!$G$3-('入力・結果'!$G$4*COS(RADIANS(S262))))/((('入力・結果'!$G$3^2)+('入力・結果'!$G$4^2)-(2*'入力・結果'!$G$3*'入力・結果'!$G$4*COS(RADIANS(S262))))^(1/2))))</f>
        <v>50.44462459</v>
      </c>
      <c r="Z262" s="38">
        <f>DEGREES(ACOS((('入力・結果'!$G$3^2)+('入力・結果'!$G$4^2)-('入力・結果'!$G$5^2)+('入力・結果'!$G$6^2)-(2*'入力・結果'!$G$3*'入力・結果'!$G$4*COS(RADIANS(S262))))/(2*'入力・結果'!$G$6*(('入力・結果'!$G$3^2)+('入力・結果'!$G$4^2)-(2*'入力・結果'!$G$3*'入力・結果'!$G$4*(COS(RADIANS(S262)))))^(1/2))))</f>
        <v>43.44650828</v>
      </c>
      <c r="AA262" s="38">
        <f>DEGREES(ACOS(('入力・結果'!$G$4-('入力・結果'!$G$3*COS(RADIANS(S262))))/((('入力・結果'!$G$3^2)+('入力・結果'!$G$4^2)-(2*'入力・結果'!$G$3*'入力・結果'!$G$4*COS(RADIANS(S262))))^(1/2))))</f>
        <v>27.55537541</v>
      </c>
      <c r="AB262" s="38">
        <f>DEGREES(ACOS((('入力・結果'!$G$3^2)+('入力・結果'!$G$4^2)+('入力・結果'!$G$5^2)-('入力・結果'!$G$6^2)-(2*'入力・結果'!$G$3*'入力・結果'!$G$4*COS(RADIANS(S262))))/(2*'入力・結果'!$G$5*(('入力・結果'!$G$3^2)+('入力・結果'!$G$4^2)-(2*'入力・結果'!$G$3*'入力・結果'!$G$4*(COS(RADIANS(S262)))))^(1/2))))</f>
        <v>32.33441316</v>
      </c>
      <c r="AC262" s="37">
        <f t="shared" si="19"/>
        <v>-322.0396885</v>
      </c>
      <c r="AD262" s="37">
        <f t="shared" si="20"/>
        <v>0</v>
      </c>
      <c r="AE262" s="37" t="str">
        <f t="shared" si="21"/>
        <v/>
      </c>
      <c r="AF262" s="37" t="str">
        <f t="shared" si="22"/>
        <v/>
      </c>
      <c r="AG262" s="35"/>
      <c r="AH262" s="35"/>
      <c r="AI262" s="35"/>
      <c r="AJ262" s="35">
        <v>259.0</v>
      </c>
      <c r="AK262" s="35">
        <f t="shared" si="1"/>
        <v>0.9222110529</v>
      </c>
    </row>
    <row r="263" ht="12.75" customHeight="1">
      <c r="A263" s="35"/>
      <c r="B263" s="37">
        <v>259.0</v>
      </c>
      <c r="C263" s="38">
        <f t="shared" si="2"/>
        <v>-9.540449769</v>
      </c>
      <c r="D263" s="38">
        <f t="shared" si="3"/>
        <v>49.08135917</v>
      </c>
      <c r="E263" s="38">
        <f>'演算'!U263</f>
        <v>83.86338824</v>
      </c>
      <c r="F263" s="38">
        <f t="shared" si="4"/>
        <v>-83.86338824</v>
      </c>
      <c r="G263" s="38">
        <f t="shared" si="5"/>
        <v>-68.33513482</v>
      </c>
      <c r="H263" s="38">
        <f t="shared" si="6"/>
        <v>595.9297705</v>
      </c>
      <c r="I263" s="39">
        <f t="shared" si="7"/>
        <v>599.8349624</v>
      </c>
      <c r="J263" s="38">
        <f t="shared" si="8"/>
        <v>83.45847764</v>
      </c>
      <c r="K263" s="38" t="str">
        <f t="shared" si="9"/>
        <v/>
      </c>
      <c r="L263" s="38">
        <f t="shared" si="10"/>
        <v>1</v>
      </c>
      <c r="M263" s="38">
        <f t="shared" si="11"/>
        <v>263.4584776</v>
      </c>
      <c r="N263" s="39">
        <f t="shared" si="12"/>
        <v>213.4584776</v>
      </c>
      <c r="O263" s="39">
        <f t="shared" si="13"/>
        <v>-500.4336672</v>
      </c>
      <c r="P263" s="39">
        <f t="shared" si="14"/>
        <v>330.7085224</v>
      </c>
      <c r="Q263" s="38">
        <f t="shared" si="15"/>
        <v>-114.4853972</v>
      </c>
      <c r="R263" s="38">
        <f t="shared" si="16"/>
        <v>-588.9763101</v>
      </c>
      <c r="S263" s="40">
        <v>259.0</v>
      </c>
      <c r="T263" s="37">
        <f t="shared" si="24"/>
        <v>4.863388238</v>
      </c>
      <c r="U263" s="37">
        <f t="shared" si="18"/>
        <v>83.86338824</v>
      </c>
      <c r="V263" s="37">
        <f t="shared" si="23"/>
        <v>1.084350482</v>
      </c>
      <c r="W263" s="37">
        <f>'入力・結果'!$I$7/V263</f>
        <v>297413.0646</v>
      </c>
      <c r="X263" s="39">
        <f>(W263/I263*10)*'入力・結果'!$I$8</f>
        <v>2974.948943</v>
      </c>
      <c r="Y263" s="38">
        <f>DEGREES(ACOS(('入力・結果'!$G$3-('入力・結果'!$G$4*COS(RADIANS(S263))))/((('入力・結果'!$G$3^2)+('入力・結果'!$G$4^2)-(2*'入力・結果'!$G$3*'入力・結果'!$G$4*COS(RADIANS(S263))))^(1/2))))</f>
        <v>51.14472257</v>
      </c>
      <c r="Z263" s="38">
        <f>DEGREES(ACOS((('入力・結果'!$G$3^2)+('入力・結果'!$G$4^2)-('入力・結果'!$G$5^2)+('入力・結果'!$G$6^2)-(2*'入力・結果'!$G$3*'入力・結果'!$G$4*COS(RADIANS(S263))))/(2*'入力・結果'!$G$6*(('入力・結果'!$G$3^2)+('入力・結果'!$G$4^2)-(2*'入力・結果'!$G$3*'入力・結果'!$G$4*(COS(RADIANS(S263)))))^(1/2))))</f>
        <v>44.02300456</v>
      </c>
      <c r="AA263" s="38">
        <f>DEGREES(ACOS(('入力・結果'!$G$4-('入力・結果'!$G$3*COS(RADIANS(S263))))/((('入力・結果'!$G$3^2)+('入力・結果'!$G$4^2)-(2*'入力・結果'!$G$3*'入力・結果'!$G$4*COS(RADIANS(S263))))^(1/2))))</f>
        <v>27.85527743</v>
      </c>
      <c r="AB263" s="38">
        <f>DEGREES(ACOS((('入力・結果'!$G$3^2)+('入力・結果'!$G$4^2)+('入力・結果'!$G$5^2)-('入力・結果'!$G$6^2)-(2*'入力・結果'!$G$3*'入力・結果'!$G$4*COS(RADIANS(S263))))/(2*'入力・結果'!$G$5*(('入力・結果'!$G$3^2)+('入力・結果'!$G$4^2)-(2*'入力・結果'!$G$3*'入力・結果'!$G$4*(COS(RADIANS(S263)))))^(1/2))))</f>
        <v>32.71866566</v>
      </c>
      <c r="AC263" s="37">
        <f t="shared" si="19"/>
        <v>-325.0510567</v>
      </c>
      <c r="AD263" s="37">
        <f t="shared" si="20"/>
        <v>0</v>
      </c>
      <c r="AE263" s="37" t="str">
        <f t="shared" si="21"/>
        <v/>
      </c>
      <c r="AF263" s="37" t="str">
        <f t="shared" si="22"/>
        <v/>
      </c>
      <c r="AG263" s="35"/>
      <c r="AH263" s="35"/>
      <c r="AI263" s="35"/>
      <c r="AJ263" s="35">
        <v>260.0</v>
      </c>
      <c r="AK263" s="35">
        <f t="shared" si="1"/>
        <v>0.9212419458</v>
      </c>
    </row>
    <row r="264" ht="12.75" customHeight="1">
      <c r="A264" s="35"/>
      <c r="B264" s="37">
        <v>260.0</v>
      </c>
      <c r="C264" s="38">
        <f t="shared" si="2"/>
        <v>-8.682408883</v>
      </c>
      <c r="D264" s="38">
        <f t="shared" si="3"/>
        <v>49.24038765</v>
      </c>
      <c r="E264" s="38">
        <f>'演算'!U264</f>
        <v>84.94887941</v>
      </c>
      <c r="F264" s="38">
        <f t="shared" si="4"/>
        <v>-84.94887941</v>
      </c>
      <c r="G264" s="38">
        <f t="shared" si="5"/>
        <v>-57.10690334</v>
      </c>
      <c r="H264" s="38">
        <f t="shared" si="6"/>
        <v>597.1044842</v>
      </c>
      <c r="I264" s="39">
        <f t="shared" si="7"/>
        <v>599.8291119</v>
      </c>
      <c r="J264" s="38">
        <f t="shared" si="8"/>
        <v>84.5368645</v>
      </c>
      <c r="K264" s="38" t="str">
        <f t="shared" si="9"/>
        <v/>
      </c>
      <c r="L264" s="38">
        <f t="shared" si="10"/>
        <v>1</v>
      </c>
      <c r="M264" s="38">
        <f t="shared" si="11"/>
        <v>264.5368645</v>
      </c>
      <c r="N264" s="39">
        <f t="shared" si="12"/>
        <v>214.5368645</v>
      </c>
      <c r="O264" s="39">
        <f t="shared" si="13"/>
        <v>-494.116182</v>
      </c>
      <c r="P264" s="39">
        <f t="shared" si="14"/>
        <v>340.0649382</v>
      </c>
      <c r="Q264" s="38">
        <f t="shared" si="15"/>
        <v>-104.1889066</v>
      </c>
      <c r="R264" s="38">
        <f t="shared" si="16"/>
        <v>-590.8846518</v>
      </c>
      <c r="S264" s="40">
        <v>260.0</v>
      </c>
      <c r="T264" s="37">
        <f t="shared" si="24"/>
        <v>4.94887941</v>
      </c>
      <c r="U264" s="37">
        <f t="shared" si="18"/>
        <v>84.94887941</v>
      </c>
      <c r="V264" s="37">
        <f t="shared" si="23"/>
        <v>1.085491173</v>
      </c>
      <c r="W264" s="37">
        <f>'入力・結果'!$I$7/V264</f>
        <v>297100.5275</v>
      </c>
      <c r="X264" s="39">
        <f>(W264/I264*10)*'入力・結果'!$I$8</f>
        <v>2971.851698</v>
      </c>
      <c r="Y264" s="38">
        <f>DEGREES(ACOS(('入力・結果'!$G$3-('入力・結果'!$G$4*COS(RADIANS(S264))))/((('入力・結果'!$G$3^2)+('入力・結果'!$G$4^2)-(2*'入力・結果'!$G$3*'入力・結果'!$G$4*COS(RADIANS(S264))))^(1/2))))</f>
        <v>51.84742646</v>
      </c>
      <c r="Z264" s="38">
        <f>DEGREES(ACOS((('入力・結果'!$G$3^2)+('入力・結果'!$G$4^2)-('入力・結果'!$G$5^2)+('入力・結果'!$G$6^2)-(2*'入力・結果'!$G$3*'入力・結果'!$G$4*COS(RADIANS(S264))))/(2*'入力・結果'!$G$6*(('入力・結果'!$G$3^2)+('入力・結果'!$G$4^2)-(2*'入力・結果'!$G$3*'入力・結果'!$G$4*(COS(RADIANS(S264)))))^(1/2))))</f>
        <v>44.60043072</v>
      </c>
      <c r="AA264" s="38">
        <f>DEGREES(ACOS(('入力・結果'!$G$4-('入力・結果'!$G$3*COS(RADIANS(S264))))/((('入力・結果'!$G$3^2)+('入力・結果'!$G$4^2)-(2*'入力・結果'!$G$3*'入力・結果'!$G$4*COS(RADIANS(S264))))^(1/2))))</f>
        <v>28.15257354</v>
      </c>
      <c r="AB264" s="38">
        <f>DEGREES(ACOS((('入力・結果'!$G$3^2)+('入力・結果'!$G$4^2)+('入力・結果'!$G$5^2)-('入力・結果'!$G$6^2)-(2*'入力・結果'!$G$3*'入力・結果'!$G$4*COS(RADIANS(S264))))/(2*'入力・結果'!$G$5*(('入力・結果'!$G$3^2)+('入力・結果'!$G$4^2)-(2*'入力・結果'!$G$3*'入力・結果'!$G$4*(COS(RADIANS(S264)))))^(1/2))))</f>
        <v>33.10145295</v>
      </c>
      <c r="AC264" s="37">
        <f t="shared" si="19"/>
        <v>-328.1483015</v>
      </c>
      <c r="AD264" s="37">
        <f t="shared" si="20"/>
        <v>0</v>
      </c>
      <c r="AE264" s="37" t="str">
        <f t="shared" si="21"/>
        <v/>
      </c>
      <c r="AF264" s="37" t="str">
        <f t="shared" si="22"/>
        <v/>
      </c>
      <c r="AG264" s="35"/>
      <c r="AH264" s="35"/>
      <c r="AI264" s="35"/>
      <c r="AJ264" s="35">
        <v>261.0</v>
      </c>
      <c r="AK264" s="35">
        <f t="shared" si="1"/>
        <v>0.920245121</v>
      </c>
    </row>
    <row r="265" ht="12.75" customHeight="1">
      <c r="A265" s="35"/>
      <c r="B265" s="37">
        <v>261.0</v>
      </c>
      <c r="C265" s="38">
        <f t="shared" si="2"/>
        <v>-7.821723252</v>
      </c>
      <c r="D265" s="38">
        <f t="shared" si="3"/>
        <v>49.38441703</v>
      </c>
      <c r="E265" s="38">
        <f>'演算'!U265</f>
        <v>86.0355464</v>
      </c>
      <c r="F265" s="38">
        <f t="shared" si="4"/>
        <v>-86.0355464</v>
      </c>
      <c r="G265" s="38">
        <f t="shared" si="5"/>
        <v>-45.84738666</v>
      </c>
      <c r="H265" s="38">
        <f t="shared" si="6"/>
        <v>598.0683415</v>
      </c>
      <c r="I265" s="39">
        <f t="shared" si="7"/>
        <v>599.8230772</v>
      </c>
      <c r="J265" s="38">
        <f t="shared" si="8"/>
        <v>85.61633018</v>
      </c>
      <c r="K265" s="38" t="str">
        <f t="shared" si="9"/>
        <v/>
      </c>
      <c r="L265" s="38">
        <f t="shared" si="10"/>
        <v>1</v>
      </c>
      <c r="M265" s="38">
        <f t="shared" si="11"/>
        <v>265.6163302</v>
      </c>
      <c r="N265" s="39">
        <f t="shared" si="12"/>
        <v>215.6163302</v>
      </c>
      <c r="O265" s="39">
        <f t="shared" si="13"/>
        <v>-487.6170617</v>
      </c>
      <c r="P265" s="39">
        <f t="shared" si="14"/>
        <v>349.3097839</v>
      </c>
      <c r="Q265" s="38">
        <f t="shared" si="15"/>
        <v>-93.86067902</v>
      </c>
      <c r="R265" s="38">
        <f t="shared" si="16"/>
        <v>-592.6130044</v>
      </c>
      <c r="S265" s="40">
        <v>261.0</v>
      </c>
      <c r="T265" s="37">
        <f t="shared" si="24"/>
        <v>5.035546405</v>
      </c>
      <c r="U265" s="37">
        <f t="shared" si="18"/>
        <v>86.0355464</v>
      </c>
      <c r="V265" s="37">
        <f t="shared" si="23"/>
        <v>1.086666995</v>
      </c>
      <c r="W265" s="37">
        <f>'入力・結果'!$I$7/V265</f>
        <v>296779.0515</v>
      </c>
      <c r="X265" s="39">
        <f>(W265/I265*10)*'入力・結果'!$I$8</f>
        <v>2968.66589</v>
      </c>
      <c r="Y265" s="38">
        <f>DEGREES(ACOS(('入力・結果'!$G$3-('入力・結果'!$G$4*COS(RADIANS(S265))))/((('入力・結果'!$G$3^2)+('入力・結果'!$G$4^2)-(2*'入力・結果'!$G$3*'入力・結果'!$G$4*COS(RADIANS(S265))))^(1/2))))</f>
        <v>52.55281379</v>
      </c>
      <c r="Z265" s="38">
        <f>DEGREES(ACOS((('入力・結果'!$G$3^2)+('入力・結果'!$G$4^2)-('入力・結果'!$G$5^2)+('入力・結果'!$G$6^2)-(2*'入力・結果'!$G$3*'入力・結果'!$G$4*COS(RADIANS(S265))))/(2*'入力・結果'!$G$6*(('入力・結果'!$G$3^2)+('入力・結果'!$G$4^2)-(2*'入力・結果'!$G$3*'入力・結果'!$G$4*(COS(RADIANS(S265)))))^(1/2))))</f>
        <v>45.17881258</v>
      </c>
      <c r="AA265" s="38">
        <f>DEGREES(ACOS(('入力・結果'!$G$4-('入力・結果'!$G$3*COS(RADIANS(S265))))/((('入力・結果'!$G$3^2)+('入力・結果'!$G$4^2)-(2*'入力・結果'!$G$3*'入力・結果'!$G$4*COS(RADIANS(S265))))^(1/2))))</f>
        <v>28.44718621</v>
      </c>
      <c r="AB265" s="38">
        <f>DEGREES(ACOS((('入力・結果'!$G$3^2)+('入力・結果'!$G$4^2)+('入力・結果'!$G$5^2)-('入力・結果'!$G$6^2)-(2*'入力・結果'!$G$3*'入力・結果'!$G$4*COS(RADIANS(S265))))/(2*'入力・結果'!$G$5*(('入力・結果'!$G$3^2)+('入力・結果'!$G$4^2)-(2*'入力・結果'!$G$3*'入力・結果'!$G$4*(COS(RADIANS(S265)))))^(1/2))))</f>
        <v>33.48273261</v>
      </c>
      <c r="AC265" s="37">
        <f t="shared" si="19"/>
        <v>-331.33411</v>
      </c>
      <c r="AD265" s="37">
        <f t="shared" si="20"/>
        <v>0</v>
      </c>
      <c r="AE265" s="37" t="str">
        <f t="shared" si="21"/>
        <v/>
      </c>
      <c r="AF265" s="37" t="str">
        <f t="shared" si="22"/>
        <v/>
      </c>
      <c r="AG265" s="35"/>
      <c r="AH265" s="35"/>
      <c r="AI265" s="35"/>
      <c r="AJ265" s="35">
        <v>262.0</v>
      </c>
      <c r="AK265" s="35">
        <f t="shared" si="1"/>
        <v>0.9192197038</v>
      </c>
    </row>
    <row r="266" ht="12.75" customHeight="1">
      <c r="A266" s="35"/>
      <c r="B266" s="37">
        <v>262.0</v>
      </c>
      <c r="C266" s="38">
        <f t="shared" si="2"/>
        <v>-6.958655048</v>
      </c>
      <c r="D266" s="38">
        <f t="shared" si="3"/>
        <v>49.51340344</v>
      </c>
      <c r="E266" s="38">
        <f>'演算'!U266</f>
        <v>87.12342561</v>
      </c>
      <c r="F266" s="38">
        <f t="shared" si="4"/>
        <v>-87.12342561</v>
      </c>
      <c r="G266" s="38">
        <f t="shared" si="5"/>
        <v>-34.56018804</v>
      </c>
      <c r="H266" s="38">
        <f t="shared" si="6"/>
        <v>598.8203808</v>
      </c>
      <c r="I266" s="39">
        <f t="shared" si="7"/>
        <v>599.8168513</v>
      </c>
      <c r="J266" s="38">
        <f t="shared" si="8"/>
        <v>86.6969081</v>
      </c>
      <c r="K266" s="38" t="str">
        <f t="shared" si="9"/>
        <v/>
      </c>
      <c r="L266" s="38">
        <f t="shared" si="10"/>
        <v>1</v>
      </c>
      <c r="M266" s="38">
        <f t="shared" si="11"/>
        <v>266.6969081</v>
      </c>
      <c r="N266" s="39">
        <f t="shared" si="12"/>
        <v>216.6969081</v>
      </c>
      <c r="O266" s="39">
        <f t="shared" si="13"/>
        <v>-480.9378858</v>
      </c>
      <c r="P266" s="39">
        <f t="shared" si="14"/>
        <v>358.4396812</v>
      </c>
      <c r="Q266" s="38">
        <f t="shared" si="15"/>
        <v>-83.50386058</v>
      </c>
      <c r="R266" s="38">
        <f t="shared" si="16"/>
        <v>-594.1608412</v>
      </c>
      <c r="S266" s="40">
        <v>262.0</v>
      </c>
      <c r="T266" s="37">
        <f t="shared" si="24"/>
        <v>5.123425609</v>
      </c>
      <c r="U266" s="37">
        <f t="shared" si="18"/>
        <v>87.12342561</v>
      </c>
      <c r="V266" s="37">
        <f t="shared" si="23"/>
        <v>1.087879204</v>
      </c>
      <c r="W266" s="37">
        <f>'入力・結果'!$I$7/V266</f>
        <v>296448.3545</v>
      </c>
      <c r="X266" s="39">
        <f>(W266/I266*10)*'入力・結果'!$I$8</f>
        <v>2965.388724</v>
      </c>
      <c r="Y266" s="38">
        <f>DEGREES(ACOS(('入力・結果'!$G$3-('入力・結果'!$G$4*COS(RADIANS(S266))))/((('入力・結果'!$G$3^2)+('入力・結果'!$G$4^2)-(2*'入力・結果'!$G$3*'入力・結果'!$G$4*COS(RADIANS(S266))))^(1/2))))</f>
        <v>53.26096475</v>
      </c>
      <c r="Z266" s="38">
        <f>DEGREES(ACOS((('入力・結果'!$G$3^2)+('入力・結果'!$G$4^2)-('入力・結果'!$G$5^2)+('入力・結果'!$G$6^2)-(2*'入力・結果'!$G$3*'入力・結果'!$G$4*COS(RADIANS(S266))))/(2*'入力・結果'!$G$6*(('入力・結果'!$G$3^2)+('入力・結果'!$G$4^2)-(2*'入力・結果'!$G$3*'入力・結果'!$G$4*(COS(RADIANS(S266)))))^(1/2))))</f>
        <v>45.75817668</v>
      </c>
      <c r="AA266" s="38">
        <f>DEGREES(ACOS(('入力・結果'!$G$4-('入力・結果'!$G$3*COS(RADIANS(S266))))/((('入力・結果'!$G$3^2)+('入力・結果'!$G$4^2)-(2*'入力・結果'!$G$3*'入力・結果'!$G$4*COS(RADIANS(S266))))^(1/2))))</f>
        <v>28.73903525</v>
      </c>
      <c r="AB266" s="38">
        <f>DEGREES(ACOS((('入力・結果'!$G$3^2)+('入力・結果'!$G$4^2)+('入力・結果'!$G$5^2)-('入力・結果'!$G$6^2)-(2*'入力・結果'!$G$3*'入力・結果'!$G$4*COS(RADIANS(S266))))/(2*'入力・結果'!$G$5*(('入力・結果'!$G$3^2)+('入力・結果'!$G$4^2)-(2*'入力・結果'!$G$3*'入力・結果'!$G$4*(COS(RADIANS(S266)))))^(1/2))))</f>
        <v>33.86246086</v>
      </c>
      <c r="AC266" s="37">
        <f t="shared" si="19"/>
        <v>-334.6112764</v>
      </c>
      <c r="AD266" s="37">
        <f t="shared" si="20"/>
        <v>0</v>
      </c>
      <c r="AE266" s="37" t="str">
        <f t="shared" si="21"/>
        <v/>
      </c>
      <c r="AF266" s="37" t="str">
        <f t="shared" si="22"/>
        <v/>
      </c>
      <c r="AG266" s="35"/>
      <c r="AH266" s="35"/>
      <c r="AI266" s="35"/>
      <c r="AJ266" s="35">
        <v>263.0</v>
      </c>
      <c r="AK266" s="35">
        <f t="shared" si="1"/>
        <v>0.9181647841</v>
      </c>
    </row>
    <row r="267" ht="12.75" customHeight="1">
      <c r="A267" s="35"/>
      <c r="B267" s="37">
        <v>263.0</v>
      </c>
      <c r="C267" s="38">
        <f t="shared" si="2"/>
        <v>-6.09346717</v>
      </c>
      <c r="D267" s="38">
        <f t="shared" si="3"/>
        <v>49.62730758</v>
      </c>
      <c r="E267" s="38">
        <f>'演算'!U267</f>
        <v>88.21255473</v>
      </c>
      <c r="F267" s="38">
        <f t="shared" si="4"/>
        <v>-88.21255473</v>
      </c>
      <c r="G267" s="38">
        <f t="shared" si="5"/>
        <v>-23.248927</v>
      </c>
      <c r="H267" s="38">
        <f t="shared" si="6"/>
        <v>599.3596881</v>
      </c>
      <c r="I267" s="39">
        <f t="shared" si="7"/>
        <v>599.810427</v>
      </c>
      <c r="J267" s="38">
        <f t="shared" si="8"/>
        <v>87.77863287</v>
      </c>
      <c r="K267" s="38" t="str">
        <f t="shared" si="9"/>
        <v/>
      </c>
      <c r="L267" s="38">
        <f t="shared" si="10"/>
        <v>1</v>
      </c>
      <c r="M267" s="38">
        <f t="shared" si="11"/>
        <v>267.7786329</v>
      </c>
      <c r="N267" s="39">
        <f t="shared" si="12"/>
        <v>217.7786329</v>
      </c>
      <c r="O267" s="39">
        <f t="shared" si="13"/>
        <v>-474.0802807</v>
      </c>
      <c r="P267" s="39">
        <f t="shared" si="14"/>
        <v>367.4512699</v>
      </c>
      <c r="Q267" s="38">
        <f t="shared" si="15"/>
        <v>-73.12160604</v>
      </c>
      <c r="R267" s="38">
        <f t="shared" si="16"/>
        <v>-595.527691</v>
      </c>
      <c r="S267" s="40">
        <v>263.0</v>
      </c>
      <c r="T267" s="37">
        <f t="shared" si="24"/>
        <v>5.212554726</v>
      </c>
      <c r="U267" s="37">
        <f t="shared" si="18"/>
        <v>88.21255473</v>
      </c>
      <c r="V267" s="37">
        <f t="shared" si="23"/>
        <v>1.089129116</v>
      </c>
      <c r="W267" s="37">
        <f>'入力・結果'!$I$7/V267</f>
        <v>296108.1429</v>
      </c>
      <c r="X267" s="39">
        <f>(W267/I267*10)*'入力・結果'!$I$8</f>
        <v>2962.017293</v>
      </c>
      <c r="Y267" s="38">
        <f>DEGREES(ACOS(('入力・結果'!$G$3-('入力・結果'!$G$4*COS(RADIANS(S267))))/((('入力・結果'!$G$3^2)+('入力・結果'!$G$4^2)-(2*'入力・結果'!$G$3*'入力・結果'!$G$4*COS(RADIANS(S267))))^(1/2))))</f>
        <v>53.97196224</v>
      </c>
      <c r="Z267" s="38">
        <f>DEGREES(ACOS((('入力・結果'!$G$3^2)+('入力・結果'!$G$4^2)-('入力・結果'!$G$5^2)+('入力・結果'!$G$6^2)-(2*'入力・結果'!$G$3*'入力・結果'!$G$4*COS(RADIANS(S267))))/(2*'入力・結果'!$G$6*(('入力・結果'!$G$3^2)+('入力・結果'!$G$4^2)-(2*'入力・結果'!$G$3*'入力・結果'!$G$4*(COS(RADIANS(S267)))))^(1/2))))</f>
        <v>46.33855038</v>
      </c>
      <c r="AA267" s="38">
        <f>DEGREES(ACOS(('入力・結果'!$G$4-('入力・結果'!$G$3*COS(RADIANS(S267))))/((('入力・結果'!$G$3^2)+('入力・結果'!$G$4^2)-(2*'入力・結果'!$G$3*'入力・結果'!$G$4*COS(RADIANS(S267))))^(1/2))))</f>
        <v>29.02803776</v>
      </c>
      <c r="AB267" s="38">
        <f>DEGREES(ACOS((('入力・結果'!$G$3^2)+('入力・結果'!$G$4^2)+('入力・結果'!$G$5^2)-('入力・結果'!$G$6^2)-(2*'入力・結果'!$G$3*'入力・結果'!$G$4*COS(RADIANS(S267))))/(2*'入力・結果'!$G$5*(('入力・結果'!$G$3^2)+('入力・結果'!$G$4^2)-(2*'入力・結果'!$G$3*'入力・結果'!$G$4*(COS(RADIANS(S267)))))^(1/2))))</f>
        <v>34.24059249</v>
      </c>
      <c r="AC267" s="37">
        <f t="shared" si="19"/>
        <v>-337.9827071</v>
      </c>
      <c r="AD267" s="37">
        <f t="shared" si="20"/>
        <v>0</v>
      </c>
      <c r="AE267" s="37" t="str">
        <f t="shared" si="21"/>
        <v/>
      </c>
      <c r="AF267" s="37" t="str">
        <f t="shared" si="22"/>
        <v/>
      </c>
      <c r="AG267" s="35"/>
      <c r="AH267" s="35"/>
      <c r="AI267" s="35"/>
      <c r="AJ267" s="35">
        <v>264.0</v>
      </c>
      <c r="AK267" s="35">
        <f t="shared" si="1"/>
        <v>0.9170794151</v>
      </c>
    </row>
    <row r="268" ht="12.75" customHeight="1">
      <c r="A268" s="35"/>
      <c r="B268" s="37">
        <v>264.0</v>
      </c>
      <c r="C268" s="38">
        <f t="shared" si="2"/>
        <v>-5.226423163</v>
      </c>
      <c r="D268" s="38">
        <f t="shared" si="3"/>
        <v>49.72609477</v>
      </c>
      <c r="E268" s="38">
        <f>'演算'!U268</f>
        <v>89.30297283</v>
      </c>
      <c r="F268" s="38">
        <f t="shared" si="4"/>
        <v>-89.30297283</v>
      </c>
      <c r="G268" s="38">
        <f t="shared" si="5"/>
        <v>-11.9172386</v>
      </c>
      <c r="H268" s="38">
        <f t="shared" si="6"/>
        <v>599.685396</v>
      </c>
      <c r="I268" s="39">
        <f t="shared" si="7"/>
        <v>599.8037969</v>
      </c>
      <c r="J268" s="38">
        <f t="shared" si="8"/>
        <v>88.86154037</v>
      </c>
      <c r="K268" s="38" t="str">
        <f t="shared" si="9"/>
        <v/>
      </c>
      <c r="L268" s="38">
        <f t="shared" si="10"/>
        <v>1</v>
      </c>
      <c r="M268" s="38">
        <f t="shared" si="11"/>
        <v>268.8615404</v>
      </c>
      <c r="N268" s="39">
        <f t="shared" si="12"/>
        <v>218.8615404</v>
      </c>
      <c r="O268" s="39">
        <f t="shared" si="13"/>
        <v>-467.0459185</v>
      </c>
      <c r="P268" s="39">
        <f t="shared" si="14"/>
        <v>376.3412078</v>
      </c>
      <c r="Q268" s="38">
        <f t="shared" si="15"/>
        <v>-62.71707796</v>
      </c>
      <c r="R268" s="38">
        <f t="shared" si="16"/>
        <v>-596.7131372</v>
      </c>
      <c r="S268" s="40">
        <v>264.0</v>
      </c>
      <c r="T268" s="37">
        <f t="shared" si="24"/>
        <v>5.302972833</v>
      </c>
      <c r="U268" s="37">
        <f t="shared" si="18"/>
        <v>89.30297283</v>
      </c>
      <c r="V268" s="37">
        <f t="shared" si="23"/>
        <v>1.090418107</v>
      </c>
      <c r="W268" s="37">
        <f>'入力・結果'!$I$7/V268</f>
        <v>295758.1114</v>
      </c>
      <c r="X268" s="39">
        <f>(W268/I268*10)*'入力・結果'!$I$8</f>
        <v>2958.548574</v>
      </c>
      <c r="Y268" s="38">
        <f>DEGREES(ACOS(('入力・結果'!$G$3-('入力・結果'!$G$4*COS(RADIANS(S268))))/((('入力・結果'!$G$3^2)+('入力・結果'!$G$4^2)-(2*'入力・結果'!$G$3*'入力・結果'!$G$4*COS(RADIANS(S268))))^(1/2))))</f>
        <v>54.68589201</v>
      </c>
      <c r="Z268" s="38">
        <f>DEGREES(ACOS((('入力・結果'!$G$3^2)+('入力・結果'!$G$4^2)-('入力・結果'!$G$5^2)+('入力・結果'!$G$6^2)-(2*'入力・結果'!$G$3*'入力・結果'!$G$4*COS(RADIANS(S268))))/(2*'入力・結果'!$G$6*(('入力・結果'!$G$3^2)+('入力・結果'!$G$4^2)-(2*'入力・結果'!$G$3*'入力・結果'!$G$4*(COS(RADIANS(S268)))))^(1/2))))</f>
        <v>46.91996185</v>
      </c>
      <c r="AA268" s="38">
        <f>DEGREES(ACOS(('入力・結果'!$G$4-('入力・結果'!$G$3*COS(RADIANS(S268))))/((('入力・結果'!$G$3^2)+('入力・結果'!$G$4^2)-(2*'入力・結果'!$G$3*'入力・結果'!$G$4*COS(RADIANS(S268))))^(1/2))))</f>
        <v>29.31410799</v>
      </c>
      <c r="AB268" s="38">
        <f>DEGREES(ACOS((('入力・結果'!$G$3^2)+('入力・結果'!$G$4^2)+('入力・結果'!$G$5^2)-('入力・結果'!$G$6^2)-(2*'入力・結果'!$G$3*'入力・結果'!$G$4*COS(RADIANS(S268))))/(2*'入力・結果'!$G$5*(('入力・結果'!$G$3^2)+('入力・結果'!$G$4^2)-(2*'入力・結果'!$G$3*'入力・結果'!$G$4*(COS(RADIANS(S268)))))^(1/2))))</f>
        <v>34.61708083</v>
      </c>
      <c r="AC268" s="37">
        <f t="shared" si="19"/>
        <v>-341.4514255</v>
      </c>
      <c r="AD268" s="37">
        <f t="shared" si="20"/>
        <v>0</v>
      </c>
      <c r="AE268" s="37" t="str">
        <f t="shared" si="21"/>
        <v/>
      </c>
      <c r="AF268" s="37" t="str">
        <f t="shared" si="22"/>
        <v/>
      </c>
      <c r="AG268" s="35"/>
      <c r="AH268" s="35"/>
      <c r="AI268" s="35"/>
      <c r="AJ268" s="35">
        <v>265.0</v>
      </c>
      <c r="AK268" s="35">
        <f t="shared" si="1"/>
        <v>0.9159626118</v>
      </c>
    </row>
    <row r="269" ht="12.75" customHeight="1">
      <c r="A269" s="35"/>
      <c r="B269" s="37">
        <v>265.0</v>
      </c>
      <c r="C269" s="38">
        <f t="shared" si="2"/>
        <v>-4.357787137</v>
      </c>
      <c r="D269" s="38">
        <f t="shared" si="3"/>
        <v>49.8097349</v>
      </c>
      <c r="E269" s="38">
        <f>'演算'!U269</f>
        <v>90.39472045</v>
      </c>
      <c r="F269" s="38">
        <f t="shared" si="4"/>
        <v>-90.39472045</v>
      </c>
      <c r="G269" s="38">
        <f t="shared" si="5"/>
        <v>-0.5687727845</v>
      </c>
      <c r="H269" s="38">
        <f t="shared" si="6"/>
        <v>599.7966833</v>
      </c>
      <c r="I269" s="39">
        <f t="shared" si="7"/>
        <v>599.7969529</v>
      </c>
      <c r="J269" s="38">
        <f t="shared" si="8"/>
        <v>89.94566781</v>
      </c>
      <c r="K269" s="38" t="str">
        <f t="shared" si="9"/>
        <v/>
      </c>
      <c r="L269" s="38">
        <f t="shared" si="10"/>
        <v>1</v>
      </c>
      <c r="M269" s="38">
        <f t="shared" si="11"/>
        <v>269.9456678</v>
      </c>
      <c r="N269" s="39">
        <f t="shared" si="12"/>
        <v>219.9456678</v>
      </c>
      <c r="O269" s="39">
        <f t="shared" si="13"/>
        <v>-459.8365163</v>
      </c>
      <c r="P269" s="39">
        <f t="shared" si="14"/>
        <v>385.1061711</v>
      </c>
      <c r="Q269" s="38">
        <f t="shared" si="15"/>
        <v>-52.29344565</v>
      </c>
      <c r="R269" s="38">
        <f t="shared" si="16"/>
        <v>-597.7168189</v>
      </c>
      <c r="S269" s="40">
        <v>265.0</v>
      </c>
      <c r="T269" s="37">
        <f t="shared" si="24"/>
        <v>5.394720451</v>
      </c>
      <c r="U269" s="37">
        <f t="shared" si="18"/>
        <v>90.39472045</v>
      </c>
      <c r="V269" s="37">
        <f t="shared" si="23"/>
        <v>1.091747618</v>
      </c>
      <c r="W269" s="37">
        <f>'入力・結果'!$I$7/V269</f>
        <v>295397.9423</v>
      </c>
      <c r="X269" s="39">
        <f>(W269/I269*10)*'入力・結果'!$I$8</f>
        <v>2954.979423</v>
      </c>
      <c r="Y269" s="38">
        <f>DEGREES(ACOS(('入力・結果'!$G$3-('入力・結果'!$G$4*COS(RADIANS(S269))))/((('入力・結果'!$G$3^2)+('入力・結果'!$G$4^2)-(2*'入力・結果'!$G$3*'入力・結果'!$G$4*COS(RADIANS(S269))))^(1/2))))</f>
        <v>55.40284279</v>
      </c>
      <c r="Z269" s="38">
        <f>DEGREES(ACOS((('入力・結果'!$G$3^2)+('入力・結果'!$G$4^2)-('入力・結果'!$G$5^2)+('入力・結果'!$G$6^2)-(2*'入力・結果'!$G$3*'入力・結果'!$G$4*COS(RADIANS(S269))))/(2*'入力・結果'!$G$6*(('入力・結果'!$G$3^2)+('入力・結果'!$G$4^2)-(2*'入力・結果'!$G$3*'入力・結果'!$G$4*(COS(RADIANS(S269)))))^(1/2))))</f>
        <v>47.5024401</v>
      </c>
      <c r="AA269" s="38">
        <f>DEGREES(ACOS(('入力・結果'!$G$4-('入力・結果'!$G$3*COS(RADIANS(S269))))/((('入力・結果'!$G$3^2)+('入力・結果'!$G$4^2)-(2*'入力・結果'!$G$3*'入力・結果'!$G$4*COS(RADIANS(S269))))^(1/2))))</f>
        <v>29.59715721</v>
      </c>
      <c r="AB269" s="38">
        <f>DEGREES(ACOS((('入力・結果'!$G$3^2)+('入力・結果'!$G$4^2)+('入力・結果'!$G$5^2)-('入力・結果'!$G$6^2)-(2*'入力・結果'!$G$3*'入力・結果'!$G$4*COS(RADIANS(S269))))/(2*'入力・結果'!$G$5*(('入力・結果'!$G$3^2)+('入力・結果'!$G$4^2)-(2*'入力・結果'!$G$3*'入力・結果'!$G$4*(COS(RADIANS(S269)))))^(1/2))))</f>
        <v>34.99187766</v>
      </c>
      <c r="AC269" s="37">
        <f t="shared" si="19"/>
        <v>-345.0205771</v>
      </c>
      <c r="AD269" s="37">
        <f t="shared" si="20"/>
        <v>0</v>
      </c>
      <c r="AE269" s="37" t="str">
        <f t="shared" si="21"/>
        <v/>
      </c>
      <c r="AF269" s="37" t="str">
        <f t="shared" si="22"/>
        <v/>
      </c>
      <c r="AG269" s="35"/>
      <c r="AH269" s="35"/>
      <c r="AI269" s="35"/>
      <c r="AJ269" s="35">
        <v>266.0</v>
      </c>
      <c r="AK269" s="35">
        <f t="shared" si="1"/>
        <v>0.9148133494</v>
      </c>
    </row>
    <row r="270" ht="12.75" customHeight="1">
      <c r="A270" s="35"/>
      <c r="B270" s="37">
        <v>266.0</v>
      </c>
      <c r="C270" s="38">
        <f t="shared" si="2"/>
        <v>-3.487823687</v>
      </c>
      <c r="D270" s="38">
        <f t="shared" si="3"/>
        <v>49.87820251</v>
      </c>
      <c r="E270" s="38">
        <f>'演算'!U270</f>
        <v>91.48783961</v>
      </c>
      <c r="F270" s="38">
        <f t="shared" si="4"/>
        <v>-91.48783961</v>
      </c>
      <c r="G270" s="38">
        <f t="shared" si="5"/>
        <v>10.79280621</v>
      </c>
      <c r="H270" s="38">
        <f t="shared" si="6"/>
        <v>599.6927745</v>
      </c>
      <c r="I270" s="39">
        <f t="shared" si="7"/>
        <v>599.789887</v>
      </c>
      <c r="J270" s="38">
        <f t="shared" si="8"/>
        <v>-88.96894624</v>
      </c>
      <c r="K270" s="38">
        <f t="shared" si="9"/>
        <v>1</v>
      </c>
      <c r="L270" s="38">
        <f t="shared" si="10"/>
        <v>2</v>
      </c>
      <c r="M270" s="38">
        <f t="shared" si="11"/>
        <v>271.0310538</v>
      </c>
      <c r="N270" s="39">
        <f t="shared" si="12"/>
        <v>221.0310538</v>
      </c>
      <c r="O270" s="39">
        <f t="shared" si="13"/>
        <v>-452.4538354</v>
      </c>
      <c r="P270" s="39">
        <f t="shared" si="14"/>
        <v>393.7428543</v>
      </c>
      <c r="Q270" s="38">
        <f t="shared" si="15"/>
        <v>-41.85388425</v>
      </c>
      <c r="R270" s="38">
        <f t="shared" si="16"/>
        <v>-598.5384302</v>
      </c>
      <c r="S270" s="40">
        <v>266.0</v>
      </c>
      <c r="T270" s="37">
        <f t="shared" si="24"/>
        <v>5.487839611</v>
      </c>
      <c r="U270" s="37">
        <f t="shared" si="18"/>
        <v>91.48783961</v>
      </c>
      <c r="V270" s="37">
        <f t="shared" si="23"/>
        <v>1.09311916</v>
      </c>
      <c r="W270" s="37">
        <f>'入力・結果'!$I$7/V270</f>
        <v>295027.3052</v>
      </c>
      <c r="X270" s="39">
        <f>(W270/I270*10)*'入力・結果'!$I$8</f>
        <v>2951.306565</v>
      </c>
      <c r="Y270" s="38">
        <f>DEGREES(ACOS(('入力・結果'!$G$3-('入力・結果'!$G$4*COS(RADIANS(S270))))/((('入力・結果'!$G$3^2)+('入力・結果'!$G$4^2)-(2*'入力・結果'!$G$3*'入力・結果'!$G$4*COS(RADIANS(S270))))^(1/2))))</f>
        <v>56.12290645</v>
      </c>
      <c r="Z270" s="38">
        <f>DEGREES(ACOS((('入力・結果'!$G$3^2)+('入力・結果'!$G$4^2)-('入力・結果'!$G$5^2)+('入力・結果'!$G$6^2)-(2*'入力・結果'!$G$3*'入力・結果'!$G$4*COS(RADIANS(S270))))/(2*'入力・結果'!$G$6*(('入力・結果'!$G$3^2)+('入力・結果'!$G$4^2)-(2*'入力・結果'!$G$3*'入力・結果'!$G$4*(COS(RADIANS(S270)))))^(1/2))))</f>
        <v>48.08601502</v>
      </c>
      <c r="AA270" s="38">
        <f>DEGREES(ACOS(('入力・結果'!$G$4-('入力・結果'!$G$3*COS(RADIANS(S270))))/((('入力・結果'!$G$3^2)+('入力・結果'!$G$4^2)-(2*'入力・結果'!$G$3*'入力・結果'!$G$4*COS(RADIANS(S270))))^(1/2))))</f>
        <v>29.87709355</v>
      </c>
      <c r="AB270" s="38">
        <f>DEGREES(ACOS((('入力・結果'!$G$3^2)+('入力・結果'!$G$4^2)+('入力・結果'!$G$5^2)-('入力・結果'!$G$6^2)-(2*'入力・結果'!$G$3*'入力・結果'!$G$4*COS(RADIANS(S270))))/(2*'入力・結果'!$G$5*(('入力・結果'!$G$3^2)+('入力・結果'!$G$4^2)-(2*'入力・結果'!$G$3*'入力・結果'!$G$4*(COS(RADIANS(S270)))))^(1/2))))</f>
        <v>35.36493317</v>
      </c>
      <c r="AC270" s="37">
        <f t="shared" si="19"/>
        <v>-348.6934348</v>
      </c>
      <c r="AD270" s="37">
        <f t="shared" si="20"/>
        <v>0</v>
      </c>
      <c r="AE270" s="37" t="str">
        <f t="shared" si="21"/>
        <v/>
      </c>
      <c r="AF270" s="37" t="str">
        <f t="shared" si="22"/>
        <v/>
      </c>
      <c r="AG270" s="35"/>
      <c r="AH270" s="35"/>
      <c r="AI270" s="35"/>
      <c r="AJ270" s="35">
        <v>267.0</v>
      </c>
      <c r="AK270" s="35">
        <f t="shared" si="1"/>
        <v>0.9136305614</v>
      </c>
    </row>
    <row r="271" ht="12.75" customHeight="1">
      <c r="A271" s="35"/>
      <c r="B271" s="37">
        <v>267.0</v>
      </c>
      <c r="C271" s="38">
        <f t="shared" si="2"/>
        <v>-2.616797812</v>
      </c>
      <c r="D271" s="38">
        <f t="shared" si="3"/>
        <v>49.93147674</v>
      </c>
      <c r="E271" s="38">
        <f>'演算'!U271</f>
        <v>92.58237393</v>
      </c>
      <c r="F271" s="38">
        <f t="shared" si="4"/>
        <v>-92.58237393</v>
      </c>
      <c r="G271" s="38">
        <f t="shared" si="5"/>
        <v>22.16382049</v>
      </c>
      <c r="H271" s="38">
        <f t="shared" si="6"/>
        <v>599.3729395</v>
      </c>
      <c r="I271" s="39">
        <f t="shared" si="7"/>
        <v>599.7825902</v>
      </c>
      <c r="J271" s="38">
        <f t="shared" si="8"/>
        <v>-87.8822617</v>
      </c>
      <c r="K271" s="38" t="str">
        <f t="shared" si="9"/>
        <v/>
      </c>
      <c r="L271" s="38">
        <f t="shared" si="10"/>
        <v>2</v>
      </c>
      <c r="M271" s="38">
        <f t="shared" si="11"/>
        <v>272.1177383</v>
      </c>
      <c r="N271" s="39">
        <f t="shared" si="12"/>
        <v>222.1177383</v>
      </c>
      <c r="O271" s="39">
        <f t="shared" si="13"/>
        <v>-444.8996804</v>
      </c>
      <c r="P271" s="39">
        <f t="shared" si="14"/>
        <v>402.2479706</v>
      </c>
      <c r="Q271" s="38">
        <f t="shared" si="15"/>
        <v>-31.40157375</v>
      </c>
      <c r="R271" s="38">
        <f t="shared" si="16"/>
        <v>-599.1777209</v>
      </c>
      <c r="S271" s="40">
        <v>267.0</v>
      </c>
      <c r="T271" s="37">
        <f t="shared" si="24"/>
        <v>5.582373925</v>
      </c>
      <c r="U271" s="37">
        <f t="shared" si="18"/>
        <v>92.58237393</v>
      </c>
      <c r="V271" s="37">
        <f t="shared" si="23"/>
        <v>1.094534314</v>
      </c>
      <c r="W271" s="37">
        <f>'入力・結果'!$I$7/V271</f>
        <v>294645.856</v>
      </c>
      <c r="X271" s="39">
        <f>(W271/I271*10)*'入力・結果'!$I$8</f>
        <v>2947.526596</v>
      </c>
      <c r="Y271" s="38">
        <f>DEGREES(ACOS(('入力・結果'!$G$3-('入力・結果'!$G$4*COS(RADIANS(S271))))/((('入力・結果'!$G$3^2)+('入力・結果'!$G$4^2)-(2*'入力・結果'!$G$3*'入力・結果'!$G$4*COS(RADIANS(S271))))^(1/2))))</f>
        <v>56.84617806</v>
      </c>
      <c r="Z271" s="38">
        <f>DEGREES(ACOS((('入力・結果'!$G$3^2)+('入力・結果'!$G$4^2)-('入力・結果'!$G$5^2)+('入力・結果'!$G$6^2)-(2*'入力・結果'!$G$3*'入力・結果'!$G$4*COS(RADIANS(S271))))/(2*'入力・結果'!$G$6*(('入力・結果'!$G$3^2)+('入力・結果'!$G$4^2)-(2*'入力・結果'!$G$3*'入力・結果'!$G$4*(COS(RADIANS(S271)))))^(1/2))))</f>
        <v>48.67071741</v>
      </c>
      <c r="AA271" s="38">
        <f>DEGREES(ACOS(('入力・結果'!$G$4-('入力・結果'!$G$3*COS(RADIANS(S271))))/((('入力・結果'!$G$3^2)+('入力・結果'!$G$4^2)-(2*'入力・結果'!$G$3*'入力・結果'!$G$4*COS(RADIANS(S271))))^(1/2))))</f>
        <v>30.15382194</v>
      </c>
      <c r="AB271" s="38">
        <f>DEGREES(ACOS((('入力・結果'!$G$3^2)+('入力・結果'!$G$4^2)+('入力・結果'!$G$5^2)-('入力・結果'!$G$6^2)-(2*'入力・結果'!$G$3*'入力・結果'!$G$4*COS(RADIANS(S271))))/(2*'入力・結果'!$G$5*(('入力・結果'!$G$3^2)+('入力・結果'!$G$4^2)-(2*'入力・結果'!$G$3*'入力・結果'!$G$4*(COS(RADIANS(S271)))))^(1/2))))</f>
        <v>35.73619587</v>
      </c>
      <c r="AC271" s="37">
        <f t="shared" si="19"/>
        <v>-352.4734042</v>
      </c>
      <c r="AD271" s="37">
        <f t="shared" si="20"/>
        <v>0</v>
      </c>
      <c r="AE271" s="37" t="str">
        <f t="shared" si="21"/>
        <v/>
      </c>
      <c r="AF271" s="37" t="str">
        <f t="shared" si="22"/>
        <v/>
      </c>
      <c r="AG271" s="35"/>
      <c r="AH271" s="35"/>
      <c r="AI271" s="35"/>
      <c r="AJ271" s="35">
        <v>268.0</v>
      </c>
      <c r="AK271" s="35">
        <f t="shared" si="1"/>
        <v>0.9124131376</v>
      </c>
    </row>
    <row r="272" ht="12.75" customHeight="1">
      <c r="A272" s="35"/>
      <c r="B272" s="37">
        <v>268.0</v>
      </c>
      <c r="C272" s="38">
        <f t="shared" si="2"/>
        <v>-1.744974835</v>
      </c>
      <c r="D272" s="38">
        <f t="shared" si="3"/>
        <v>49.96954135</v>
      </c>
      <c r="E272" s="38">
        <f>'演算'!U272</f>
        <v>93.67836867</v>
      </c>
      <c r="F272" s="38">
        <f t="shared" si="4"/>
        <v>-93.67836867</v>
      </c>
      <c r="G272" s="38">
        <f t="shared" si="5"/>
        <v>33.54057909</v>
      </c>
      <c r="H272" s="38">
        <f t="shared" si="6"/>
        <v>598.8364922</v>
      </c>
      <c r="I272" s="39">
        <f t="shared" si="7"/>
        <v>599.7750535</v>
      </c>
      <c r="J272" s="38">
        <f t="shared" si="8"/>
        <v>-86.79423702</v>
      </c>
      <c r="K272" s="38" t="str">
        <f t="shared" si="9"/>
        <v/>
      </c>
      <c r="L272" s="38">
        <f t="shared" si="10"/>
        <v>2</v>
      </c>
      <c r="M272" s="38">
        <f t="shared" si="11"/>
        <v>273.205763</v>
      </c>
      <c r="N272" s="39">
        <f t="shared" si="12"/>
        <v>223.205763</v>
      </c>
      <c r="O272" s="39">
        <f t="shared" si="13"/>
        <v>-437.1758985</v>
      </c>
      <c r="P272" s="39">
        <f t="shared" si="14"/>
        <v>410.6182516</v>
      </c>
      <c r="Q272" s="38">
        <f t="shared" si="15"/>
        <v>-20.93969802</v>
      </c>
      <c r="R272" s="38">
        <f t="shared" si="16"/>
        <v>-599.6344962</v>
      </c>
      <c r="S272" s="40">
        <v>268.0</v>
      </c>
      <c r="T272" s="37">
        <f t="shared" si="24"/>
        <v>5.678368666</v>
      </c>
      <c r="U272" s="37">
        <f t="shared" si="18"/>
        <v>93.67836867</v>
      </c>
      <c r="V272" s="37">
        <f t="shared" si="23"/>
        <v>1.09599474</v>
      </c>
      <c r="W272" s="37">
        <f>'入力・結果'!$I$7/V272</f>
        <v>294253.2369</v>
      </c>
      <c r="X272" s="39">
        <f>(W272/I272*10)*'入力・結果'!$I$8</f>
        <v>2943.63597</v>
      </c>
      <c r="Y272" s="38">
        <f>DEGREES(ACOS(('入力・結果'!$G$3-('入力・結果'!$G$4*COS(RADIANS(S272))))/((('入力・結果'!$G$3^2)+('入力・結果'!$G$4^2)-(2*'入力・結果'!$G$3*'入力・結果'!$G$4*COS(RADIANS(S272))))^(1/2))))</f>
        <v>57.57275612</v>
      </c>
      <c r="Z272" s="38">
        <f>DEGREES(ACOS((('入力・結果'!$G$3^2)+('入力・結果'!$G$4^2)-('入力・結果'!$G$5^2)+('入力・結果'!$G$6^2)-(2*'入力・結果'!$G$3*'入力・結果'!$G$4*COS(RADIANS(S272))))/(2*'入力・結果'!$G$6*(('入力・結果'!$G$3^2)+('入力・結果'!$G$4^2)-(2*'入力・結果'!$G$3*'入力・結果'!$G$4*(COS(RADIANS(S272)))))^(1/2))))</f>
        <v>49.25657899</v>
      </c>
      <c r="AA272" s="38">
        <f>DEGREES(ACOS(('入力・結果'!$G$4-('入力・結果'!$G$3*COS(RADIANS(S272))))/((('入力・結果'!$G$3^2)+('入力・結果'!$G$4^2)-(2*'入力・結果'!$G$3*'入力・結果'!$G$4*COS(RADIANS(S272))))^(1/2))))</f>
        <v>30.42724388</v>
      </c>
      <c r="AB272" s="38">
        <f>DEGREES(ACOS((('入力・結果'!$G$3^2)+('入力・結果'!$G$4^2)+('入力・結果'!$G$5^2)-('入力・結果'!$G$6^2)-(2*'入力・結果'!$G$3*'入力・結果'!$G$4*COS(RADIANS(S272))))/(2*'入力・結果'!$G$5*(('入力・結果'!$G$3^2)+('入力・結果'!$G$4^2)-(2*'入力・結果'!$G$3*'入力・結果'!$G$4*(COS(RADIANS(S272)))))^(1/2))))</f>
        <v>36.10561254</v>
      </c>
      <c r="AC272" s="37">
        <f t="shared" si="19"/>
        <v>-356.36403</v>
      </c>
      <c r="AD272" s="37">
        <f t="shared" si="20"/>
        <v>0</v>
      </c>
      <c r="AE272" s="37" t="str">
        <f t="shared" si="21"/>
        <v/>
      </c>
      <c r="AF272" s="37" t="str">
        <f t="shared" si="22"/>
        <v/>
      </c>
      <c r="AG272" s="35"/>
      <c r="AH272" s="35"/>
      <c r="AI272" s="35"/>
      <c r="AJ272" s="35">
        <v>269.0</v>
      </c>
      <c r="AK272" s="35">
        <f t="shared" si="1"/>
        <v>0.9111599228</v>
      </c>
    </row>
    <row r="273" ht="12.75" customHeight="1">
      <c r="A273" s="35"/>
      <c r="B273" s="37">
        <v>269.0</v>
      </c>
      <c r="C273" s="38">
        <f t="shared" si="2"/>
        <v>-0.8726203219</v>
      </c>
      <c r="D273" s="38">
        <f t="shared" si="3"/>
        <v>49.99238476</v>
      </c>
      <c r="E273" s="38">
        <f>'演算'!U273</f>
        <v>94.77587084</v>
      </c>
      <c r="F273" s="38">
        <f t="shared" si="4"/>
        <v>-94.77587084</v>
      </c>
      <c r="G273" s="38">
        <f t="shared" si="5"/>
        <v>44.9193785</v>
      </c>
      <c r="H273" s="38">
        <f t="shared" si="6"/>
        <v>598.0827905</v>
      </c>
      <c r="I273" s="39">
        <f t="shared" si="7"/>
        <v>599.7672672</v>
      </c>
      <c r="J273" s="38">
        <f t="shared" si="8"/>
        <v>-85.70482902</v>
      </c>
      <c r="K273" s="38" t="str">
        <f t="shared" si="9"/>
        <v/>
      </c>
      <c r="L273" s="38">
        <f t="shared" si="10"/>
        <v>2</v>
      </c>
      <c r="M273" s="38">
        <f t="shared" si="11"/>
        <v>274.295171</v>
      </c>
      <c r="N273" s="39">
        <f t="shared" si="12"/>
        <v>224.295171</v>
      </c>
      <c r="O273" s="39">
        <f t="shared" si="13"/>
        <v>-429.2843782</v>
      </c>
      <c r="P273" s="39">
        <f t="shared" si="14"/>
        <v>418.8504476</v>
      </c>
      <c r="Q273" s="38">
        <f t="shared" si="15"/>
        <v>-10.47144386</v>
      </c>
      <c r="R273" s="38">
        <f t="shared" si="16"/>
        <v>-599.9086171</v>
      </c>
      <c r="S273" s="40">
        <v>269.0</v>
      </c>
      <c r="T273" s="37">
        <f t="shared" si="24"/>
        <v>5.775870844</v>
      </c>
      <c r="U273" s="37">
        <f t="shared" si="18"/>
        <v>94.77587084</v>
      </c>
      <c r="V273" s="37">
        <f t="shared" si="23"/>
        <v>1.097502178</v>
      </c>
      <c r="W273" s="37">
        <f>'入力・結果'!$I$7/V273</f>
        <v>293849.0751</v>
      </c>
      <c r="X273" s="39">
        <f>(W273/I273*10)*'入力・結果'!$I$8</f>
        <v>2939.630998</v>
      </c>
      <c r="Y273" s="38">
        <f>DEGREES(ACOS(('入力・結果'!$G$3-('入力・結果'!$G$4*COS(RADIANS(S273))))/((('入力・結果'!$G$3^2)+('入力・結果'!$G$4^2)-(2*'入力・結果'!$G$3*'入力・結果'!$G$4*COS(RADIANS(S273))))^(1/2))))</f>
        <v>58.30274268</v>
      </c>
      <c r="Z273" s="38">
        <f>DEGREES(ACOS((('入力・結果'!$G$3^2)+('入力・結果'!$G$4^2)-('入力・結果'!$G$5^2)+('入力・結果'!$G$6^2)-(2*'入力・結果'!$G$3*'入力・結果'!$G$4*COS(RADIANS(S273))))/(2*'入力・結果'!$G$6*(('入力・結果'!$G$3^2)+('入力・結果'!$G$4^2)-(2*'入力・結果'!$G$3*'入力・結果'!$G$4*(COS(RADIANS(S273)))))^(1/2))))</f>
        <v>49.84363246</v>
      </c>
      <c r="AA273" s="38">
        <f>DEGREES(ACOS(('入力・結果'!$G$4-('入力・結果'!$G$3*COS(RADIANS(S273))))/((('入力・結果'!$G$3^2)+('入力・結果'!$G$4^2)-(2*'入力・結果'!$G$3*'入力・結果'!$G$4*COS(RADIANS(S273))))^(1/2))))</f>
        <v>30.69725732</v>
      </c>
      <c r="AB273" s="38">
        <f>DEGREES(ACOS((('入力・結果'!$G$3^2)+('入力・結果'!$G$4^2)+('入力・結果'!$G$5^2)-('入力・結果'!$G$6^2)-(2*'入力・結果'!$G$3*'入力・結果'!$G$4*COS(RADIANS(S273))))/(2*'入力・結果'!$G$5*(('入力・結果'!$G$3^2)+('入力・結果'!$G$4^2)-(2*'入力・結果'!$G$3*'入力・結果'!$G$4*(COS(RADIANS(S273)))))^(1/2))))</f>
        <v>36.47312817</v>
      </c>
      <c r="AC273" s="37">
        <f t="shared" si="19"/>
        <v>-360.3690016</v>
      </c>
      <c r="AD273" s="37">
        <f t="shared" si="20"/>
        <v>0</v>
      </c>
      <c r="AE273" s="37" t="str">
        <f t="shared" si="21"/>
        <v/>
      </c>
      <c r="AF273" s="37" t="str">
        <f t="shared" si="22"/>
        <v/>
      </c>
      <c r="AG273" s="35"/>
      <c r="AH273" s="35"/>
      <c r="AI273" s="35"/>
      <c r="AJ273" s="35">
        <v>270.0</v>
      </c>
      <c r="AK273" s="35">
        <f t="shared" si="1"/>
        <v>0.909869714</v>
      </c>
    </row>
    <row r="274" ht="12.75" customHeight="1">
      <c r="A274" s="35"/>
      <c r="B274" s="37">
        <v>270.0</v>
      </c>
      <c r="C274" s="38">
        <f t="shared" si="2"/>
        <v>0</v>
      </c>
      <c r="D274" s="38">
        <f t="shared" si="3"/>
        <v>50</v>
      </c>
      <c r="E274" s="38">
        <f>'演算'!U274</f>
        <v>95.8749293</v>
      </c>
      <c r="F274" s="38">
        <f t="shared" si="4"/>
        <v>-95.8749293</v>
      </c>
      <c r="G274" s="38">
        <f t="shared" si="5"/>
        <v>56.29650318</v>
      </c>
      <c r="H274" s="38">
        <f t="shared" si="6"/>
        <v>597.1112352</v>
      </c>
      <c r="I274" s="39">
        <f t="shared" si="7"/>
        <v>599.7592213</v>
      </c>
      <c r="J274" s="38">
        <f t="shared" si="8"/>
        <v>-84.61399284</v>
      </c>
      <c r="K274" s="38" t="str">
        <f t="shared" si="9"/>
        <v/>
      </c>
      <c r="L274" s="38">
        <f t="shared" si="10"/>
        <v>2</v>
      </c>
      <c r="M274" s="38">
        <f t="shared" si="11"/>
        <v>275.3860072</v>
      </c>
      <c r="N274" s="39">
        <f t="shared" si="12"/>
        <v>225.3860072</v>
      </c>
      <c r="O274" s="39">
        <f t="shared" si="13"/>
        <v>-421.227049</v>
      </c>
      <c r="P274" s="39">
        <f t="shared" si="14"/>
        <v>426.941327</v>
      </c>
      <c r="Q274" s="38">
        <f t="shared" si="15"/>
        <v>0</v>
      </c>
      <c r="R274" s="38">
        <f t="shared" si="16"/>
        <v>-600</v>
      </c>
      <c r="S274" s="40">
        <v>270.0</v>
      </c>
      <c r="T274" s="37">
        <f t="shared" si="24"/>
        <v>5.874929297</v>
      </c>
      <c r="U274" s="37">
        <f t="shared" si="18"/>
        <v>95.8749293</v>
      </c>
      <c r="V274" s="37">
        <f t="shared" si="23"/>
        <v>1.099058453</v>
      </c>
      <c r="W274" s="37">
        <f>'入力・結果'!$I$7/V274</f>
        <v>293432.9828</v>
      </c>
      <c r="X274" s="39">
        <f>(W274/I274*10)*'入力・結果'!$I$8</f>
        <v>2935.50784</v>
      </c>
      <c r="Y274" s="38">
        <f>DEGREES(ACOS(('入力・結果'!$G$3-('入力・結果'!$G$4*COS(RADIANS(S274))))/((('入力・結果'!$G$3^2)+('入力・結果'!$G$4^2)-(2*'入力・結果'!$G$3*'入力・結果'!$G$4*COS(RADIANS(S274))))^(1/2))))</f>
        <v>59.03624347</v>
      </c>
      <c r="Z274" s="38">
        <f>DEGREES(ACOS((('入力・結果'!$G$3^2)+('入力・結果'!$G$4^2)-('入力・結果'!$G$5^2)+('入力・結果'!$G$6^2)-(2*'入力・結果'!$G$3*'入力・結果'!$G$4*COS(RADIANS(S274))))/(2*'入力・結果'!$G$6*(('入力・結果'!$G$3^2)+('入力・結果'!$G$4^2)-(2*'入力・結果'!$G$3*'入力・結果'!$G$4*(COS(RADIANS(S274)))))^(1/2))))</f>
        <v>50.43191153</v>
      </c>
      <c r="AA274" s="38">
        <f>DEGREES(ACOS(('入力・結果'!$G$4-('入力・結果'!$G$3*COS(RADIANS(S274))))/((('入力・結果'!$G$3^2)+('入力・結果'!$G$4^2)-(2*'入力・結果'!$G$3*'入力・結果'!$G$4*COS(RADIANS(S274))))^(1/2))))</f>
        <v>30.96375653</v>
      </c>
      <c r="AB274" s="38">
        <f>DEGREES(ACOS((('入力・結果'!$G$3^2)+('入力・結果'!$G$4^2)+('入力・結果'!$G$5^2)-('入力・結果'!$G$6^2)-(2*'入力・結果'!$G$3*'入力・結果'!$G$4*COS(RADIANS(S274))))/(2*'入力・結果'!$G$5*(('入力・結果'!$G$3^2)+('入力・結果'!$G$4^2)-(2*'入力・結果'!$G$3*'入力・結果'!$G$4*(COS(RADIANS(S274)))))^(1/2))))</f>
        <v>36.83868583</v>
      </c>
      <c r="AC274" s="37">
        <f t="shared" si="19"/>
        <v>-364.4921595</v>
      </c>
      <c r="AD274" s="37">
        <f t="shared" si="20"/>
        <v>0</v>
      </c>
      <c r="AE274" s="37" t="str">
        <f t="shared" si="21"/>
        <v/>
      </c>
      <c r="AF274" s="37" t="str">
        <f t="shared" si="22"/>
        <v/>
      </c>
      <c r="AG274" s="35"/>
      <c r="AH274" s="35"/>
      <c r="AI274" s="35"/>
      <c r="AJ274" s="35">
        <v>271.0</v>
      </c>
      <c r="AK274" s="35">
        <f t="shared" si="1"/>
        <v>0.908541259</v>
      </c>
    </row>
    <row r="275" ht="12.75" customHeight="1">
      <c r="A275" s="35"/>
      <c r="B275" s="37">
        <v>271.0</v>
      </c>
      <c r="C275" s="38">
        <f t="shared" si="2"/>
        <v>0.8726203219</v>
      </c>
      <c r="D275" s="38">
        <f t="shared" si="3"/>
        <v>49.99238476</v>
      </c>
      <c r="E275" s="38">
        <f>'演算'!U275</f>
        <v>96.97559478</v>
      </c>
      <c r="F275" s="38">
        <f t="shared" si="4"/>
        <v>-96.97559478</v>
      </c>
      <c r="G275" s="38">
        <f t="shared" si="5"/>
        <v>67.66822603</v>
      </c>
      <c r="H275" s="38">
        <f t="shared" si="6"/>
        <v>595.9212694</v>
      </c>
      <c r="I275" s="39">
        <f t="shared" si="7"/>
        <v>599.750905</v>
      </c>
      <c r="J275" s="38">
        <f t="shared" si="8"/>
        <v>-83.52168189</v>
      </c>
      <c r="K275" s="38" t="str">
        <f t="shared" si="9"/>
        <v/>
      </c>
      <c r="L275" s="38">
        <f t="shared" si="10"/>
        <v>2</v>
      </c>
      <c r="M275" s="38">
        <f t="shared" si="11"/>
        <v>276.4783181</v>
      </c>
      <c r="N275" s="39">
        <f t="shared" si="12"/>
        <v>226.4783181</v>
      </c>
      <c r="O275" s="39">
        <f t="shared" si="13"/>
        <v>-413.0058797</v>
      </c>
      <c r="P275" s="39">
        <f t="shared" si="14"/>
        <v>434.8876768</v>
      </c>
      <c r="Q275" s="38">
        <f t="shared" si="15"/>
        <v>10.47144386</v>
      </c>
      <c r="R275" s="38">
        <f t="shared" si="16"/>
        <v>-599.9086171</v>
      </c>
      <c r="S275" s="40">
        <v>271.0</v>
      </c>
      <c r="T275" s="37">
        <f t="shared" si="24"/>
        <v>5.975594776</v>
      </c>
      <c r="U275" s="37">
        <f t="shared" si="18"/>
        <v>96.97559478</v>
      </c>
      <c r="V275" s="37">
        <f t="shared" si="23"/>
        <v>1.100665479</v>
      </c>
      <c r="W275" s="37">
        <f>'入力・結果'!$I$7/V275</f>
        <v>293004.556</v>
      </c>
      <c r="X275" s="39">
        <f>(W275/I275*10)*'入力・結果'!$I$8</f>
        <v>2931.262498</v>
      </c>
      <c r="Y275" s="38">
        <f>DEGREES(ACOS(('入力・結果'!$G$3-('入力・結果'!$G$4*COS(RADIANS(S275))))/((('入力・結果'!$G$3^2)+('入力・結果'!$G$4^2)-(2*'入力・結果'!$G$3*'入力・結果'!$G$4*COS(RADIANS(S275))))^(1/2))))</f>
        <v>59.77336812</v>
      </c>
      <c r="Z275" s="38">
        <f>DEGREES(ACOS((('入力・結果'!$G$3^2)+('入力・結果'!$G$4^2)-('入力・結果'!$G$5^2)+('入力・結果'!$G$6^2)-(2*'入力・結果'!$G$3*'入力・結果'!$G$4*COS(RADIANS(S275))))/(2*'入力・結果'!$G$6*(('入力・結果'!$G$3^2)+('入力・結果'!$G$4^2)-(2*'入力・結果'!$G$3*'入力・結果'!$G$4*(COS(RADIANS(S275)))))^(1/2))))</f>
        <v>51.02145095</v>
      </c>
      <c r="AA275" s="38">
        <f>DEGREES(ACOS(('入力・結果'!$G$4-('入力・結果'!$G$3*COS(RADIANS(S275))))/((('入力・結果'!$G$3^2)+('入力・結果'!$G$4^2)-(2*'入力・結果'!$G$3*'入力・結果'!$G$4*COS(RADIANS(S275))))^(1/2))))</f>
        <v>31.22663188</v>
      </c>
      <c r="AB275" s="38">
        <f>DEGREES(ACOS((('入力・結果'!$G$3^2)+('入力・結果'!$G$4^2)+('入力・結果'!$G$5^2)-('入力・結果'!$G$6^2)-(2*'入力・結果'!$G$3*'入力・結果'!$G$4*COS(RADIANS(S275))))/(2*'入力・結果'!$G$5*(('入力・結果'!$G$3^2)+('入力・結果'!$G$4^2)-(2*'入力・結果'!$G$3*'入力・結果'!$G$4*(COS(RADIANS(S275)))))^(1/2))))</f>
        <v>37.20222666</v>
      </c>
      <c r="AC275" s="37">
        <f t="shared" si="19"/>
        <v>-368.737502</v>
      </c>
      <c r="AD275" s="37">
        <f t="shared" si="20"/>
        <v>0</v>
      </c>
      <c r="AE275" s="37" t="str">
        <f t="shared" si="21"/>
        <v/>
      </c>
      <c r="AF275" s="37" t="str">
        <f t="shared" si="22"/>
        <v/>
      </c>
      <c r="AG275" s="35"/>
      <c r="AH275" s="35"/>
      <c r="AI275" s="35"/>
      <c r="AJ275" s="35">
        <v>272.0</v>
      </c>
      <c r="AK275" s="35">
        <f t="shared" si="1"/>
        <v>0.9071732539</v>
      </c>
    </row>
    <row r="276" ht="12.75" customHeight="1">
      <c r="A276" s="35"/>
      <c r="B276" s="37">
        <v>272.0</v>
      </c>
      <c r="C276" s="38">
        <f t="shared" si="2"/>
        <v>1.744974835</v>
      </c>
      <c r="D276" s="38">
        <f t="shared" si="3"/>
        <v>49.96954135</v>
      </c>
      <c r="E276" s="38">
        <f>'演算'!U276</f>
        <v>98.07792004</v>
      </c>
      <c r="F276" s="38">
        <f t="shared" si="4"/>
        <v>-98.07792004</v>
      </c>
      <c r="G276" s="38">
        <f t="shared" si="5"/>
        <v>79.0308088</v>
      </c>
      <c r="H276" s="38">
        <f t="shared" si="6"/>
        <v>594.512377</v>
      </c>
      <c r="I276" s="39">
        <f t="shared" si="7"/>
        <v>599.7423073</v>
      </c>
      <c r="J276" s="38">
        <f t="shared" si="8"/>
        <v>-82.42784769</v>
      </c>
      <c r="K276" s="38" t="str">
        <f t="shared" si="9"/>
        <v/>
      </c>
      <c r="L276" s="38">
        <f t="shared" si="10"/>
        <v>2</v>
      </c>
      <c r="M276" s="38">
        <f t="shared" si="11"/>
        <v>277.5721523</v>
      </c>
      <c r="N276" s="39">
        <f t="shared" si="12"/>
        <v>227.5721523</v>
      </c>
      <c r="O276" s="39">
        <f t="shared" si="13"/>
        <v>-404.6228781</v>
      </c>
      <c r="P276" s="39">
        <f t="shared" si="14"/>
        <v>442.6863017</v>
      </c>
      <c r="Q276" s="38">
        <f t="shared" si="15"/>
        <v>20.93969802</v>
      </c>
      <c r="R276" s="38">
        <f t="shared" si="16"/>
        <v>-599.6344962</v>
      </c>
      <c r="S276" s="40">
        <v>272.0</v>
      </c>
      <c r="T276" s="37">
        <f t="shared" si="24"/>
        <v>6.077920044</v>
      </c>
      <c r="U276" s="37">
        <f t="shared" si="18"/>
        <v>98.07792004</v>
      </c>
      <c r="V276" s="37">
        <f t="shared" si="23"/>
        <v>1.102325268</v>
      </c>
      <c r="W276" s="37">
        <f>'入力・結果'!$I$7/V276</f>
        <v>292563.3744</v>
      </c>
      <c r="X276" s="39">
        <f>(W276/I276*10)*'入力・結果'!$I$8</f>
        <v>2926.890808</v>
      </c>
      <c r="Y276" s="38">
        <f>DEGREES(ACOS(('入力・結果'!$G$3-('入力・結果'!$G$4*COS(RADIANS(S276))))/((('入力・結果'!$G$3^2)+('入力・結果'!$G$4^2)-(2*'入力・結果'!$G$3*'入力・結果'!$G$4*COS(RADIANS(S276))))^(1/2))))</f>
        <v>60.5142303</v>
      </c>
      <c r="Z276" s="38">
        <f>DEGREES(ACOS((('入力・結果'!$G$3^2)+('入力・結果'!$G$4^2)-('入力・結果'!$G$5^2)+('入力・結果'!$G$6^2)-(2*'入力・結果'!$G$3*'入力・結果'!$G$4*COS(RADIANS(S276))))/(2*'入力・結果'!$G$6*(('入力・結果'!$G$3^2)+('入力・結果'!$G$4^2)-(2*'入力・結果'!$G$3*'入力・結果'!$G$4*(COS(RADIANS(S276)))))^(1/2))))</f>
        <v>51.61228651</v>
      </c>
      <c r="AA276" s="38">
        <f>DEGREES(ACOS(('入力・結果'!$G$4-('入力・結果'!$G$3*COS(RADIANS(S276))))/((('入力・結果'!$G$3^2)+('入力・結果'!$G$4^2)-(2*'入力・結果'!$G$3*'入力・結果'!$G$4*COS(RADIANS(S276))))^(1/2))))</f>
        <v>31.4857697</v>
      </c>
      <c r="AB276" s="38">
        <f>DEGREES(ACOS((('入力・結果'!$G$3^2)+('入力・結果'!$G$4^2)+('入力・結果'!$G$5^2)-('入力・結果'!$G$6^2)-(2*'入力・結果'!$G$3*'入力・結果'!$G$4*COS(RADIANS(S276))))/(2*'入力・結果'!$G$5*(('入力・結果'!$G$3^2)+('入力・結果'!$G$4^2)-(2*'入力・結果'!$G$3*'入力・結果'!$G$4*(COS(RADIANS(S276)))))^(1/2))))</f>
        <v>37.56368974</v>
      </c>
      <c r="AC276" s="37">
        <f t="shared" si="19"/>
        <v>-373.1091921</v>
      </c>
      <c r="AD276" s="37">
        <f t="shared" si="20"/>
        <v>0</v>
      </c>
      <c r="AE276" s="37" t="str">
        <f t="shared" si="21"/>
        <v/>
      </c>
      <c r="AF276" s="37" t="str">
        <f t="shared" si="22"/>
        <v/>
      </c>
      <c r="AG276" s="35"/>
      <c r="AH276" s="35"/>
      <c r="AI276" s="35"/>
      <c r="AJ276" s="35">
        <v>273.0</v>
      </c>
      <c r="AK276" s="35">
        <f t="shared" si="1"/>
        <v>0.9057643411</v>
      </c>
    </row>
    <row r="277" ht="12.75" customHeight="1">
      <c r="A277" s="35"/>
      <c r="B277" s="37">
        <v>273.0</v>
      </c>
      <c r="C277" s="38">
        <f t="shared" si="2"/>
        <v>2.616797812</v>
      </c>
      <c r="D277" s="38">
        <f t="shared" si="3"/>
        <v>49.93147674</v>
      </c>
      <c r="E277" s="38">
        <f>'演算'!U277</f>
        <v>99.18195997</v>
      </c>
      <c r="F277" s="38">
        <f t="shared" si="4"/>
        <v>-99.18195997</v>
      </c>
      <c r="G277" s="38">
        <f t="shared" si="5"/>
        <v>90.3805025</v>
      </c>
      <c r="H277" s="38">
        <f t="shared" si="6"/>
        <v>592.8840825</v>
      </c>
      <c r="I277" s="39">
        <f t="shared" si="7"/>
        <v>599.7334162</v>
      </c>
      <c r="J277" s="38">
        <f t="shared" si="8"/>
        <v>-81.33243986</v>
      </c>
      <c r="K277" s="38" t="str">
        <f t="shared" si="9"/>
        <v/>
      </c>
      <c r="L277" s="38">
        <f t="shared" si="10"/>
        <v>2</v>
      </c>
      <c r="M277" s="38">
        <f t="shared" si="11"/>
        <v>278.6675601</v>
      </c>
      <c r="N277" s="39">
        <f t="shared" si="12"/>
        <v>228.6675601</v>
      </c>
      <c r="O277" s="39">
        <f t="shared" si="13"/>
        <v>-396.0800897</v>
      </c>
      <c r="P277" s="39">
        <f t="shared" si="14"/>
        <v>450.3340239</v>
      </c>
      <c r="Q277" s="38">
        <f t="shared" si="15"/>
        <v>31.40157375</v>
      </c>
      <c r="R277" s="38">
        <f t="shared" si="16"/>
        <v>-599.1777209</v>
      </c>
      <c r="S277" s="40">
        <v>273.0</v>
      </c>
      <c r="T277" s="37">
        <f t="shared" si="24"/>
        <v>6.181959974</v>
      </c>
      <c r="U277" s="37">
        <f t="shared" si="18"/>
        <v>99.18195997</v>
      </c>
      <c r="V277" s="37">
        <f t="shared" si="23"/>
        <v>1.10403993</v>
      </c>
      <c r="W277" s="37">
        <f>'入力・結果'!$I$7/V277</f>
        <v>292109</v>
      </c>
      <c r="X277" s="39">
        <f>(W277/I277*10)*'入力・結果'!$I$8</f>
        <v>2922.388435</v>
      </c>
      <c r="Y277" s="38">
        <f>DEGREES(ACOS(('入力・結果'!$G$3-('入力・結果'!$G$4*COS(RADIANS(S277))))/((('入力・結果'!$G$3^2)+('入力・結果'!$G$4^2)-(2*'入力・結果'!$G$3*'入力・結果'!$G$4*COS(RADIANS(S277))))^(1/2))))</f>
        <v>61.25894794</v>
      </c>
      <c r="Z277" s="38">
        <f>DEGREES(ACOS((('入力・結果'!$G$3^2)+('入力・結果'!$G$4^2)-('入力・結果'!$G$5^2)+('入力・結果'!$G$6^2)-(2*'入力・結果'!$G$3*'入力・結果'!$G$4*COS(RADIANS(S277))))/(2*'入力・結果'!$G$6*(('入力・結果'!$G$3^2)+('入力・結果'!$G$4^2)-(2*'入力・結果'!$G$3*'入力・結果'!$G$4*(COS(RADIANS(S277)))))^(1/2))))</f>
        <v>52.20445515</v>
      </c>
      <c r="AA277" s="38">
        <f>DEGREES(ACOS(('入力・結果'!$G$4-('入力・結果'!$G$3*COS(RADIANS(S277))))/((('入力・結果'!$G$3^2)+('入力・結果'!$G$4^2)-(2*'入力・結果'!$G$3*'入力・結果'!$G$4*COS(RADIANS(S277))))^(1/2))))</f>
        <v>31.74105206</v>
      </c>
      <c r="AB277" s="38">
        <f>DEGREES(ACOS((('入力・結果'!$G$3^2)+('入力・結果'!$G$4^2)+('入力・結果'!$G$5^2)-('入力・結果'!$G$6^2)-(2*'入力・結果'!$G$3*'入力・結果'!$G$4*COS(RADIANS(S277))))/(2*'入力・結果'!$G$5*(('入力・結果'!$G$3^2)+('入力・結果'!$G$4^2)-(2*'入力・結果'!$G$3*'入力・結果'!$G$4*(COS(RADIANS(S277)))))^(1/2))))</f>
        <v>37.92301204</v>
      </c>
      <c r="AC277" s="37">
        <f t="shared" si="19"/>
        <v>-377.6115645</v>
      </c>
      <c r="AD277" s="37">
        <f t="shared" si="20"/>
        <v>0</v>
      </c>
      <c r="AE277" s="37" t="str">
        <f t="shared" si="21"/>
        <v/>
      </c>
      <c r="AF277" s="37" t="str">
        <f t="shared" si="22"/>
        <v/>
      </c>
      <c r="AG277" s="35"/>
      <c r="AH277" s="35"/>
      <c r="AI277" s="35"/>
      <c r="AJ277" s="35">
        <v>274.0</v>
      </c>
      <c r="AK277" s="35">
        <f t="shared" si="1"/>
        <v>0.9043131065</v>
      </c>
    </row>
    <row r="278" ht="12.75" customHeight="1">
      <c r="A278" s="35"/>
      <c r="B278" s="37">
        <v>274.0</v>
      </c>
      <c r="C278" s="38">
        <f t="shared" si="2"/>
        <v>3.487823687</v>
      </c>
      <c r="D278" s="38">
        <f t="shared" si="3"/>
        <v>49.87820251</v>
      </c>
      <c r="E278" s="38">
        <f>'演算'!U278</f>
        <v>100.2877717</v>
      </c>
      <c r="F278" s="38">
        <f t="shared" si="4"/>
        <v>-100.2877717</v>
      </c>
      <c r="G278" s="38">
        <f t="shared" si="5"/>
        <v>101.7135477</v>
      </c>
      <c r="H278" s="38">
        <f t="shared" si="6"/>
        <v>591.0359495</v>
      </c>
      <c r="I278" s="39">
        <f t="shared" si="7"/>
        <v>599.7242195</v>
      </c>
      <c r="J278" s="38">
        <f t="shared" si="8"/>
        <v>-80.23540593</v>
      </c>
      <c r="K278" s="38" t="str">
        <f t="shared" si="9"/>
        <v/>
      </c>
      <c r="L278" s="38">
        <f t="shared" si="10"/>
        <v>2</v>
      </c>
      <c r="M278" s="38">
        <f t="shared" si="11"/>
        <v>279.7645941</v>
      </c>
      <c r="N278" s="39">
        <f t="shared" si="12"/>
        <v>229.7645941</v>
      </c>
      <c r="O278" s="39">
        <f t="shared" si="13"/>
        <v>-387.3795966</v>
      </c>
      <c r="P278" s="39">
        <f t="shared" si="14"/>
        <v>457.8276833</v>
      </c>
      <c r="Q278" s="38">
        <f t="shared" si="15"/>
        <v>41.85388425</v>
      </c>
      <c r="R278" s="38">
        <f t="shared" si="16"/>
        <v>-598.5384302</v>
      </c>
      <c r="S278" s="40">
        <v>274.0</v>
      </c>
      <c r="T278" s="37">
        <f t="shared" si="24"/>
        <v>6.287771659</v>
      </c>
      <c r="U278" s="37">
        <f t="shared" si="18"/>
        <v>100.2877717</v>
      </c>
      <c r="V278" s="37">
        <f t="shared" si="23"/>
        <v>1.105811685</v>
      </c>
      <c r="W278" s="37">
        <f>'入力・結果'!$I$7/V278</f>
        <v>291640.9768</v>
      </c>
      <c r="X278" s="39">
        <f>(W278/I278*10)*'入力・結果'!$I$8</f>
        <v>2917.750867</v>
      </c>
      <c r="Y278" s="38">
        <f>DEGREES(ACOS(('入力・結果'!$G$3-('入力・結果'!$G$4*COS(RADIANS(S278))))/((('入力・結果'!$G$3^2)+('入力・結果'!$G$4^2)-(2*'入力・結果'!$G$3*'入力・結果'!$G$4*COS(RADIANS(S278))))^(1/2))))</f>
        <v>62.00764338</v>
      </c>
      <c r="Z278" s="38">
        <f>DEGREES(ACOS((('入力・結果'!$G$3^2)+('入力・結果'!$G$4^2)-('入力・結果'!$G$5^2)+('入力・結果'!$G$6^2)-(2*'入力・結果'!$G$3*'入力・結果'!$G$4*COS(RADIANS(S278))))/(2*'入力・結果'!$G$6*(('入力・結果'!$G$3^2)+('入力・結果'!$G$4^2)-(2*'入力・結果'!$G$3*'入力・結果'!$G$4*(COS(RADIANS(S278)))))^(1/2))))</f>
        <v>52.79799493</v>
      </c>
      <c r="AA278" s="38">
        <f>DEGREES(ACOS(('入力・結果'!$G$4-('入力・結果'!$G$3*COS(RADIANS(S278))))/((('入力・結果'!$G$3^2)+('入力・結果'!$G$4^2)-(2*'入力・結果'!$G$3*'入力・結果'!$G$4*COS(RADIANS(S278))))^(1/2))))</f>
        <v>31.99235662</v>
      </c>
      <c r="AB278" s="38">
        <f>DEGREES(ACOS((('入力・結果'!$G$3^2)+('入力・結果'!$G$4^2)+('入力・結果'!$G$5^2)-('入力・結果'!$G$6^2)-(2*'入力・結果'!$G$3*'入力・結果'!$G$4*COS(RADIANS(S278))))/(2*'入力・結果'!$G$5*(('入力・結果'!$G$3^2)+('入力・結果'!$G$4^2)-(2*'入力・結果'!$G$3*'入力・結果'!$G$4*(COS(RADIANS(S278)))))^(1/2))))</f>
        <v>38.28012828</v>
      </c>
      <c r="AC278" s="37">
        <f t="shared" si="19"/>
        <v>-382.2491334</v>
      </c>
      <c r="AD278" s="37">
        <f t="shared" si="20"/>
        <v>0</v>
      </c>
      <c r="AE278" s="37" t="str">
        <f t="shared" si="21"/>
        <v/>
      </c>
      <c r="AF278" s="37" t="str">
        <f t="shared" si="22"/>
        <v/>
      </c>
      <c r="AG278" s="35"/>
      <c r="AH278" s="35"/>
      <c r="AI278" s="35"/>
      <c r="AJ278" s="35">
        <v>275.0</v>
      </c>
      <c r="AK278" s="35">
        <f t="shared" si="1"/>
        <v>0.9028180775</v>
      </c>
    </row>
    <row r="279" ht="12.75" customHeight="1">
      <c r="A279" s="35"/>
      <c r="B279" s="37">
        <v>275.0</v>
      </c>
      <c r="C279" s="38">
        <f t="shared" si="2"/>
        <v>4.357787137</v>
      </c>
      <c r="D279" s="38">
        <f t="shared" si="3"/>
        <v>49.8097349</v>
      </c>
      <c r="E279" s="38">
        <f>'演算'!U279</f>
        <v>101.3954145</v>
      </c>
      <c r="F279" s="38">
        <f t="shared" si="4"/>
        <v>-101.3954145</v>
      </c>
      <c r="G279" s="38">
        <f t="shared" si="5"/>
        <v>113.026175</v>
      </c>
      <c r="H279" s="38">
        <f t="shared" si="6"/>
        <v>588.9675796</v>
      </c>
      <c r="I279" s="39">
        <f t="shared" si="7"/>
        <v>599.7147039</v>
      </c>
      <c r="J279" s="38">
        <f t="shared" si="8"/>
        <v>-79.13669134</v>
      </c>
      <c r="K279" s="38" t="str">
        <f t="shared" si="9"/>
        <v/>
      </c>
      <c r="L279" s="38">
        <f t="shared" si="10"/>
        <v>2</v>
      </c>
      <c r="M279" s="38">
        <f t="shared" si="11"/>
        <v>280.8633087</v>
      </c>
      <c r="N279" s="39">
        <f t="shared" si="12"/>
        <v>230.8633087</v>
      </c>
      <c r="O279" s="39">
        <f t="shared" si="13"/>
        <v>-378.5235167</v>
      </c>
      <c r="P279" s="39">
        <f t="shared" si="14"/>
        <v>465.1641359</v>
      </c>
      <c r="Q279" s="38">
        <f t="shared" si="15"/>
        <v>52.29344565</v>
      </c>
      <c r="R279" s="38">
        <f t="shared" si="16"/>
        <v>-597.7168189</v>
      </c>
      <c r="S279" s="40">
        <v>275.0</v>
      </c>
      <c r="T279" s="37">
        <f t="shared" si="24"/>
        <v>6.395414522</v>
      </c>
      <c r="U279" s="37">
        <f t="shared" si="18"/>
        <v>101.3954145</v>
      </c>
      <c r="V279" s="37">
        <f t="shared" si="23"/>
        <v>1.107642863</v>
      </c>
      <c r="W279" s="37">
        <f>'入力・結果'!$I$7/V279</f>
        <v>291158.83</v>
      </c>
      <c r="X279" s="39">
        <f>(W279/I279*10)*'入力・結果'!$I$8</f>
        <v>2912.9734</v>
      </c>
      <c r="Y279" s="38">
        <f>DEGREES(ACOS(('入力・結果'!$G$3-('入力・結果'!$G$4*COS(RADIANS(S279))))/((('入力・結果'!$G$3^2)+('入力・結果'!$G$4^2)-(2*'入力・結果'!$G$3*'入力・結果'!$G$4*COS(RADIANS(S279))))^(1/2))))</f>
        <v>62.76044362</v>
      </c>
      <c r="Z279" s="38">
        <f>DEGREES(ACOS((('入力・結果'!$G$3^2)+('入力・結果'!$G$4^2)-('入力・結果'!$G$5^2)+('入力・結果'!$G$6^2)-(2*'入力・結果'!$G$3*'入力・結果'!$G$4*COS(RADIANS(S279))))/(2*'入力・結果'!$G$6*(('入力・結果'!$G$3^2)+('入力・結果'!$G$4^2)-(2*'入力・結果'!$G$3*'入力・結果'!$G$4*(COS(RADIANS(S279)))))^(1/2))))</f>
        <v>53.39294509</v>
      </c>
      <c r="AA279" s="38">
        <f>DEGREES(ACOS(('入力・結果'!$G$4-('入力・結果'!$G$3*COS(RADIANS(S279))))/((('入力・結果'!$G$3^2)+('入力・結果'!$G$4^2)-(2*'入力・結果'!$G$3*'入力・結果'!$G$4*COS(RADIANS(S279))))^(1/2))))</f>
        <v>32.23955638</v>
      </c>
      <c r="AB279" s="38">
        <f>DEGREES(ACOS((('入力・結果'!$G$3^2)+('入力・結果'!$G$4^2)+('入力・結果'!$G$5^2)-('入力・結果'!$G$6^2)-(2*'入力・結果'!$G$3*'入力・結果'!$G$4*COS(RADIANS(S279))))/(2*'入力・結果'!$G$5*(('入力・結果'!$G$3^2)+('入力・結果'!$G$4^2)-(2*'入力・結果'!$G$3*'入力・結果'!$G$4*(COS(RADIANS(S279)))))^(1/2))))</f>
        <v>38.6349709</v>
      </c>
      <c r="AC279" s="37">
        <f t="shared" si="19"/>
        <v>-387.0266</v>
      </c>
      <c r="AD279" s="37">
        <f t="shared" si="20"/>
        <v>0</v>
      </c>
      <c r="AE279" s="37" t="str">
        <f t="shared" si="21"/>
        <v/>
      </c>
      <c r="AF279" s="37" t="str">
        <f t="shared" si="22"/>
        <v/>
      </c>
      <c r="AG279" s="35"/>
      <c r="AH279" s="35"/>
      <c r="AI279" s="35"/>
      <c r="AJ279" s="35">
        <v>276.0</v>
      </c>
      <c r="AK279" s="35">
        <f t="shared" si="1"/>
        <v>0.9012777203</v>
      </c>
    </row>
    <row r="280" ht="12.75" customHeight="1">
      <c r="A280" s="35"/>
      <c r="B280" s="37">
        <v>276.0</v>
      </c>
      <c r="C280" s="38">
        <f t="shared" si="2"/>
        <v>5.226423163</v>
      </c>
      <c r="D280" s="38">
        <f t="shared" si="3"/>
        <v>49.72609477</v>
      </c>
      <c r="E280" s="38">
        <f>'演算'!U280</f>
        <v>102.5049504</v>
      </c>
      <c r="F280" s="38">
        <f t="shared" si="4"/>
        <v>-102.5049504</v>
      </c>
      <c r="G280" s="38">
        <f t="shared" si="5"/>
        <v>124.3146047</v>
      </c>
      <c r="H280" s="38">
        <f t="shared" si="6"/>
        <v>586.6786113</v>
      </c>
      <c r="I280" s="39">
        <f t="shared" si="7"/>
        <v>599.7048557</v>
      </c>
      <c r="J280" s="38">
        <f t="shared" si="8"/>
        <v>-78.03623924</v>
      </c>
      <c r="K280" s="38" t="str">
        <f t="shared" si="9"/>
        <v/>
      </c>
      <c r="L280" s="38">
        <f t="shared" si="10"/>
        <v>2</v>
      </c>
      <c r="M280" s="38">
        <f t="shared" si="11"/>
        <v>281.9637608</v>
      </c>
      <c r="N280" s="39">
        <f t="shared" si="12"/>
        <v>231.9637608</v>
      </c>
      <c r="O280" s="39">
        <f t="shared" si="13"/>
        <v>-369.5140025</v>
      </c>
      <c r="P280" s="39">
        <f t="shared" si="14"/>
        <v>472.3402544</v>
      </c>
      <c r="Q280" s="38">
        <f t="shared" si="15"/>
        <v>62.71707796</v>
      </c>
      <c r="R280" s="38">
        <f t="shared" si="16"/>
        <v>-596.7131372</v>
      </c>
      <c r="S280" s="40">
        <v>276.0</v>
      </c>
      <c r="T280" s="37">
        <f t="shared" si="24"/>
        <v>6.504950437</v>
      </c>
      <c r="U280" s="37">
        <f t="shared" si="18"/>
        <v>102.5049504</v>
      </c>
      <c r="V280" s="37">
        <f t="shared" si="23"/>
        <v>1.109535915</v>
      </c>
      <c r="W280" s="37">
        <f>'入力・結果'!$I$7/V280</f>
        <v>290662.0648</v>
      </c>
      <c r="X280" s="39">
        <f>(W280/I280*10)*'入力・結果'!$I$8</f>
        <v>2908.051139</v>
      </c>
      <c r="Y280" s="38">
        <f>DEGREES(ACOS(('入力・結果'!$G$3-('入力・結果'!$G$4*COS(RADIANS(S280))))/((('入力・結果'!$G$3^2)+('入力・結果'!$G$4^2)-(2*'入力・結果'!$G$3*'入力・結果'!$G$4*COS(RADIANS(S280))))^(1/2))))</f>
        <v>63.51748051</v>
      </c>
      <c r="Z280" s="38">
        <f>DEGREES(ACOS((('入力・結果'!$G$3^2)+('入力・結果'!$G$4^2)-('入力・結果'!$G$5^2)+('入力・結果'!$G$6^2)-(2*'入力・結果'!$G$3*'入力・結果'!$G$4*COS(RADIANS(S280))))/(2*'入力・結果'!$G$6*(('入力・結果'!$G$3^2)+('入力・結果'!$G$4^2)-(2*'入力・結果'!$G$3*'入力・結果'!$G$4*(COS(RADIANS(S280)))))^(1/2))))</f>
        <v>53.9893461</v>
      </c>
      <c r="AA280" s="38">
        <f>DEGREES(ACOS(('入力・結果'!$G$4-('入力・結果'!$G$3*COS(RADIANS(S280))))/((('入力・結果'!$G$3^2)+('入力・結果'!$G$4^2)-(2*'入力・結果'!$G$3*'入力・結果'!$G$4*COS(RADIANS(S280))))^(1/2))))</f>
        <v>32.48251949</v>
      </c>
      <c r="AB280" s="38">
        <f>DEGREES(ACOS((('入力・結果'!$G$3^2)+('入力・結果'!$G$4^2)+('入力・結果'!$G$5^2)-('入力・結果'!$G$6^2)-(2*'入力・結果'!$G$3*'入力・結果'!$G$4*COS(RADIANS(S280))))/(2*'入力・結果'!$G$5*(('入力・結果'!$G$3^2)+('入力・結果'!$G$4^2)-(2*'入力・結果'!$G$3*'入力・結果'!$G$4*(COS(RADIANS(S280)))))^(1/2))))</f>
        <v>38.98746992</v>
      </c>
      <c r="AC280" s="37">
        <f t="shared" si="19"/>
        <v>-391.9488607</v>
      </c>
      <c r="AD280" s="37">
        <f t="shared" si="20"/>
        <v>0</v>
      </c>
      <c r="AE280" s="37" t="str">
        <f t="shared" si="21"/>
        <v/>
      </c>
      <c r="AF280" s="37" t="str">
        <f t="shared" si="22"/>
        <v/>
      </c>
      <c r="AG280" s="35"/>
      <c r="AH280" s="35"/>
      <c r="AI280" s="35"/>
      <c r="AJ280" s="35">
        <v>277.0</v>
      </c>
      <c r="AK280" s="35">
        <f t="shared" si="1"/>
        <v>0.8996904371</v>
      </c>
    </row>
    <row r="281" ht="12.75" customHeight="1">
      <c r="A281" s="35"/>
      <c r="B281" s="37">
        <v>277.0</v>
      </c>
      <c r="C281" s="38">
        <f t="shared" si="2"/>
        <v>6.09346717</v>
      </c>
      <c r="D281" s="38">
        <f t="shared" si="3"/>
        <v>49.62730758</v>
      </c>
      <c r="E281" s="38">
        <f>'演算'!U281</f>
        <v>103.6164439</v>
      </c>
      <c r="F281" s="38">
        <f t="shared" si="4"/>
        <v>-103.6164439</v>
      </c>
      <c r="G281" s="38">
        <f t="shared" si="5"/>
        <v>135.5750478</v>
      </c>
      <c r="H281" s="38">
        <f t="shared" si="6"/>
        <v>584.1687188</v>
      </c>
      <c r="I281" s="39">
        <f t="shared" si="7"/>
        <v>599.6946603</v>
      </c>
      <c r="J281" s="38">
        <f t="shared" si="8"/>
        <v>-76.93399041</v>
      </c>
      <c r="K281" s="38" t="str">
        <f t="shared" si="9"/>
        <v/>
      </c>
      <c r="L281" s="38">
        <f t="shared" si="10"/>
        <v>2</v>
      </c>
      <c r="M281" s="38">
        <f t="shared" si="11"/>
        <v>283.0660096</v>
      </c>
      <c r="N281" s="39">
        <f t="shared" si="12"/>
        <v>233.0660096</v>
      </c>
      <c r="O281" s="39">
        <f t="shared" si="13"/>
        <v>-360.35324</v>
      </c>
      <c r="P281" s="39">
        <f t="shared" si="14"/>
        <v>479.3529264</v>
      </c>
      <c r="Q281" s="38">
        <f t="shared" si="15"/>
        <v>73.12160604</v>
      </c>
      <c r="R281" s="38">
        <f t="shared" si="16"/>
        <v>-595.527691</v>
      </c>
      <c r="S281" s="40">
        <v>277.0</v>
      </c>
      <c r="T281" s="37">
        <f t="shared" si="24"/>
        <v>6.616443856</v>
      </c>
      <c r="U281" s="37">
        <f t="shared" si="18"/>
        <v>103.6164439</v>
      </c>
      <c r="V281" s="37">
        <f t="shared" si="23"/>
        <v>1.111493419</v>
      </c>
      <c r="W281" s="37">
        <f>'入力・結果'!$I$7/V281</f>
        <v>290150.166</v>
      </c>
      <c r="X281" s="39">
        <f>(W281/I281*10)*'入力・結果'!$I$8</f>
        <v>2902.978984</v>
      </c>
      <c r="Y281" s="38">
        <f>DEGREES(ACOS(('入力・結果'!$G$3-('入力・結果'!$G$4*COS(RADIANS(S281))))/((('入力・結果'!$G$3^2)+('入力・結果'!$G$4^2)-(2*'入力・結果'!$G$3*'入力・結果'!$G$4*COS(RADIANS(S281))))^(1/2))))</f>
        <v>64.278891</v>
      </c>
      <c r="Z281" s="38">
        <f>DEGREES(ACOS((('入力・結果'!$G$3^2)+('入力・結果'!$G$4^2)-('入力・結果'!$G$5^2)+('入力・結果'!$G$6^2)-(2*'入力・結果'!$G$3*'入力・結果'!$G$4*COS(RADIANS(S281))))/(2*'入力・結果'!$G$6*(('入力・結果'!$G$3^2)+('入力・結果'!$G$4^2)-(2*'入力・結果'!$G$3*'入力・結果'!$G$4*(COS(RADIANS(S281)))))^(1/2))))</f>
        <v>54.58723969</v>
      </c>
      <c r="AA281" s="38">
        <f>DEGREES(ACOS(('入力・結果'!$G$4-('入力・結果'!$G$3*COS(RADIANS(S281))))/((('入力・結果'!$G$3^2)+('入力・結果'!$G$4^2)-(2*'入力・結果'!$G$3*'入力・結果'!$G$4*COS(RADIANS(S281))))^(1/2))))</f>
        <v>32.721109</v>
      </c>
      <c r="AB281" s="38">
        <f>DEGREES(ACOS((('入力・結果'!$G$3^2)+('入力・結果'!$G$4^2)+('入力・結果'!$G$5^2)-('入力・結果'!$G$6^2)-(2*'入力・結果'!$G$3*'入力・結果'!$G$4*COS(RADIANS(S281))))/(2*'入力・結果'!$G$5*(('入力・結果'!$G$3^2)+('入力・結果'!$G$4^2)-(2*'入力・結果'!$G$3*'入力・結果'!$G$4*(COS(RADIANS(S281)))))^(1/2))))</f>
        <v>39.33755285</v>
      </c>
      <c r="AC281" s="37">
        <f t="shared" si="19"/>
        <v>-397.0210157</v>
      </c>
      <c r="AD281" s="37">
        <f t="shared" si="20"/>
        <v>0</v>
      </c>
      <c r="AE281" s="37" t="str">
        <f t="shared" si="21"/>
        <v/>
      </c>
      <c r="AF281" s="37" t="str">
        <f t="shared" si="22"/>
        <v/>
      </c>
      <c r="AG281" s="35"/>
      <c r="AH281" s="35"/>
      <c r="AI281" s="35"/>
      <c r="AJ281" s="35">
        <v>278.0</v>
      </c>
      <c r="AK281" s="35">
        <f t="shared" si="1"/>
        <v>0.8980545637</v>
      </c>
    </row>
    <row r="282" ht="12.75" customHeight="1">
      <c r="A282" s="35"/>
      <c r="B282" s="37">
        <v>278.0</v>
      </c>
      <c r="C282" s="38">
        <f t="shared" si="2"/>
        <v>6.958655048</v>
      </c>
      <c r="D282" s="38">
        <f t="shared" si="3"/>
        <v>49.51340344</v>
      </c>
      <c r="E282" s="38">
        <f>'演算'!U282</f>
        <v>104.7299619</v>
      </c>
      <c r="F282" s="38">
        <f t="shared" si="4"/>
        <v>-104.7299619</v>
      </c>
      <c r="G282" s="38">
        <f t="shared" si="5"/>
        <v>146.8037052</v>
      </c>
      <c r="H282" s="38">
        <f t="shared" si="6"/>
        <v>581.4376104</v>
      </c>
      <c r="I282" s="39">
        <f t="shared" si="7"/>
        <v>599.6841024</v>
      </c>
      <c r="J282" s="38">
        <f t="shared" si="8"/>
        <v>-75.82988315</v>
      </c>
      <c r="K282" s="38" t="str">
        <f t="shared" si="9"/>
        <v/>
      </c>
      <c r="L282" s="38">
        <f t="shared" si="10"/>
        <v>2</v>
      </c>
      <c r="M282" s="38">
        <f t="shared" si="11"/>
        <v>284.1701168</v>
      </c>
      <c r="N282" s="39">
        <f t="shared" si="12"/>
        <v>234.1701168</v>
      </c>
      <c r="O282" s="39">
        <f t="shared" si="13"/>
        <v>-351.0434477</v>
      </c>
      <c r="P282" s="39">
        <f t="shared" si="14"/>
        <v>486.1990544</v>
      </c>
      <c r="Q282" s="38">
        <f t="shared" si="15"/>
        <v>83.50386058</v>
      </c>
      <c r="R282" s="38">
        <f t="shared" si="16"/>
        <v>-594.1608412</v>
      </c>
      <c r="S282" s="40">
        <v>278.0</v>
      </c>
      <c r="T282" s="37">
        <f t="shared" si="24"/>
        <v>6.729961943</v>
      </c>
      <c r="U282" s="37">
        <f t="shared" si="18"/>
        <v>104.7299619</v>
      </c>
      <c r="V282" s="37">
        <f t="shared" si="23"/>
        <v>1.113518087</v>
      </c>
      <c r="W282" s="37">
        <f>'入力・結果'!$I$7/V282</f>
        <v>289622.5968</v>
      </c>
      <c r="X282" s="39">
        <f>(W282/I282*10)*'入力・結果'!$I$8</f>
        <v>2897.751623</v>
      </c>
      <c r="Y282" s="38">
        <f>DEGREES(ACOS(('入力・結果'!$G$3-('入力・結果'!$G$4*COS(RADIANS(S282))))/((('入力・結果'!$G$3^2)+('入力・結果'!$G$4^2)-(2*'入力・結果'!$G$3*'入力・結果'!$G$4*COS(RADIANS(S282))))^(1/2))))</f>
        <v>65.04481735</v>
      </c>
      <c r="Z282" s="38">
        <f>DEGREES(ACOS((('入力・結果'!$G$3^2)+('入力・結果'!$G$4^2)-('入力・結果'!$G$5^2)+('入力・結果'!$G$6^2)-(2*'入力・結果'!$G$3*'入力・結果'!$G$4*COS(RADIANS(S282))))/(2*'入力・結果'!$G$6*(('入力・結果'!$G$3^2)+('入力・結果'!$G$4^2)-(2*'入力・結果'!$G$3*'入力・結果'!$G$4*(COS(RADIANS(S282)))))^(1/2))))</f>
        <v>55.18666887</v>
      </c>
      <c r="AA282" s="38">
        <f>DEGREES(ACOS(('入力・結果'!$G$4-('入力・結果'!$G$3*COS(RADIANS(S282))))/((('入力・結果'!$G$3^2)+('入力・結果'!$G$4^2)-(2*'入力・結果'!$G$3*'入力・結果'!$G$4*COS(RADIANS(S282))))^(1/2))))</f>
        <v>32.95518265</v>
      </c>
      <c r="AB282" s="38">
        <f>DEGREES(ACOS((('入力・結果'!$G$3^2)+('入力・結果'!$G$4^2)+('入力・結果'!$G$5^2)-('入力・結果'!$G$6^2)-(2*'入力・結果'!$G$3*'入力・結果'!$G$4*COS(RADIANS(S282))))/(2*'入力・結果'!$G$5*(('入力・結果'!$G$3^2)+('入力・結果'!$G$4^2)-(2*'入力・結果'!$G$3*'入力・結果'!$G$4*(COS(RADIANS(S282)))))^(1/2))))</f>
        <v>39.68514459</v>
      </c>
      <c r="AC282" s="37">
        <f t="shared" si="19"/>
        <v>-402.2483774</v>
      </c>
      <c r="AD282" s="37">
        <f t="shared" si="20"/>
        <v>0</v>
      </c>
      <c r="AE282" s="37" t="str">
        <f t="shared" si="21"/>
        <v/>
      </c>
      <c r="AF282" s="37" t="str">
        <f t="shared" si="22"/>
        <v/>
      </c>
      <c r="AG282" s="35"/>
      <c r="AH282" s="35"/>
      <c r="AI282" s="35"/>
      <c r="AJ282" s="35">
        <v>279.0</v>
      </c>
      <c r="AK282" s="35">
        <f t="shared" si="1"/>
        <v>0.8963683662</v>
      </c>
    </row>
    <row r="283" ht="12.75" customHeight="1">
      <c r="A283" s="35"/>
      <c r="B283" s="37">
        <v>279.0</v>
      </c>
      <c r="C283" s="38">
        <f t="shared" si="2"/>
        <v>7.821723252</v>
      </c>
      <c r="D283" s="38">
        <f t="shared" si="3"/>
        <v>49.38441703</v>
      </c>
      <c r="E283" s="38">
        <f>'演算'!U283</f>
        <v>105.8455747</v>
      </c>
      <c r="F283" s="38">
        <f t="shared" si="4"/>
        <v>-105.8455747</v>
      </c>
      <c r="G283" s="38">
        <f t="shared" si="5"/>
        <v>157.9967685</v>
      </c>
      <c r="H283" s="38">
        <f t="shared" si="6"/>
        <v>578.4850273</v>
      </c>
      <c r="I283" s="39">
        <f t="shared" si="7"/>
        <v>599.6731657</v>
      </c>
      <c r="J283" s="38">
        <f t="shared" si="8"/>
        <v>-74.72385313</v>
      </c>
      <c r="K283" s="38" t="str">
        <f t="shared" si="9"/>
        <v/>
      </c>
      <c r="L283" s="38">
        <f t="shared" si="10"/>
        <v>2</v>
      </c>
      <c r="M283" s="38">
        <f t="shared" si="11"/>
        <v>285.2761469</v>
      </c>
      <c r="N283" s="39">
        <f t="shared" si="12"/>
        <v>235.2761469</v>
      </c>
      <c r="O283" s="39">
        <f t="shared" si="13"/>
        <v>-341.5868754</v>
      </c>
      <c r="P283" s="39">
        <f t="shared" si="14"/>
        <v>492.8755545</v>
      </c>
      <c r="Q283" s="38">
        <f t="shared" si="15"/>
        <v>93.86067902</v>
      </c>
      <c r="R283" s="38">
        <f t="shared" si="16"/>
        <v>-592.6130044</v>
      </c>
      <c r="S283" s="40">
        <v>279.0</v>
      </c>
      <c r="T283" s="37">
        <f t="shared" si="24"/>
        <v>6.845574717</v>
      </c>
      <c r="U283" s="37">
        <f t="shared" si="18"/>
        <v>105.8455747</v>
      </c>
      <c r="V283" s="37">
        <f t="shared" si="23"/>
        <v>1.115612775</v>
      </c>
      <c r="W283" s="37">
        <f>'入力・結果'!$I$7/V283</f>
        <v>289078.7981</v>
      </c>
      <c r="X283" s="39">
        <f>(W283/I283*10)*'入力・結果'!$I$8</f>
        <v>2892.36352</v>
      </c>
      <c r="Y283" s="38">
        <f>DEGREES(ACOS(('入力・結果'!$G$3-('入力・結果'!$G$4*COS(RADIANS(S283))))/((('入力・結果'!$G$3^2)+('入力・結果'!$G$4^2)-(2*'入力・結果'!$G$3*'入力・結果'!$G$4*COS(RADIANS(S283))))^(1/2))))</f>
        <v>65.81540741</v>
      </c>
      <c r="Z283" s="38">
        <f>DEGREES(ACOS((('入力・結果'!$G$3^2)+('入力・結果'!$G$4^2)-('入力・結果'!$G$5^2)+('入力・結果'!$G$6^2)-(2*'入力・結果'!$G$3*'入力・結果'!$G$4*COS(RADIANS(S283))))/(2*'入力・結果'!$G$6*(('入力・結果'!$G$3^2)+('入力・結果'!$G$4^2)-(2*'入力・結果'!$G$3*'入力・結果'!$G$4*(COS(RADIANS(S283)))))^(1/2))))</f>
        <v>55.787678</v>
      </c>
      <c r="AA283" s="38">
        <f>DEGREES(ACOS(('入力・結果'!$G$4-('入力・結果'!$G$3*COS(RADIANS(S283))))/((('入力・結果'!$G$3^2)+('入力・結果'!$G$4^2)-(2*'入力・結果'!$G$3*'入力・結果'!$G$4*COS(RADIANS(S283))))^(1/2))))</f>
        <v>33.18459259</v>
      </c>
      <c r="AB283" s="38">
        <f>DEGREES(ACOS((('入力・結果'!$G$3^2)+('入力・結果'!$G$4^2)+('入力・結果'!$G$5^2)-('入力・結果'!$G$6^2)-(2*'入力・結果'!$G$3*'入力・結果'!$G$4*COS(RADIANS(S283))))/(2*'入力・結果'!$G$5*(('入力・結果'!$G$3^2)+('入力・結果'!$G$4^2)-(2*'入力・結果'!$G$3*'入力・結果'!$G$4*(COS(RADIANS(S283)))))^(1/2))))</f>
        <v>40.03016731</v>
      </c>
      <c r="AC283" s="37">
        <f t="shared" si="19"/>
        <v>-407.6364797</v>
      </c>
      <c r="AD283" s="37">
        <f t="shared" si="20"/>
        <v>0</v>
      </c>
      <c r="AE283" s="37" t="str">
        <f t="shared" si="21"/>
        <v/>
      </c>
      <c r="AF283" s="37" t="str">
        <f t="shared" si="22"/>
        <v/>
      </c>
      <c r="AG283" s="35"/>
      <c r="AH283" s="35"/>
      <c r="AI283" s="35"/>
      <c r="AJ283" s="35">
        <v>280.0</v>
      </c>
      <c r="AK283" s="35">
        <f t="shared" si="1"/>
        <v>0.8946300384</v>
      </c>
    </row>
    <row r="284" ht="12.75" customHeight="1">
      <c r="A284" s="35"/>
      <c r="B284" s="37">
        <v>280.0</v>
      </c>
      <c r="C284" s="38">
        <f t="shared" si="2"/>
        <v>8.682408883</v>
      </c>
      <c r="D284" s="38">
        <f t="shared" si="3"/>
        <v>49.24038765</v>
      </c>
      <c r="E284" s="38">
        <f>'演算'!U284</f>
        <v>106.9633552</v>
      </c>
      <c r="F284" s="38">
        <f t="shared" si="4"/>
        <v>-106.9633552</v>
      </c>
      <c r="G284" s="38">
        <f t="shared" si="5"/>
        <v>169.1504193</v>
      </c>
      <c r="H284" s="38">
        <f t="shared" si="6"/>
        <v>575.3107419</v>
      </c>
      <c r="I284" s="39">
        <f t="shared" si="7"/>
        <v>599.6618331</v>
      </c>
      <c r="J284" s="38">
        <f t="shared" si="8"/>
        <v>-73.61583325</v>
      </c>
      <c r="K284" s="38" t="str">
        <f t="shared" si="9"/>
        <v/>
      </c>
      <c r="L284" s="38">
        <f t="shared" si="10"/>
        <v>2</v>
      </c>
      <c r="M284" s="38">
        <f t="shared" si="11"/>
        <v>286.3841667</v>
      </c>
      <c r="N284" s="39">
        <f t="shared" si="12"/>
        <v>236.3841667</v>
      </c>
      <c r="O284" s="39">
        <f t="shared" si="13"/>
        <v>-331.9858032</v>
      </c>
      <c r="P284" s="39">
        <f t="shared" si="14"/>
        <v>499.3793554</v>
      </c>
      <c r="Q284" s="38">
        <f t="shared" si="15"/>
        <v>104.1889066</v>
      </c>
      <c r="R284" s="38">
        <f t="shared" si="16"/>
        <v>-590.8846518</v>
      </c>
      <c r="S284" s="40">
        <v>280.0</v>
      </c>
      <c r="T284" s="37">
        <f t="shared" si="24"/>
        <v>6.963355204</v>
      </c>
      <c r="U284" s="37">
        <f t="shared" si="18"/>
        <v>106.9633552</v>
      </c>
      <c r="V284" s="37">
        <f t="shared" si="23"/>
        <v>1.117780487</v>
      </c>
      <c r="W284" s="37">
        <f>'入力・結果'!$I$7/V284</f>
        <v>288518.1874</v>
      </c>
      <c r="X284" s="39">
        <f>(W284/I284*10)*'入力・結果'!$I$8</f>
        <v>2886.808913</v>
      </c>
      <c r="Y284" s="38">
        <f>DEGREES(ACOS(('入力・結果'!$G$3-('入力・結果'!$G$4*COS(RADIANS(S284))))/((('入力・結果'!$G$3^2)+('入力・結果'!$G$4^2)-(2*'入力・結果'!$G$3*'入力・結果'!$G$4*COS(RADIANS(S284))))^(1/2))))</f>
        <v>66.59081487</v>
      </c>
      <c r="Z284" s="38">
        <f>DEGREES(ACOS((('入力・結果'!$G$3^2)+('入力・結果'!$G$4^2)-('入力・結果'!$G$5^2)+('入力・結果'!$G$6^2)-(2*'入力・結果'!$G$3*'入力・結果'!$G$4*COS(RADIANS(S284))))/(2*'入力・結果'!$G$6*(('入力・結果'!$G$3^2)+('入力・結果'!$G$4^2)-(2*'入力・結果'!$G$3*'入力・結果'!$G$4*(COS(RADIANS(S284)))))^(1/2))))</f>
        <v>56.39031281</v>
      </c>
      <c r="AA284" s="38">
        <f>DEGREES(ACOS(('入力・結果'!$G$4-('入力・結果'!$G$3*COS(RADIANS(S284))))/((('入力・結果'!$G$3^2)+('入力・結果'!$G$4^2)-(2*'入力・結果'!$G$3*'入力・結果'!$G$4*COS(RADIANS(S284))))^(1/2))))</f>
        <v>33.40918513</v>
      </c>
      <c r="AB284" s="38">
        <f>DEGREES(ACOS((('入力・結果'!$G$3^2)+('入力・結果'!$G$4^2)+('入力・結果'!$G$5^2)-('入力・結果'!$G$6^2)-(2*'入力・結果'!$G$3*'入力・結果'!$G$4*COS(RADIANS(S284))))/(2*'入力・結果'!$G$5*(('入力・結果'!$G$3^2)+('入力・結果'!$G$4^2)-(2*'入力・結果'!$G$3*'入力・結果'!$G$4*(COS(RADIANS(S284)))))^(1/2))))</f>
        <v>40.37254033</v>
      </c>
      <c r="AC284" s="37">
        <f t="shared" si="19"/>
        <v>-413.1910874</v>
      </c>
      <c r="AD284" s="37">
        <f t="shared" si="20"/>
        <v>0</v>
      </c>
      <c r="AE284" s="37" t="str">
        <f t="shared" si="21"/>
        <v/>
      </c>
      <c r="AF284" s="37" t="str">
        <f t="shared" si="22"/>
        <v/>
      </c>
      <c r="AG284" s="35"/>
      <c r="AH284" s="35"/>
      <c r="AI284" s="35"/>
      <c r="AJ284" s="35">
        <v>281.0</v>
      </c>
      <c r="AK284" s="35">
        <f t="shared" si="1"/>
        <v>0.8928376988</v>
      </c>
    </row>
    <row r="285" ht="12.75" customHeight="1">
      <c r="A285" s="35"/>
      <c r="B285" s="37">
        <v>281.0</v>
      </c>
      <c r="C285" s="38">
        <f t="shared" si="2"/>
        <v>9.540449769</v>
      </c>
      <c r="D285" s="38">
        <f t="shared" si="3"/>
        <v>49.08135917</v>
      </c>
      <c r="E285" s="38">
        <f>'演算'!U285</f>
        <v>108.0833796</v>
      </c>
      <c r="F285" s="38">
        <f t="shared" si="4"/>
        <v>-108.0833796</v>
      </c>
      <c r="G285" s="38">
        <f t="shared" si="5"/>
        <v>180.2608294</v>
      </c>
      <c r="H285" s="38">
        <f t="shared" si="6"/>
        <v>571.9145563</v>
      </c>
      <c r="I285" s="39">
        <f t="shared" si="7"/>
        <v>599.6500865</v>
      </c>
      <c r="J285" s="38">
        <f t="shared" si="8"/>
        <v>-72.5057535</v>
      </c>
      <c r="K285" s="38" t="str">
        <f t="shared" si="9"/>
        <v/>
      </c>
      <c r="L285" s="38">
        <f t="shared" si="10"/>
        <v>2</v>
      </c>
      <c r="M285" s="38">
        <f t="shared" si="11"/>
        <v>287.4942465</v>
      </c>
      <c r="N285" s="39">
        <f t="shared" si="12"/>
        <v>237.4942465</v>
      </c>
      <c r="O285" s="39">
        <f t="shared" si="13"/>
        <v>-322.2425401</v>
      </c>
      <c r="P285" s="39">
        <f t="shared" si="14"/>
        <v>505.7073972</v>
      </c>
      <c r="Q285" s="38">
        <f t="shared" si="15"/>
        <v>114.4853972</v>
      </c>
      <c r="R285" s="38">
        <f t="shared" si="16"/>
        <v>-588.9763101</v>
      </c>
      <c r="S285" s="40">
        <v>281.0</v>
      </c>
      <c r="T285" s="37">
        <f t="shared" si="24"/>
        <v>7.083379596</v>
      </c>
      <c r="U285" s="37">
        <f t="shared" si="18"/>
        <v>108.0833796</v>
      </c>
      <c r="V285" s="37">
        <f t="shared" si="23"/>
        <v>1.120024391</v>
      </c>
      <c r="W285" s="37">
        <f>'入力・結果'!$I$7/V285</f>
        <v>287940.1579</v>
      </c>
      <c r="X285" s="39">
        <f>(W285/I285*10)*'入力・結果'!$I$8</f>
        <v>2881.081794</v>
      </c>
      <c r="Y285" s="38">
        <f>DEGREES(ACOS(('入力・結果'!$G$3-('入力・結果'!$G$4*COS(RADIANS(S285))))/((('入力・結果'!$G$3^2)+('入力・結果'!$G$4^2)-(2*'入力・結果'!$G$3*'入力・結果'!$G$4*COS(RADIANS(S285))))^(1/2))))</f>
        <v>67.37119955</v>
      </c>
      <c r="Z285" s="38">
        <f>DEGREES(ACOS((('入力・結果'!$G$3^2)+('入力・結果'!$G$4^2)-('入力・結果'!$G$5^2)+('入力・結果'!$G$6^2)-(2*'入力・結果'!$G$3*'入力・結果'!$G$4*COS(RADIANS(S285))))/(2*'入力・結果'!$G$6*(('入力・結果'!$G$3^2)+('入力・結果'!$G$4^2)-(2*'入力・結果'!$G$3*'入力・結果'!$G$4*(COS(RADIANS(S285)))))^(1/2))))</f>
        <v>56.99462044</v>
      </c>
      <c r="AA285" s="38">
        <f>DEGREES(ACOS(('入力・結果'!$G$4-('入力・結果'!$G$3*COS(RADIANS(S285))))/((('入力・結果'!$G$3^2)+('入力・結果'!$G$4^2)-(2*'入力・結果'!$G$3*'入力・結果'!$G$4*COS(RADIANS(S285))))^(1/2))))</f>
        <v>33.62880045</v>
      </c>
      <c r="AB285" s="38">
        <f>DEGREES(ACOS((('入力・結果'!$G$3^2)+('入力・結果'!$G$4^2)+('入力・結果'!$G$5^2)-('入力・結果'!$G$6^2)-(2*'入力・結果'!$G$3*'入力・結果'!$G$4*COS(RADIANS(S285))))/(2*'入力・結果'!$G$5*(('入力・結果'!$G$3^2)+('入力・結果'!$G$4^2)-(2*'入力・結果'!$G$3*'入力・結果'!$G$4*(COS(RADIANS(S285)))))^(1/2))))</f>
        <v>40.71218005</v>
      </c>
      <c r="AC285" s="37">
        <f t="shared" si="19"/>
        <v>-418.918206</v>
      </c>
      <c r="AD285" s="37">
        <f t="shared" si="20"/>
        <v>0</v>
      </c>
      <c r="AE285" s="37" t="str">
        <f t="shared" si="21"/>
        <v/>
      </c>
      <c r="AF285" s="37" t="str">
        <f t="shared" si="22"/>
        <v/>
      </c>
      <c r="AG285" s="35"/>
      <c r="AH285" s="35"/>
      <c r="AI285" s="35"/>
      <c r="AJ285" s="35">
        <v>282.0</v>
      </c>
      <c r="AK285" s="35">
        <f t="shared" si="1"/>
        <v>0.8909893868</v>
      </c>
    </row>
    <row r="286" ht="12.75" customHeight="1">
      <c r="A286" s="35"/>
      <c r="B286" s="37">
        <v>282.0</v>
      </c>
      <c r="C286" s="38">
        <f t="shared" si="2"/>
        <v>10.39558454</v>
      </c>
      <c r="D286" s="38">
        <f t="shared" si="3"/>
        <v>48.90738004</v>
      </c>
      <c r="E286" s="38">
        <f>'演算'!U286</f>
        <v>109.2057274</v>
      </c>
      <c r="F286" s="38">
        <f t="shared" si="4"/>
        <v>-109.2057274</v>
      </c>
      <c r="G286" s="38">
        <f t="shared" si="5"/>
        <v>191.3241605</v>
      </c>
      <c r="H286" s="38">
        <f t="shared" si="6"/>
        <v>568.2963002</v>
      </c>
      <c r="I286" s="39">
        <f t="shared" si="7"/>
        <v>599.6379068</v>
      </c>
      <c r="J286" s="38">
        <f t="shared" si="8"/>
        <v>-71.39354078</v>
      </c>
      <c r="K286" s="38" t="str">
        <f t="shared" si="9"/>
        <v/>
      </c>
      <c r="L286" s="38">
        <f t="shared" si="10"/>
        <v>2</v>
      </c>
      <c r="M286" s="38">
        <f t="shared" si="11"/>
        <v>288.6064592</v>
      </c>
      <c r="N286" s="39">
        <f t="shared" si="12"/>
        <v>238.6064592</v>
      </c>
      <c r="O286" s="39">
        <f t="shared" si="13"/>
        <v>-312.359423</v>
      </c>
      <c r="P286" s="39">
        <f t="shared" si="14"/>
        <v>511.8566304</v>
      </c>
      <c r="Q286" s="38">
        <f t="shared" si="15"/>
        <v>124.7470145</v>
      </c>
      <c r="R286" s="38">
        <f t="shared" si="16"/>
        <v>-586.8885604</v>
      </c>
      <c r="S286" s="40">
        <v>282.0</v>
      </c>
      <c r="T286" s="37">
        <f t="shared" si="24"/>
        <v>7.20572742</v>
      </c>
      <c r="U286" s="37">
        <f t="shared" si="18"/>
        <v>109.2057274</v>
      </c>
      <c r="V286" s="37">
        <f t="shared" si="23"/>
        <v>1.122347825</v>
      </c>
      <c r="W286" s="37">
        <f>'入力・結果'!$I$7/V286</f>
        <v>287344.0773</v>
      </c>
      <c r="X286" s="39">
        <f>(W286/I286*10)*'入力・結果'!$I$8</f>
        <v>2875.175909</v>
      </c>
      <c r="Y286" s="38">
        <f>DEGREES(ACOS(('入力・結果'!$G$3-('入力・結果'!$G$4*COS(RADIANS(S286))))/((('入力・結果'!$G$3^2)+('入力・結果'!$G$4^2)-(2*'入力・結果'!$G$3*'入力・結果'!$G$4*COS(RADIANS(S286))))^(1/2))))</f>
        <v>68.15672768</v>
      </c>
      <c r="Z286" s="38">
        <f>DEGREES(ACOS((('入力・結果'!$G$3^2)+('入力・結果'!$G$4^2)-('入力・結果'!$G$5^2)+('入力・結果'!$G$6^2)-(2*'入力・結果'!$G$3*'入力・結果'!$G$4*COS(RADIANS(S286))))/(2*'入力・結果'!$G$6*(('入力・結果'!$G$3^2)+('入力・結果'!$G$4^2)-(2*'入力・結果'!$G$3*'入力・結果'!$G$4*(COS(RADIANS(S286)))))^(1/2))))</f>
        <v>57.60064948</v>
      </c>
      <c r="AA286" s="38">
        <f>DEGREES(ACOS(('入力・結果'!$G$4-('入力・結果'!$G$3*COS(RADIANS(S286))))/((('入力・結果'!$G$3^2)+('入力・結果'!$G$4^2)-(2*'入力・結果'!$G$3*'入力・結果'!$G$4*COS(RADIANS(S286))))^(1/2))))</f>
        <v>33.84327232</v>
      </c>
      <c r="AB286" s="38">
        <f>DEGREES(ACOS((('入力・結果'!$G$3^2)+('入力・結果'!$G$4^2)+('入力・結果'!$G$5^2)-('入力・結果'!$G$6^2)-(2*'入力・結果'!$G$3*'入力・結果'!$G$4*COS(RADIANS(S286))))/(2*'入力・結果'!$G$5*(('入力・結果'!$G$3^2)+('入力・結果'!$G$4^2)-(2*'入力・結果'!$G$3*'入力・結果'!$G$4*(COS(RADIANS(S286)))))^(1/2))))</f>
        <v>41.04899974</v>
      </c>
      <c r="AC286" s="37">
        <f t="shared" si="19"/>
        <v>-424.8240912</v>
      </c>
      <c r="AD286" s="37">
        <f t="shared" si="20"/>
        <v>0</v>
      </c>
      <c r="AE286" s="37" t="str">
        <f t="shared" si="21"/>
        <v/>
      </c>
      <c r="AF286" s="37" t="str">
        <f t="shared" si="22"/>
        <v/>
      </c>
      <c r="AG286" s="35"/>
      <c r="AH286" s="35"/>
      <c r="AI286" s="35"/>
      <c r="AJ286" s="35">
        <v>283.0</v>
      </c>
      <c r="AK286" s="35">
        <f t="shared" si="1"/>
        <v>0.8890830605</v>
      </c>
    </row>
    <row r="287" ht="12.75" customHeight="1">
      <c r="A287" s="35"/>
      <c r="B287" s="37">
        <v>283.0</v>
      </c>
      <c r="C287" s="38">
        <f t="shared" si="2"/>
        <v>11.24755272</v>
      </c>
      <c r="D287" s="38">
        <f t="shared" si="3"/>
        <v>48.71850324</v>
      </c>
      <c r="E287" s="38">
        <f>'演算'!U287</f>
        <v>110.3304817</v>
      </c>
      <c r="F287" s="38">
        <f t="shared" si="4"/>
        <v>-110.3304817</v>
      </c>
      <c r="G287" s="38">
        <f t="shared" si="5"/>
        <v>202.3365637</v>
      </c>
      <c r="H287" s="38">
        <f t="shared" si="6"/>
        <v>564.4558297</v>
      </c>
      <c r="I287" s="39">
        <f t="shared" si="7"/>
        <v>599.6252735</v>
      </c>
      <c r="J287" s="38">
        <f t="shared" si="8"/>
        <v>-70.27911878</v>
      </c>
      <c r="K287" s="38" t="str">
        <f t="shared" si="9"/>
        <v/>
      </c>
      <c r="L287" s="38">
        <f t="shared" si="10"/>
        <v>2</v>
      </c>
      <c r="M287" s="38">
        <f t="shared" si="11"/>
        <v>289.7208812</v>
      </c>
      <c r="N287" s="39">
        <f t="shared" si="12"/>
        <v>239.7208812</v>
      </c>
      <c r="O287" s="39">
        <f t="shared" si="13"/>
        <v>-302.3388156</v>
      </c>
      <c r="P287" s="39">
        <f t="shared" si="14"/>
        <v>517.8240138</v>
      </c>
      <c r="Q287" s="38">
        <f t="shared" si="15"/>
        <v>134.9706326</v>
      </c>
      <c r="R287" s="38">
        <f t="shared" si="16"/>
        <v>-584.6220389</v>
      </c>
      <c r="S287" s="40">
        <v>283.0</v>
      </c>
      <c r="T287" s="37">
        <f t="shared" si="24"/>
        <v>7.330481725</v>
      </c>
      <c r="U287" s="37">
        <f t="shared" si="18"/>
        <v>110.3304817</v>
      </c>
      <c r="V287" s="37">
        <f t="shared" si="23"/>
        <v>1.124754305</v>
      </c>
      <c r="W287" s="37">
        <f>'入力・結果'!$I$7/V287</f>
        <v>286729.287</v>
      </c>
      <c r="X287" s="39">
        <f>(W287/I287*10)*'入力・結果'!$I$8</f>
        <v>2869.08474</v>
      </c>
      <c r="Y287" s="38">
        <f>DEGREES(ACOS(('入力・結果'!$G$3-('入力・結果'!$G$4*COS(RADIANS(S287))))/((('入力・結果'!$G$3^2)+('入力・結果'!$G$4^2)-(2*'入力・結果'!$G$3*'入力・結果'!$G$4*COS(RADIANS(S287))))^(1/2))))</f>
        <v>68.94757223</v>
      </c>
      <c r="Z287" s="38">
        <f>DEGREES(ACOS((('入力・結果'!$G$3^2)+('入力・結果'!$G$4^2)-('入力・結果'!$G$5^2)+('入力・結果'!$G$6^2)-(2*'入力・結果'!$G$3*'入力・結果'!$G$4*COS(RADIANS(S287))))/(2*'入力・結果'!$G$6*(('入力・結果'!$G$3^2)+('入力・結果'!$G$4^2)-(2*'入力・結果'!$G$3*'入力・結果'!$G$4*(COS(RADIANS(S287)))))^(1/2))))</f>
        <v>58.20845002</v>
      </c>
      <c r="AA287" s="38">
        <f>DEGREES(ACOS(('入力・結果'!$G$4-('入力・結果'!$G$3*COS(RADIANS(S287))))/((('入力・結果'!$G$3^2)+('入力・結果'!$G$4^2)-(2*'入力・結果'!$G$3*'入力・結果'!$G$4*COS(RADIANS(S287))))^(1/2))))</f>
        <v>34.05242777</v>
      </c>
      <c r="AB287" s="38">
        <f>DEGREES(ACOS((('入力・結果'!$G$3^2)+('入力・結果'!$G$4^2)+('入力・結果'!$G$5^2)-('入力・結果'!$G$6^2)-(2*'入力・結果'!$G$3*'入力・結果'!$G$4*COS(RADIANS(S287))))/(2*'入力・結果'!$G$5*(('入力・結果'!$G$3^2)+('入力・結果'!$G$4^2)-(2*'入力・結果'!$G$3*'入力・結果'!$G$4*(COS(RADIANS(S287)))))^(1/2))))</f>
        <v>41.38290949</v>
      </c>
      <c r="AC287" s="37">
        <f t="shared" si="19"/>
        <v>-430.91526</v>
      </c>
      <c r="AD287" s="37">
        <f t="shared" si="20"/>
        <v>0</v>
      </c>
      <c r="AE287" s="37" t="str">
        <f t="shared" si="21"/>
        <v/>
      </c>
      <c r="AF287" s="37" t="str">
        <f t="shared" si="22"/>
        <v/>
      </c>
      <c r="AG287" s="35"/>
      <c r="AH287" s="35"/>
      <c r="AI287" s="35"/>
      <c r="AJ287" s="35">
        <v>284.0</v>
      </c>
      <c r="AK287" s="35">
        <f t="shared" si="1"/>
        <v>0.8871165923</v>
      </c>
    </row>
    <row r="288" ht="12.75" customHeight="1">
      <c r="A288" s="35"/>
      <c r="B288" s="37">
        <v>284.0</v>
      </c>
      <c r="C288" s="38">
        <f t="shared" si="2"/>
        <v>12.09609478</v>
      </c>
      <c r="D288" s="38">
        <f t="shared" si="3"/>
        <v>48.51478631</v>
      </c>
      <c r="E288" s="38">
        <f>'演算'!U288</f>
        <v>111.4577293</v>
      </c>
      <c r="F288" s="38">
        <f t="shared" si="4"/>
        <v>-111.4577293</v>
      </c>
      <c r="G288" s="38">
        <f t="shared" si="5"/>
        <v>213.2941792</v>
      </c>
      <c r="H288" s="38">
        <f t="shared" si="6"/>
        <v>560.3930246</v>
      </c>
      <c r="I288" s="39">
        <f t="shared" si="7"/>
        <v>599.6121654</v>
      </c>
      <c r="J288" s="38">
        <f t="shared" si="8"/>
        <v>-69.16240775</v>
      </c>
      <c r="K288" s="38" t="str">
        <f t="shared" si="9"/>
        <v/>
      </c>
      <c r="L288" s="38">
        <f t="shared" si="10"/>
        <v>2</v>
      </c>
      <c r="M288" s="38">
        <f t="shared" si="11"/>
        <v>290.8375923</v>
      </c>
      <c r="N288" s="39">
        <f t="shared" si="12"/>
        <v>240.8375923</v>
      </c>
      <c r="O288" s="39">
        <f t="shared" si="13"/>
        <v>-292.1831068</v>
      </c>
      <c r="P288" s="39">
        <f t="shared" si="14"/>
        <v>523.6065135</v>
      </c>
      <c r="Q288" s="38">
        <f t="shared" si="15"/>
        <v>145.1531374</v>
      </c>
      <c r="R288" s="38">
        <f t="shared" si="16"/>
        <v>-582.1774358</v>
      </c>
      <c r="S288" s="40">
        <v>284.0</v>
      </c>
      <c r="T288" s="37">
        <f t="shared" si="24"/>
        <v>7.45772927</v>
      </c>
      <c r="U288" s="37">
        <f t="shared" si="18"/>
        <v>111.4577293</v>
      </c>
      <c r="V288" s="37">
        <f t="shared" si="23"/>
        <v>1.127247544</v>
      </c>
      <c r="W288" s="37">
        <f>'入力・結果'!$I$7/V288</f>
        <v>286095.101</v>
      </c>
      <c r="X288" s="39">
        <f>(W288/I288*10)*'入力・結果'!$I$8</f>
        <v>2862.801499</v>
      </c>
      <c r="Y288" s="38">
        <f>DEGREES(ACOS(('入力・結果'!$G$3-('入力・結果'!$G$4*COS(RADIANS(S288))))/((('入力・結果'!$G$3^2)+('入力・結果'!$G$4^2)-(2*'入力・結果'!$G$3*'入力・結果'!$G$4*COS(RADIANS(S288))))^(1/2))))</f>
        <v>69.74391322</v>
      </c>
      <c r="Z288" s="38">
        <f>DEGREES(ACOS((('入力・結果'!$G$3^2)+('入力・結果'!$G$4^2)-('入力・結果'!$G$5^2)+('入力・結果'!$G$6^2)-(2*'入力・結果'!$G$3*'入力・結果'!$G$4*COS(RADIANS(S288))))/(2*'入力・結果'!$G$6*(('入力・結果'!$G$3^2)+('入力・結果'!$G$4^2)-(2*'入力・結果'!$G$3*'入力・結果'!$G$4*(COS(RADIANS(S288)))))^(1/2))))</f>
        <v>58.81807367</v>
      </c>
      <c r="AA288" s="38">
        <f>DEGREES(ACOS(('入力・結果'!$G$4-('入力・結果'!$G$3*COS(RADIANS(S288))))/((('入力・結果'!$G$3^2)+('入力・結果'!$G$4^2)-(2*'入力・結果'!$G$3*'入力・結果'!$G$4*COS(RADIANS(S288))))^(1/2))))</f>
        <v>34.25608678</v>
      </c>
      <c r="AB288" s="38">
        <f>DEGREES(ACOS((('入力・結果'!$G$3^2)+('入力・結果'!$G$4^2)+('入力・結果'!$G$5^2)-('入力・結果'!$G$6^2)-(2*'入力・結果'!$G$3*'入力・結果'!$G$4*COS(RADIANS(S288))))/(2*'入力・結果'!$G$5*(('入力・結果'!$G$3^2)+('入力・結果'!$G$4^2)-(2*'入力・結果'!$G$3*'入力・結果'!$G$4*(COS(RADIANS(S288)))))^(1/2))))</f>
        <v>41.71381605</v>
      </c>
      <c r="AC288" s="37">
        <f t="shared" si="19"/>
        <v>-437.1985009</v>
      </c>
      <c r="AD288" s="37">
        <f t="shared" si="20"/>
        <v>0</v>
      </c>
      <c r="AE288" s="37" t="str">
        <f t="shared" si="21"/>
        <v/>
      </c>
      <c r="AF288" s="37" t="str">
        <f t="shared" si="22"/>
        <v/>
      </c>
      <c r="AG288" s="35"/>
      <c r="AH288" s="35"/>
      <c r="AI288" s="35"/>
      <c r="AJ288" s="35">
        <v>285.0</v>
      </c>
      <c r="AK288" s="35">
        <f t="shared" si="1"/>
        <v>0.885087766</v>
      </c>
    </row>
    <row r="289" ht="12.75" customHeight="1">
      <c r="A289" s="35"/>
      <c r="B289" s="37">
        <v>285.0</v>
      </c>
      <c r="C289" s="38">
        <f t="shared" si="2"/>
        <v>12.94095226</v>
      </c>
      <c r="D289" s="38">
        <f t="shared" si="3"/>
        <v>48.29629131</v>
      </c>
      <c r="E289" s="38">
        <f>'演算'!U289</f>
        <v>112.5875607</v>
      </c>
      <c r="F289" s="38">
        <f t="shared" si="4"/>
        <v>-112.5875607</v>
      </c>
      <c r="G289" s="38">
        <f t="shared" si="5"/>
        <v>224.1931356</v>
      </c>
      <c r="H289" s="38">
        <f t="shared" si="6"/>
        <v>556.1077869</v>
      </c>
      <c r="I289" s="39">
        <f t="shared" si="7"/>
        <v>599.5985596</v>
      </c>
      <c r="J289" s="38">
        <f t="shared" si="8"/>
        <v>-68.04332435</v>
      </c>
      <c r="K289" s="38" t="str">
        <f t="shared" si="9"/>
        <v/>
      </c>
      <c r="L289" s="38">
        <f t="shared" si="10"/>
        <v>2</v>
      </c>
      <c r="M289" s="38">
        <f t="shared" si="11"/>
        <v>291.9566756</v>
      </c>
      <c r="N289" s="39">
        <f t="shared" si="12"/>
        <v>241.9566756</v>
      </c>
      <c r="O289" s="39">
        <f t="shared" si="13"/>
        <v>-281.8947101</v>
      </c>
      <c r="P289" s="39">
        <f t="shared" si="14"/>
        <v>529.2011008</v>
      </c>
      <c r="Q289" s="38">
        <f t="shared" si="15"/>
        <v>155.2914271</v>
      </c>
      <c r="R289" s="38">
        <f t="shared" si="16"/>
        <v>-579.5554958</v>
      </c>
      <c r="S289" s="40">
        <v>285.0</v>
      </c>
      <c r="T289" s="37">
        <f t="shared" si="24"/>
        <v>7.587560726</v>
      </c>
      <c r="U289" s="37">
        <f t="shared" si="18"/>
        <v>112.5875607</v>
      </c>
      <c r="V289" s="37">
        <f t="shared" si="23"/>
        <v>1.129831457</v>
      </c>
      <c r="W289" s="37">
        <f>'入力・結果'!$I$7/V289</f>
        <v>285440.8045</v>
      </c>
      <c r="X289" s="39">
        <f>(W289/I289*10)*'入力・結果'!$I$8</f>
        <v>2856.319115</v>
      </c>
      <c r="Y289" s="38">
        <f>DEGREES(ACOS(('入力・結果'!$G$3-('入力・結果'!$G$4*COS(RADIANS(S289))))/((('入力・結果'!$G$3^2)+('入力・結果'!$G$4^2)-(2*'入力・結果'!$G$3*'入力・結果'!$G$4*COS(RADIANS(S289))))^(1/2))))</f>
        <v>70.54593807</v>
      </c>
      <c r="Z289" s="38">
        <f>DEGREES(ACOS((('入力・結果'!$G$3^2)+('入力・結果'!$G$4^2)-('入力・結果'!$G$5^2)+('入力・結果'!$G$6^2)-(2*'入力・結果'!$G$3*'入力・結果'!$G$4*COS(RADIANS(S289))))/(2*'入力・結果'!$G$6*(('入力・結果'!$G$3^2)+('入力・結果'!$G$4^2)-(2*'入力・結果'!$G$3*'入力・結果'!$G$4*(COS(RADIANS(S289)))))^(1/2))))</f>
        <v>59.42957359</v>
      </c>
      <c r="AA289" s="38">
        <f>DEGREES(ACOS(('入力・結果'!$G$4-('入力・結果'!$G$3*COS(RADIANS(S289))))/((('入力・結果'!$G$3^2)+('入力・結果'!$G$4^2)-(2*'入力・結果'!$G$3*'入力・結果'!$G$4*COS(RADIANS(S289))))^(1/2))))</f>
        <v>34.45406193</v>
      </c>
      <c r="AB289" s="38">
        <f>DEGREES(ACOS((('入力・結果'!$G$3^2)+('入力・結果'!$G$4^2)+('入力・結果'!$G$5^2)-('入力・結果'!$G$6^2)-(2*'入力・結果'!$G$3*'入力・結果'!$G$4*COS(RADIANS(S289))))/(2*'入力・結果'!$G$5*(('入力・結果'!$G$3^2)+('入力・結果'!$G$4^2)-(2*'入力・結果'!$G$3*'入力・結果'!$G$4*(COS(RADIANS(S289)))))^(1/2))))</f>
        <v>42.04162265</v>
      </c>
      <c r="AC289" s="37">
        <f t="shared" si="19"/>
        <v>-443.6808848</v>
      </c>
      <c r="AD289" s="37">
        <f t="shared" si="20"/>
        <v>0</v>
      </c>
      <c r="AE289" s="37" t="str">
        <f t="shared" si="21"/>
        <v/>
      </c>
      <c r="AF289" s="37" t="str">
        <f t="shared" si="22"/>
        <v/>
      </c>
      <c r="AG289" s="35"/>
      <c r="AH289" s="35"/>
      <c r="AI289" s="35"/>
      <c r="AJ289" s="35">
        <v>286.0</v>
      </c>
      <c r="AK289" s="35">
        <f t="shared" si="1"/>
        <v>0.8829942735</v>
      </c>
    </row>
    <row r="290" ht="12.75" customHeight="1">
      <c r="A290" s="35"/>
      <c r="B290" s="37">
        <v>286.0</v>
      </c>
      <c r="C290" s="38">
        <f t="shared" si="2"/>
        <v>13.78186779</v>
      </c>
      <c r="D290" s="38">
        <f t="shared" si="3"/>
        <v>48.0630848</v>
      </c>
      <c r="E290" s="38">
        <f>'演算'!U290</f>
        <v>113.7200709</v>
      </c>
      <c r="F290" s="38">
        <f t="shared" si="4"/>
        <v>-113.7200709</v>
      </c>
      <c r="G290" s="38">
        <f t="shared" si="5"/>
        <v>235.0295492</v>
      </c>
      <c r="H290" s="38">
        <f t="shared" si="6"/>
        <v>551.6000382</v>
      </c>
      <c r="I290" s="39">
        <f t="shared" si="7"/>
        <v>599.5844321</v>
      </c>
      <c r="J290" s="38">
        <f t="shared" si="8"/>
        <v>-66.92178143</v>
      </c>
      <c r="K290" s="38" t="str">
        <f t="shared" si="9"/>
        <v/>
      </c>
      <c r="L290" s="38">
        <f t="shared" si="10"/>
        <v>2</v>
      </c>
      <c r="M290" s="38">
        <f t="shared" si="11"/>
        <v>293.0782186</v>
      </c>
      <c r="N290" s="39">
        <f t="shared" si="12"/>
        <v>243.0782186</v>
      </c>
      <c r="O290" s="39">
        <f t="shared" si="13"/>
        <v>-271.476062</v>
      </c>
      <c r="P290" s="39">
        <f t="shared" si="14"/>
        <v>534.6047502</v>
      </c>
      <c r="Q290" s="38">
        <f t="shared" si="15"/>
        <v>165.3824135</v>
      </c>
      <c r="R290" s="38">
        <f t="shared" si="16"/>
        <v>-576.7570176</v>
      </c>
      <c r="S290" s="40">
        <v>286.0</v>
      </c>
      <c r="T290" s="37">
        <f t="shared" si="24"/>
        <v>7.720070902</v>
      </c>
      <c r="U290" s="37">
        <f t="shared" si="18"/>
        <v>113.7200709</v>
      </c>
      <c r="V290" s="37">
        <f t="shared" si="23"/>
        <v>1.132510176</v>
      </c>
      <c r="W290" s="37">
        <f>'入力・結果'!$I$7/V290</f>
        <v>284765.6532</v>
      </c>
      <c r="X290" s="39">
        <f>(W290/I290*10)*'入力・結果'!$I$8</f>
        <v>2849.630223</v>
      </c>
      <c r="Y290" s="38">
        <f>DEGREES(ACOS(('入力・結果'!$G$3-('入力・結果'!$G$4*COS(RADIANS(S290))))/((('入力・結果'!$G$3^2)+('入力・結果'!$G$4^2)-(2*'入力・結果'!$G$3*'入力・結果'!$G$4*COS(RADIANS(S290))))^(1/2))))</f>
        <v>71.35384196</v>
      </c>
      <c r="Z290" s="38">
        <f>DEGREES(ACOS((('入力・結果'!$G$3^2)+('入力・結果'!$G$4^2)-('入力・結果'!$G$5^2)+('入力・結果'!$G$6^2)-(2*'入力・結果'!$G$3*'入力・結果'!$G$4*COS(RADIANS(S290))))/(2*'入力・結果'!$G$6*(('入力・結果'!$G$3^2)+('入力・結果'!$G$4^2)-(2*'入力・結果'!$G$3*'入力・結果'!$G$4*(COS(RADIANS(S290)))))^(1/2))))</f>
        <v>60.04300455</v>
      </c>
      <c r="AA290" s="38">
        <f>DEGREES(ACOS(('入力・結果'!$G$4-('入力・結果'!$G$3*COS(RADIANS(S290))))/((('入力・結果'!$G$3^2)+('入力・結果'!$G$4^2)-(2*'入力・結果'!$G$3*'入力・結果'!$G$4*COS(RADIANS(S290))))^(1/2))))</f>
        <v>34.64615804</v>
      </c>
      <c r="AB290" s="38">
        <f>DEGREES(ACOS((('入力・結果'!$G$3^2)+('入力・結果'!$G$4^2)+('入力・結果'!$G$5^2)-('入力・結果'!$G$6^2)-(2*'入力・結果'!$G$3*'入力・結果'!$G$4*COS(RADIANS(S290))))/(2*'入力・結果'!$G$5*(('入力・結果'!$G$3^2)+('入力・結果'!$G$4^2)-(2*'入力・結果'!$G$3*'入力・結果'!$G$4*(COS(RADIANS(S290)))))^(1/2))))</f>
        <v>42.36622894</v>
      </c>
      <c r="AC290" s="37">
        <f t="shared" si="19"/>
        <v>-450.3697765</v>
      </c>
      <c r="AD290" s="37">
        <f t="shared" si="20"/>
        <v>0</v>
      </c>
      <c r="AE290" s="37" t="str">
        <f t="shared" si="21"/>
        <v/>
      </c>
      <c r="AF290" s="37" t="str">
        <f t="shared" si="22"/>
        <v/>
      </c>
      <c r="AG290" s="35"/>
      <c r="AH290" s="35"/>
      <c r="AI290" s="35"/>
      <c r="AJ290" s="35">
        <v>287.0</v>
      </c>
      <c r="AK290" s="35">
        <f t="shared" si="1"/>
        <v>0.8808337104</v>
      </c>
    </row>
    <row r="291" ht="12.75" customHeight="1">
      <c r="A291" s="35"/>
      <c r="B291" s="37">
        <v>287.0</v>
      </c>
      <c r="C291" s="38">
        <f t="shared" si="2"/>
        <v>14.61858524</v>
      </c>
      <c r="D291" s="38">
        <f t="shared" si="3"/>
        <v>47.8152378</v>
      </c>
      <c r="E291" s="38">
        <f>'演算'!U291</f>
        <v>114.855359</v>
      </c>
      <c r="F291" s="38">
        <f t="shared" si="4"/>
        <v>-114.855359</v>
      </c>
      <c r="G291" s="38">
        <f t="shared" si="5"/>
        <v>245.799523</v>
      </c>
      <c r="H291" s="38">
        <f t="shared" si="6"/>
        <v>546.8697178</v>
      </c>
      <c r="I291" s="39">
        <f t="shared" si="7"/>
        <v>599.5697572</v>
      </c>
      <c r="J291" s="38">
        <f t="shared" si="8"/>
        <v>-65.79768783</v>
      </c>
      <c r="K291" s="38" t="str">
        <f t="shared" si="9"/>
        <v/>
      </c>
      <c r="L291" s="38">
        <f t="shared" si="10"/>
        <v>2</v>
      </c>
      <c r="M291" s="38">
        <f t="shared" si="11"/>
        <v>294.2023122</v>
      </c>
      <c r="N291" s="39">
        <f t="shared" si="12"/>
        <v>244.2023122</v>
      </c>
      <c r="O291" s="39">
        <f t="shared" si="13"/>
        <v>-260.9296206</v>
      </c>
      <c r="P291" s="39">
        <f t="shared" si="14"/>
        <v>539.8144374</v>
      </c>
      <c r="Q291" s="38">
        <f t="shared" si="15"/>
        <v>175.4230228</v>
      </c>
      <c r="R291" s="38">
        <f t="shared" si="16"/>
        <v>-573.7828536</v>
      </c>
      <c r="S291" s="40">
        <v>287.0</v>
      </c>
      <c r="T291" s="37">
        <f t="shared" si="24"/>
        <v>7.855358969</v>
      </c>
      <c r="U291" s="37">
        <f t="shared" si="18"/>
        <v>114.855359</v>
      </c>
      <c r="V291" s="37">
        <f t="shared" si="23"/>
        <v>1.135288066</v>
      </c>
      <c r="W291" s="37">
        <f>'入力・結果'!$I$7/V291</f>
        <v>284068.8716</v>
      </c>
      <c r="X291" s="39">
        <f>(W291/I291*10)*'入力・結果'!$I$8</f>
        <v>2842.727154</v>
      </c>
      <c r="Y291" s="38">
        <f>DEGREES(ACOS(('入力・結果'!$G$3-('入力・結果'!$G$4*COS(RADIANS(S291))))/((('入力・結果'!$G$3^2)+('入力・結果'!$G$4^2)-(2*'入力・結果'!$G$3*'入力・結果'!$G$4*COS(RADIANS(S291))))^(1/2))))</f>
        <v>72.1678282</v>
      </c>
      <c r="Z291" s="38">
        <f>DEGREES(ACOS((('入力・結果'!$G$3^2)+('入力・結果'!$G$4^2)-('入力・結果'!$G$5^2)+('入力・結果'!$G$6^2)-(2*'入力・結果'!$G$3*'入力・結果'!$G$4*COS(RADIANS(S291))))/(2*'入力・結果'!$G$6*(('入力・結果'!$G$3^2)+('入力・結果'!$G$4^2)-(2*'入力・結果'!$G$3*'入力・結果'!$G$4*(COS(RADIANS(S291)))))^(1/2))))</f>
        <v>60.65842294</v>
      </c>
      <c r="AA291" s="38">
        <f>DEGREES(ACOS(('入力・結果'!$G$4-('入力・結果'!$G$3*COS(RADIANS(S291))))/((('入力・結果'!$G$3^2)+('入力・結果'!$G$4^2)-(2*'入力・結果'!$G$3*'入力・結果'!$G$4*COS(RADIANS(S291))))^(1/2))))</f>
        <v>34.8321718</v>
      </c>
      <c r="AB291" s="38">
        <f>DEGREES(ACOS((('入力・結果'!$G$3^2)+('入力・結果'!$G$4^2)+('入力・結果'!$G$5^2)-('入力・結果'!$G$6^2)-(2*'入力・結果'!$G$3*'入力・結果'!$G$4*COS(RADIANS(S291))))/(2*'入力・結果'!$G$5*(('入力・結果'!$G$3^2)+('入力・結果'!$G$4^2)-(2*'入力・結果'!$G$3*'入力・結果'!$G$4*(COS(RADIANS(S291)))))^(1/2))))</f>
        <v>42.68753077</v>
      </c>
      <c r="AC291" s="37">
        <f t="shared" si="19"/>
        <v>-457.2728458</v>
      </c>
      <c r="AD291" s="37">
        <f t="shared" si="20"/>
        <v>0</v>
      </c>
      <c r="AE291" s="37" t="str">
        <f t="shared" si="21"/>
        <v/>
      </c>
      <c r="AF291" s="37" t="str">
        <f t="shared" si="22"/>
        <v/>
      </c>
      <c r="AG291" s="35"/>
      <c r="AH291" s="35"/>
      <c r="AI291" s="35"/>
      <c r="AJ291" s="35">
        <v>288.0</v>
      </c>
      <c r="AK291" s="35">
        <f t="shared" si="1"/>
        <v>0.8786035733</v>
      </c>
    </row>
    <row r="292" ht="12.75" customHeight="1">
      <c r="A292" s="35"/>
      <c r="B292" s="37">
        <v>288.0</v>
      </c>
      <c r="C292" s="38">
        <f t="shared" si="2"/>
        <v>15.45084972</v>
      </c>
      <c r="D292" s="38">
        <f t="shared" si="3"/>
        <v>47.55282581</v>
      </c>
      <c r="E292" s="38">
        <f>'演算'!U292</f>
        <v>115.9935287</v>
      </c>
      <c r="F292" s="38">
        <f t="shared" si="4"/>
        <v>-115.9935287</v>
      </c>
      <c r="G292" s="38">
        <f t="shared" si="5"/>
        <v>256.4991459</v>
      </c>
      <c r="H292" s="38">
        <f t="shared" si="6"/>
        <v>541.9167797</v>
      </c>
      <c r="I292" s="39">
        <f t="shared" si="7"/>
        <v>599.5545079</v>
      </c>
      <c r="J292" s="38">
        <f t="shared" si="8"/>
        <v>-64.67094812</v>
      </c>
      <c r="K292" s="38" t="str">
        <f t="shared" si="9"/>
        <v/>
      </c>
      <c r="L292" s="38">
        <f t="shared" si="10"/>
        <v>2</v>
      </c>
      <c r="M292" s="38">
        <f t="shared" si="11"/>
        <v>295.3290519</v>
      </c>
      <c r="N292" s="39">
        <f t="shared" si="12"/>
        <v>245.3290519</v>
      </c>
      <c r="O292" s="39">
        <f t="shared" si="13"/>
        <v>-250.2578649</v>
      </c>
      <c r="P292" s="39">
        <f t="shared" si="14"/>
        <v>544.8271368</v>
      </c>
      <c r="Q292" s="38">
        <f t="shared" si="15"/>
        <v>185.4101966</v>
      </c>
      <c r="R292" s="38">
        <f t="shared" si="16"/>
        <v>-570.6339098</v>
      </c>
      <c r="S292" s="40">
        <v>288.0</v>
      </c>
      <c r="T292" s="37">
        <f t="shared" si="24"/>
        <v>7.993528708</v>
      </c>
      <c r="U292" s="37">
        <f t="shared" si="18"/>
        <v>115.9935287</v>
      </c>
      <c r="V292" s="37">
        <f t="shared" si="23"/>
        <v>1.138169739</v>
      </c>
      <c r="W292" s="37">
        <f>'入力・結果'!$I$7/V292</f>
        <v>283349.6524</v>
      </c>
      <c r="X292" s="39">
        <f>(W292/I292*10)*'入力・結果'!$I$8</f>
        <v>2835.601921</v>
      </c>
      <c r="Y292" s="38">
        <f>DEGREES(ACOS(('入力・結果'!$G$3-('入力・結果'!$G$4*COS(RADIANS(S292))))/((('入力・結果'!$G$3^2)+('入力・結果'!$G$4^2)-(2*'入力・結果'!$G$3*'入力・結果'!$G$4*COS(RADIANS(S292))))^(1/2))))</f>
        <v>72.98810865</v>
      </c>
      <c r="Z292" s="38">
        <f>DEGREES(ACOS((('入力・結果'!$G$3^2)+('入力・結果'!$G$4^2)-('入力・結果'!$G$5^2)+('入力・結果'!$G$6^2)-(2*'入力・結果'!$G$3*'入力・結果'!$G$4*COS(RADIANS(S292))))/(2*'入力・結果'!$G$6*(('入力・結果'!$G$3^2)+('入力・結果'!$G$4^2)-(2*'入力・結果'!$G$3*'入力・結果'!$G$4*(COS(RADIANS(S292)))))^(1/2))))</f>
        <v>61.27588682</v>
      </c>
      <c r="AA292" s="38">
        <f>DEGREES(ACOS(('入力・結果'!$G$4-('入力・結果'!$G$3*COS(RADIANS(S292))))/((('入力・結果'!$G$3^2)+('入力・結果'!$G$4^2)-(2*'入力・結果'!$G$3*'入力・結果'!$G$4*COS(RADIANS(S292))))^(1/2))))</f>
        <v>35.01189135</v>
      </c>
      <c r="AB292" s="38">
        <f>DEGREES(ACOS((('入力・結果'!$G$3^2)+('入力・結果'!$G$4^2)+('入力・結果'!$G$5^2)-('入力・結果'!$G$6^2)-(2*'入力・結果'!$G$3*'入力・結果'!$G$4*COS(RADIANS(S292))))/(2*'入力・結果'!$G$5*(('入力・結果'!$G$3^2)+('入力・結果'!$G$4^2)-(2*'入力・結果'!$G$3*'入力・結果'!$G$4*(COS(RADIANS(S292)))))^(1/2))))</f>
        <v>43.00542005</v>
      </c>
      <c r="AC292" s="37">
        <f t="shared" si="19"/>
        <v>-464.3980792</v>
      </c>
      <c r="AD292" s="37">
        <f t="shared" si="20"/>
        <v>0</v>
      </c>
      <c r="AE292" s="37" t="str">
        <f t="shared" si="21"/>
        <v/>
      </c>
      <c r="AF292" s="37" t="str">
        <f t="shared" si="22"/>
        <v/>
      </c>
      <c r="AG292" s="35"/>
      <c r="AH292" s="35"/>
      <c r="AI292" s="35"/>
      <c r="AJ292" s="35">
        <v>289.0</v>
      </c>
      <c r="AK292" s="35">
        <f t="shared" si="1"/>
        <v>0.8763012552</v>
      </c>
    </row>
    <row r="293" ht="12.75" customHeight="1">
      <c r="A293" s="35"/>
      <c r="B293" s="37">
        <v>289.0</v>
      </c>
      <c r="C293" s="38">
        <f t="shared" si="2"/>
        <v>16.27840772</v>
      </c>
      <c r="D293" s="38">
        <f t="shared" si="3"/>
        <v>47.27592878</v>
      </c>
      <c r="E293" s="38">
        <f>'演算'!U293</f>
        <v>117.1346888</v>
      </c>
      <c r="F293" s="38">
        <f t="shared" si="4"/>
        <v>-117.1346888</v>
      </c>
      <c r="G293" s="38">
        <f t="shared" si="5"/>
        <v>267.1244913</v>
      </c>
      <c r="H293" s="38">
        <f t="shared" si="6"/>
        <v>536.7411904</v>
      </c>
      <c r="I293" s="39">
        <f t="shared" si="7"/>
        <v>599.5386554</v>
      </c>
      <c r="J293" s="38">
        <f t="shared" si="8"/>
        <v>-63.5414624</v>
      </c>
      <c r="K293" s="38" t="str">
        <f t="shared" si="9"/>
        <v/>
      </c>
      <c r="L293" s="38">
        <f t="shared" si="10"/>
        <v>2</v>
      </c>
      <c r="M293" s="38">
        <f t="shared" si="11"/>
        <v>296.4585376</v>
      </c>
      <c r="N293" s="39">
        <f t="shared" si="12"/>
        <v>246.4585376</v>
      </c>
      <c r="O293" s="39">
        <f t="shared" si="13"/>
        <v>-239.4632931</v>
      </c>
      <c r="P293" s="39">
        <f t="shared" si="14"/>
        <v>549.639819</v>
      </c>
      <c r="Q293" s="38">
        <f t="shared" si="15"/>
        <v>195.3408927</v>
      </c>
      <c r="R293" s="38">
        <f t="shared" si="16"/>
        <v>-567.3111454</v>
      </c>
      <c r="S293" s="40">
        <v>289.0</v>
      </c>
      <c r="T293" s="37">
        <f t="shared" si="24"/>
        <v>8.134688776</v>
      </c>
      <c r="U293" s="37">
        <f t="shared" si="18"/>
        <v>117.1346888</v>
      </c>
      <c r="V293" s="37">
        <f t="shared" si="23"/>
        <v>1.141160068</v>
      </c>
      <c r="W293" s="37">
        <f>'入力・結果'!$I$7/V293</f>
        <v>282607.1548</v>
      </c>
      <c r="X293" s="39">
        <f>(W293/I293*10)*'入力・結果'!$I$8</f>
        <v>2828.246208</v>
      </c>
      <c r="Y293" s="38">
        <f>DEGREES(ACOS(('入力・結果'!$G$3-('入力・結果'!$G$4*COS(RADIANS(S293))))/((('入力・結果'!$G$3^2)+('入力・結果'!$G$4^2)-(2*'入力・結果'!$G$3*'入力・結果'!$G$4*COS(RADIANS(S293))))^(1/2))))</f>
        <v>73.81490415</v>
      </c>
      <c r="Z293" s="38">
        <f>DEGREES(ACOS((('入力・結果'!$G$3^2)+('入力・結果'!$G$4^2)-('入力・結果'!$G$5^2)+('入力・結果'!$G$6^2)-(2*'入力・結果'!$G$3*'入力・結果'!$G$4*COS(RADIANS(S293))))/(2*'入力・結果'!$G$6*(('入力・結果'!$G$3^2)+('入力・結果'!$G$4^2)-(2*'入力・結果'!$G$3*'入力・結果'!$G$4*(COS(RADIANS(S293)))))^(1/2))))</f>
        <v>61.89545591</v>
      </c>
      <c r="AA293" s="38">
        <f>DEGREES(ACOS(('入力・結果'!$G$4-('入力・結果'!$G$3*COS(RADIANS(S293))))/((('入力・結果'!$G$3^2)+('入力・結果'!$G$4^2)-(2*'入力・結果'!$G$3*'入力・結果'!$G$4*COS(RADIANS(S293))))^(1/2))))</f>
        <v>35.18509585</v>
      </c>
      <c r="AB293" s="38">
        <f>DEGREES(ACOS((('入力・結果'!$G$3^2)+('入力・結果'!$G$4^2)+('入力・結果'!$G$5^2)-('入力・結果'!$G$6^2)-(2*'入力・結果'!$G$3*'入力・結果'!$G$4*COS(RADIANS(S293))))/(2*'入力・結果'!$G$5*(('入力・結果'!$G$3^2)+('入力・結果'!$G$4^2)-(2*'入力・結果'!$G$3*'入力・結果'!$G$4*(COS(RADIANS(S293)))))^(1/2))))</f>
        <v>43.31978463</v>
      </c>
      <c r="AC293" s="37">
        <f t="shared" si="19"/>
        <v>-471.7537918</v>
      </c>
      <c r="AD293" s="37">
        <f t="shared" si="20"/>
        <v>0</v>
      </c>
      <c r="AE293" s="37" t="str">
        <f t="shared" si="21"/>
        <v/>
      </c>
      <c r="AF293" s="37" t="str">
        <f t="shared" si="22"/>
        <v/>
      </c>
      <c r="AG293" s="35"/>
      <c r="AH293" s="35"/>
      <c r="AI293" s="35"/>
      <c r="AJ293" s="35">
        <v>290.0</v>
      </c>
      <c r="AK293" s="35">
        <f t="shared" si="1"/>
        <v>0.8739240425</v>
      </c>
    </row>
    <row r="294" ht="12.75" customHeight="1">
      <c r="A294" s="35"/>
      <c r="B294" s="37">
        <v>290.0</v>
      </c>
      <c r="C294" s="38">
        <f t="shared" si="2"/>
        <v>17.10100717</v>
      </c>
      <c r="D294" s="38">
        <f t="shared" si="3"/>
        <v>46.98463104</v>
      </c>
      <c r="E294" s="38">
        <f>'演算'!U294</f>
        <v>118.278953</v>
      </c>
      <c r="F294" s="38">
        <f t="shared" si="4"/>
        <v>-118.278953</v>
      </c>
      <c r="G294" s="38">
        <f t="shared" si="5"/>
        <v>277.6716157</v>
      </c>
      <c r="H294" s="38">
        <f t="shared" si="6"/>
        <v>531.3429261</v>
      </c>
      <c r="I294" s="39">
        <f t="shared" si="7"/>
        <v>599.5221691</v>
      </c>
      <c r="J294" s="38">
        <f t="shared" si="8"/>
        <v>-62.40912602</v>
      </c>
      <c r="K294" s="38" t="str">
        <f t="shared" si="9"/>
        <v/>
      </c>
      <c r="L294" s="38">
        <f t="shared" si="10"/>
        <v>2</v>
      </c>
      <c r="M294" s="38">
        <f t="shared" si="11"/>
        <v>297.590874</v>
      </c>
      <c r="N294" s="39">
        <f t="shared" si="12"/>
        <v>247.590874</v>
      </c>
      <c r="O294" s="39">
        <f t="shared" si="13"/>
        <v>-228.5484218</v>
      </c>
      <c r="P294" s="39">
        <f t="shared" si="14"/>
        <v>554.2494476</v>
      </c>
      <c r="Q294" s="38">
        <f t="shared" si="15"/>
        <v>205.212086</v>
      </c>
      <c r="R294" s="38">
        <f t="shared" si="16"/>
        <v>-563.8155725</v>
      </c>
      <c r="S294" s="40">
        <v>290.0</v>
      </c>
      <c r="T294" s="37">
        <f t="shared" si="24"/>
        <v>8.278952981</v>
      </c>
      <c r="U294" s="37">
        <f t="shared" si="18"/>
        <v>118.278953</v>
      </c>
      <c r="V294" s="37">
        <f t="shared" si="23"/>
        <v>1.144264205</v>
      </c>
      <c r="W294" s="37">
        <f>'入力・結果'!$I$7/V294</f>
        <v>281840.5037</v>
      </c>
      <c r="X294" s="39">
        <f>(W294/I294*10)*'入力・結果'!$I$8</f>
        <v>2820.651361</v>
      </c>
      <c r="Y294" s="38">
        <f>DEGREES(ACOS(('入力・結果'!$G$3-('入力・結果'!$G$4*COS(RADIANS(S294))))/((('入力・結果'!$G$3^2)+('入力・結果'!$G$4^2)-(2*'入力・結果'!$G$3*'入力・結果'!$G$4*COS(RADIANS(S294))))^(1/2))))</f>
        <v>74.6484449</v>
      </c>
      <c r="Z294" s="38">
        <f>DEGREES(ACOS((('入力・結果'!$G$3^2)+('入力・結果'!$G$4^2)-('入力・結果'!$G$5^2)+('入力・結果'!$G$6^2)-(2*'入力・結果'!$G$3*'入力・結果'!$G$4*COS(RADIANS(S294))))/(2*'入力・結果'!$G$6*(('入力・結果'!$G$3^2)+('入力・結果'!$G$4^2)-(2*'入力・結果'!$G$3*'入力・結果'!$G$4*(COS(RADIANS(S294)))))^(1/2))))</f>
        <v>62.51719164</v>
      </c>
      <c r="AA294" s="38">
        <f>DEGREES(ACOS(('入力・結果'!$G$4-('入力・結果'!$G$3*COS(RADIANS(S294))))/((('入力・結果'!$G$3^2)+('入力・結果'!$G$4^2)-(2*'入力・結果'!$G$3*'入力・結果'!$G$4*COS(RADIANS(S294))))^(1/2))))</f>
        <v>35.3515551</v>
      </c>
      <c r="AB294" s="38">
        <f>DEGREES(ACOS((('入力・結果'!$G$3^2)+('入力・結果'!$G$4^2)+('入力・結果'!$G$5^2)-('入力・結果'!$G$6^2)-(2*'入力・結果'!$G$3*'入力・結果'!$G$4*COS(RADIANS(S294))))/(2*'入力・結果'!$G$5*(('入力・結果'!$G$3^2)+('入力・結果'!$G$4^2)-(2*'入力・結果'!$G$3*'入力・結果'!$G$4*(COS(RADIANS(S294)))))^(1/2))))</f>
        <v>43.63050808</v>
      </c>
      <c r="AC294" s="37">
        <f t="shared" si="19"/>
        <v>-479.348639</v>
      </c>
      <c r="AD294" s="37">
        <f t="shared" si="20"/>
        <v>0</v>
      </c>
      <c r="AE294" s="37" t="str">
        <f t="shared" si="21"/>
        <v/>
      </c>
      <c r="AF294" s="37" t="str">
        <f t="shared" si="22"/>
        <v/>
      </c>
      <c r="AG294" s="35"/>
      <c r="AH294" s="35"/>
      <c r="AI294" s="35"/>
      <c r="AJ294" s="35">
        <v>291.0</v>
      </c>
      <c r="AK294" s="35">
        <f t="shared" si="1"/>
        <v>0.8714691106</v>
      </c>
    </row>
    <row r="295" ht="12.75" customHeight="1">
      <c r="A295" s="35"/>
      <c r="B295" s="37">
        <v>291.0</v>
      </c>
      <c r="C295" s="38">
        <f t="shared" si="2"/>
        <v>17.91839748</v>
      </c>
      <c r="D295" s="38">
        <f t="shared" si="3"/>
        <v>46.67902132</v>
      </c>
      <c r="E295" s="38">
        <f>'演算'!U295</f>
        <v>119.4264406</v>
      </c>
      <c r="F295" s="38">
        <f t="shared" si="4"/>
        <v>-119.4264406</v>
      </c>
      <c r="G295" s="38">
        <f t="shared" si="5"/>
        <v>288.1365572</v>
      </c>
      <c r="H295" s="38">
        <f t="shared" si="6"/>
        <v>525.7219695</v>
      </c>
      <c r="I295" s="39">
        <f t="shared" si="7"/>
        <v>599.5050165</v>
      </c>
      <c r="J295" s="38">
        <f t="shared" si="8"/>
        <v>-61.27382929</v>
      </c>
      <c r="K295" s="38" t="str">
        <f t="shared" si="9"/>
        <v/>
      </c>
      <c r="L295" s="38">
        <f t="shared" si="10"/>
        <v>2</v>
      </c>
      <c r="M295" s="38">
        <f t="shared" si="11"/>
        <v>298.7261707</v>
      </c>
      <c r="N295" s="39">
        <f t="shared" si="12"/>
        <v>248.7261707</v>
      </c>
      <c r="O295" s="39">
        <f t="shared" si="13"/>
        <v>-217.5157845</v>
      </c>
      <c r="P295" s="39">
        <f t="shared" si="14"/>
        <v>558.6529766</v>
      </c>
      <c r="Q295" s="38">
        <f t="shared" si="15"/>
        <v>215.0207697</v>
      </c>
      <c r="R295" s="38">
        <f t="shared" si="16"/>
        <v>-560.1482559</v>
      </c>
      <c r="S295" s="40">
        <v>291.0</v>
      </c>
      <c r="T295" s="37">
        <f t="shared" si="24"/>
        <v>8.426440583</v>
      </c>
      <c r="U295" s="37">
        <f t="shared" si="18"/>
        <v>119.4264406</v>
      </c>
      <c r="V295" s="37">
        <f t="shared" si="23"/>
        <v>1.147487602</v>
      </c>
      <c r="W295" s="37">
        <f>'入力・結果'!$I$7/V295</f>
        <v>281048.7882</v>
      </c>
      <c r="X295" s="39">
        <f>(W295/I295*10)*'入力・結果'!$I$8</f>
        <v>2812.808371</v>
      </c>
      <c r="Y295" s="38">
        <f>DEGREES(ACOS(('入力・結果'!$G$3-('入力・結果'!$G$4*COS(RADIANS(S295))))/((('入力・結果'!$G$3^2)+('入力・結果'!$G$4^2)-(2*'入力・結果'!$G$3*'入力・結果'!$G$4*COS(RADIANS(S295))))^(1/2))))</f>
        <v>75.48897101</v>
      </c>
      <c r="Z295" s="38">
        <f>DEGREES(ACOS((('入力・結果'!$G$3^2)+('入力・結果'!$G$4^2)-('入力・結果'!$G$5^2)+('入力・結果'!$G$6^2)-(2*'入力・結果'!$G$3*'入力・結果'!$G$4*COS(RADIANS(S295))))/(2*'入力・結果'!$G$6*(('入力・結果'!$G$3^2)+('入力・結果'!$G$4^2)-(2*'入力・結果'!$G$3*'入力・結果'!$G$4*(COS(RADIANS(S295)))))^(1/2))))</f>
        <v>63.14115716</v>
      </c>
      <c r="AA295" s="38">
        <f>DEGREES(ACOS(('入力・結果'!$G$4-('入力・結果'!$G$3*COS(RADIANS(S295))))/((('入力・結果'!$G$3^2)+('入力・結果'!$G$4^2)-(2*'入力・結果'!$G$3*'入力・結果'!$G$4*COS(RADIANS(S295))))^(1/2))))</f>
        <v>35.51102899</v>
      </c>
      <c r="AB295" s="38">
        <f>DEGREES(ACOS((('入力・結果'!$G$3^2)+('入力・結果'!$G$4^2)+('入力・結果'!$G$5^2)-('入力・結果'!$G$6^2)-(2*'入力・結果'!$G$3*'入力・結果'!$G$4*COS(RADIANS(S295))))/(2*'入力・結果'!$G$5*(('入力・結果'!$G$3^2)+('入力・結果'!$G$4^2)-(2*'入力・結果'!$G$3*'入力・結果'!$G$4*(COS(RADIANS(S295)))))^(1/2))))</f>
        <v>43.93746957</v>
      </c>
      <c r="AC295" s="37">
        <f t="shared" si="19"/>
        <v>-487.1916287</v>
      </c>
      <c r="AD295" s="37">
        <f t="shared" si="20"/>
        <v>0</v>
      </c>
      <c r="AE295" s="37" t="str">
        <f t="shared" si="21"/>
        <v/>
      </c>
      <c r="AF295" s="37" t="str">
        <f t="shared" si="22"/>
        <v/>
      </c>
      <c r="AG295" s="35"/>
      <c r="AH295" s="35"/>
      <c r="AI295" s="35"/>
      <c r="AJ295" s="35">
        <v>292.0</v>
      </c>
      <c r="AK295" s="35">
        <f t="shared" si="1"/>
        <v>0.8689335205</v>
      </c>
    </row>
    <row r="296" ht="12.75" customHeight="1">
      <c r="A296" s="35"/>
      <c r="B296" s="37">
        <v>292.0</v>
      </c>
      <c r="C296" s="38">
        <f t="shared" si="2"/>
        <v>18.73032967</v>
      </c>
      <c r="D296" s="38">
        <f t="shared" si="3"/>
        <v>46.35919273</v>
      </c>
      <c r="E296" s="38">
        <f>'演算'!U296</f>
        <v>120.5772766</v>
      </c>
      <c r="F296" s="38">
        <f t="shared" si="4"/>
        <v>-120.5772766</v>
      </c>
      <c r="G296" s="38">
        <f t="shared" si="5"/>
        <v>298.5153336</v>
      </c>
      <c r="H296" s="38">
        <f t="shared" si="6"/>
        <v>519.878307</v>
      </c>
      <c r="I296" s="39">
        <f t="shared" si="7"/>
        <v>599.4871629</v>
      </c>
      <c r="J296" s="38">
        <f t="shared" si="8"/>
        <v>-60.13545724</v>
      </c>
      <c r="K296" s="38" t="str">
        <f t="shared" si="9"/>
        <v/>
      </c>
      <c r="L296" s="38">
        <f t="shared" si="10"/>
        <v>2</v>
      </c>
      <c r="M296" s="38">
        <f t="shared" si="11"/>
        <v>299.8645428</v>
      </c>
      <c r="N296" s="39">
        <f t="shared" si="12"/>
        <v>249.8645428</v>
      </c>
      <c r="O296" s="39">
        <f t="shared" si="13"/>
        <v>-206.3679304</v>
      </c>
      <c r="P296" s="39">
        <f t="shared" si="14"/>
        <v>562.8473468</v>
      </c>
      <c r="Q296" s="38">
        <f t="shared" si="15"/>
        <v>224.763956</v>
      </c>
      <c r="R296" s="38">
        <f t="shared" si="16"/>
        <v>-556.3103127</v>
      </c>
      <c r="S296" s="40">
        <v>292.0</v>
      </c>
      <c r="T296" s="37">
        <f t="shared" si="24"/>
        <v>8.57727661</v>
      </c>
      <c r="U296" s="37">
        <f t="shared" si="18"/>
        <v>120.5772766</v>
      </c>
      <c r="V296" s="37">
        <f t="shared" si="23"/>
        <v>1.150836027</v>
      </c>
      <c r="W296" s="37">
        <f>'入力・結果'!$I$7/V296</f>
        <v>280231.0603</v>
      </c>
      <c r="X296" s="39">
        <f>(W296/I296*10)*'入力・結果'!$I$8</f>
        <v>2804.707867</v>
      </c>
      <c r="Y296" s="38">
        <f>DEGREES(ACOS(('入力・結果'!$G$3-('入力・結果'!$G$4*COS(RADIANS(S296))))/((('入力・結果'!$G$3^2)+('入力・結果'!$G$4^2)-(2*'入力・結果'!$G$3*'入力・結果'!$G$4*COS(RADIANS(S296))))^(1/2))))</f>
        <v>76.33673295</v>
      </c>
      <c r="Z296" s="38">
        <f>DEGREES(ACOS((('入力・結果'!$G$3^2)+('入力・結果'!$G$4^2)-('入力・結果'!$G$5^2)+('入力・結果'!$G$6^2)-(2*'入力・結果'!$G$3*'入力・結果'!$G$4*COS(RADIANS(S296))))/(2*'入力・結果'!$G$6*(('入力・結果'!$G$3^2)+('入力・結果'!$G$4^2)-(2*'入力・結果'!$G$3*'入力・結果'!$G$4*(COS(RADIANS(S296)))))^(1/2))))</f>
        <v>63.76741734</v>
      </c>
      <c r="AA296" s="38">
        <f>DEGREES(ACOS(('入力・結果'!$G$4-('入力・結果'!$G$3*COS(RADIANS(S296))))/((('入力・結果'!$G$3^2)+('入力・結果'!$G$4^2)-(2*'入力・結果'!$G$3*'入力・結果'!$G$4*COS(RADIANS(S296))))^(1/2))))</f>
        <v>35.66326705</v>
      </c>
      <c r="AB296" s="38">
        <f>DEGREES(ACOS((('入力・結果'!$G$3^2)+('入力・結果'!$G$4^2)+('入力・結果'!$G$5^2)-('入力・結果'!$G$6^2)-(2*'入力・結果'!$G$3*'入力・結果'!$G$4*COS(RADIANS(S296))))/(2*'入力・結果'!$G$5*(('入力・結果'!$G$3^2)+('入力・結果'!$G$4^2)-(2*'入力・結果'!$G$3*'入力・結果'!$G$4*(COS(RADIANS(S296)))))^(1/2))))</f>
        <v>44.24054366</v>
      </c>
      <c r="AC296" s="37">
        <f t="shared" si="19"/>
        <v>-495.2921328</v>
      </c>
      <c r="AD296" s="37">
        <f t="shared" si="20"/>
        <v>0</v>
      </c>
      <c r="AE296" s="37" t="str">
        <f t="shared" si="21"/>
        <v/>
      </c>
      <c r="AF296" s="37" t="str">
        <f t="shared" si="22"/>
        <v/>
      </c>
      <c r="AG296" s="35"/>
      <c r="AH296" s="35"/>
      <c r="AI296" s="35"/>
      <c r="AJ296" s="35">
        <v>293.0</v>
      </c>
      <c r="AK296" s="35">
        <f t="shared" si="1"/>
        <v>0.866314215</v>
      </c>
    </row>
    <row r="297" ht="12.75" customHeight="1">
      <c r="A297" s="35"/>
      <c r="B297" s="37">
        <v>293.0</v>
      </c>
      <c r="C297" s="38">
        <f t="shared" si="2"/>
        <v>19.53655642</v>
      </c>
      <c r="D297" s="38">
        <f t="shared" si="3"/>
        <v>46.02524267</v>
      </c>
      <c r="E297" s="38">
        <f>'演算'!U297</f>
        <v>121.7315922</v>
      </c>
      <c r="F297" s="38">
        <f t="shared" si="4"/>
        <v>-121.7315922</v>
      </c>
      <c r="G297" s="38">
        <f t="shared" si="5"/>
        <v>308.8039404</v>
      </c>
      <c r="H297" s="38">
        <f t="shared" si="6"/>
        <v>513.8119255</v>
      </c>
      <c r="I297" s="39">
        <f t="shared" si="7"/>
        <v>599.4685716</v>
      </c>
      <c r="J297" s="38">
        <f t="shared" si="8"/>
        <v>-58.99388924</v>
      </c>
      <c r="K297" s="38" t="str">
        <f t="shared" si="9"/>
        <v/>
      </c>
      <c r="L297" s="38">
        <f t="shared" si="10"/>
        <v>2</v>
      </c>
      <c r="M297" s="38">
        <f t="shared" si="11"/>
        <v>301.0061108</v>
      </c>
      <c r="N297" s="39">
        <f t="shared" si="12"/>
        <v>251.0061108</v>
      </c>
      <c r="O297" s="39">
        <f t="shared" si="13"/>
        <v>-195.1074236</v>
      </c>
      <c r="P297" s="39">
        <f t="shared" si="14"/>
        <v>566.8294819</v>
      </c>
      <c r="Q297" s="38">
        <f t="shared" si="15"/>
        <v>234.4386771</v>
      </c>
      <c r="R297" s="38">
        <f t="shared" si="16"/>
        <v>-552.3029121</v>
      </c>
      <c r="S297" s="40">
        <v>293.0</v>
      </c>
      <c r="T297" s="37">
        <f t="shared" si="24"/>
        <v>8.731592195</v>
      </c>
      <c r="U297" s="37">
        <f t="shared" si="18"/>
        <v>121.7315922</v>
      </c>
      <c r="V297" s="37">
        <f t="shared" si="23"/>
        <v>1.154315585</v>
      </c>
      <c r="W297" s="37">
        <f>'入力・結果'!$I$7/V297</f>
        <v>279386.3343</v>
      </c>
      <c r="X297" s="39">
        <f>(W297/I297*10)*'入力・結果'!$I$8</f>
        <v>2796.340101</v>
      </c>
      <c r="Y297" s="38">
        <f>DEGREES(ACOS(('入力・結果'!$G$3-('入力・結果'!$G$4*COS(RADIANS(S297))))/((('入力・結果'!$G$3^2)+('入力・結果'!$G$4^2)-(2*'入力・結果'!$G$3*'入力・結果'!$G$4*COS(RADIANS(S297))))^(1/2))))</f>
        <v>77.19199203</v>
      </c>
      <c r="Z297" s="38">
        <f>DEGREES(ACOS((('入力・結果'!$G$3^2)+('入力・結果'!$G$4^2)-('入力・結果'!$G$5^2)+('入力・結果'!$G$6^2)-(2*'入力・結果'!$G$3*'入力・結果'!$G$4*COS(RADIANS(S297))))/(2*'入力・結果'!$G$6*(('入力・結果'!$G$3^2)+('入力・結果'!$G$4^2)-(2*'入力・結果'!$G$3*'入力・結果'!$G$4*(COS(RADIANS(S297)))))^(1/2))))</f>
        <v>64.39603878</v>
      </c>
      <c r="AA297" s="38">
        <f>DEGREES(ACOS(('入力・結果'!$G$4-('入力・結果'!$G$3*COS(RADIANS(S297))))/((('入力・結果'!$G$3^2)+('入力・結果'!$G$4^2)-(2*'入力・結果'!$G$3*'入力・結果'!$G$4*COS(RADIANS(S297))))^(1/2))))</f>
        <v>35.80800797</v>
      </c>
      <c r="AB297" s="38">
        <f>DEGREES(ACOS((('入力・結果'!$G$3^2)+('入力・結果'!$G$4^2)+('入力・結果'!$G$5^2)-('入力・結果'!$G$6^2)-(2*'入力・結果'!$G$3*'入力・結果'!$G$4*COS(RADIANS(S297))))/(2*'入力・結果'!$G$5*(('入力・結果'!$G$3^2)+('入力・結果'!$G$4^2)-(2*'入力・結果'!$G$3*'入力・結果'!$G$4*(COS(RADIANS(S297)))))^(1/2))))</f>
        <v>44.53960017</v>
      </c>
      <c r="AC297" s="37">
        <f t="shared" si="19"/>
        <v>-503.6598991</v>
      </c>
      <c r="AD297" s="37">
        <f t="shared" si="20"/>
        <v>0</v>
      </c>
      <c r="AE297" s="37" t="str">
        <f t="shared" si="21"/>
        <v/>
      </c>
      <c r="AF297" s="37" t="str">
        <f t="shared" si="22"/>
        <v/>
      </c>
      <c r="AG297" s="35"/>
      <c r="AH297" s="35"/>
      <c r="AI297" s="35"/>
      <c r="AJ297" s="35">
        <v>294.0</v>
      </c>
      <c r="AK297" s="35">
        <f t="shared" si="1"/>
        <v>0.8636080151</v>
      </c>
    </row>
    <row r="298" ht="12.75" customHeight="1">
      <c r="A298" s="35"/>
      <c r="B298" s="37">
        <v>294.0</v>
      </c>
      <c r="C298" s="38">
        <f t="shared" si="2"/>
        <v>20.33683215</v>
      </c>
      <c r="D298" s="38">
        <f t="shared" si="3"/>
        <v>45.67727288</v>
      </c>
      <c r="E298" s="38">
        <f>'演算'!U298</f>
        <v>122.8895249</v>
      </c>
      <c r="F298" s="38">
        <f t="shared" si="4"/>
        <v>-122.8895249</v>
      </c>
      <c r="G298" s="38">
        <f t="shared" si="5"/>
        <v>318.998348</v>
      </c>
      <c r="H298" s="38">
        <f t="shared" si="6"/>
        <v>507.5228087</v>
      </c>
      <c r="I298" s="39">
        <f t="shared" si="7"/>
        <v>599.4492033</v>
      </c>
      <c r="J298" s="38">
        <f t="shared" si="8"/>
        <v>-57.84899871</v>
      </c>
      <c r="K298" s="38" t="str">
        <f t="shared" si="9"/>
        <v/>
      </c>
      <c r="L298" s="38">
        <f t="shared" si="10"/>
        <v>2</v>
      </c>
      <c r="M298" s="38">
        <f t="shared" si="11"/>
        <v>302.1510013</v>
      </c>
      <c r="N298" s="39">
        <f t="shared" si="12"/>
        <v>252.1510013</v>
      </c>
      <c r="O298" s="39">
        <f t="shared" si="13"/>
        <v>-183.7368417</v>
      </c>
      <c r="P298" s="39">
        <f t="shared" si="14"/>
        <v>570.5962849</v>
      </c>
      <c r="Q298" s="38">
        <f t="shared" si="15"/>
        <v>244.0419858</v>
      </c>
      <c r="R298" s="38">
        <f t="shared" si="16"/>
        <v>-548.1272746</v>
      </c>
      <c r="S298" s="40">
        <v>294.0</v>
      </c>
      <c r="T298" s="37">
        <f t="shared" si="24"/>
        <v>8.889524941</v>
      </c>
      <c r="U298" s="37">
        <f t="shared" si="18"/>
        <v>122.8895249</v>
      </c>
      <c r="V298" s="37">
        <f t="shared" si="23"/>
        <v>1.157932746</v>
      </c>
      <c r="W298" s="37">
        <f>'入力・結果'!$I$7/V298</f>
        <v>278513.5849</v>
      </c>
      <c r="X298" s="39">
        <f>(W298/I298*10)*'入力・結果'!$I$8</f>
        <v>2787.694937</v>
      </c>
      <c r="Y298" s="38">
        <f>DEGREES(ACOS(('入力・結果'!$G$3-('入力・結果'!$G$4*COS(RADIANS(S298))))/((('入力・結果'!$G$3^2)+('入力・結果'!$G$4^2)-(2*'入力・結果'!$G$3*'入力・結果'!$G$4*COS(RADIANS(S298))))^(1/2))))</f>
        <v>78.05502101</v>
      </c>
      <c r="Z298" s="38">
        <f>DEGREES(ACOS((('入力・結果'!$G$3^2)+('入力・結果'!$G$4^2)-('入力・結果'!$G$5^2)+('入力・結果'!$G$6^2)-(2*'入力・結果'!$G$3*'入力・結果'!$G$4*COS(RADIANS(S298))))/(2*'入力・結果'!$G$6*(('入力・結果'!$G$3^2)+('入力・結果'!$G$4^2)-(2*'入力・結果'!$G$3*'入力・結果'!$G$4*(COS(RADIANS(S298)))))^(1/2))))</f>
        <v>65.02708981</v>
      </c>
      <c r="AA298" s="38">
        <f>DEGREES(ACOS(('入力・結果'!$G$4-('入力・結果'!$G$3*COS(RADIANS(S298))))/((('入力・結果'!$G$3^2)+('入力・結果'!$G$4^2)-(2*'入力・結果'!$G$3*'入力・結果'!$G$4*COS(RADIANS(S298))))^(1/2))))</f>
        <v>35.94497899</v>
      </c>
      <c r="AB298" s="38">
        <f>DEGREES(ACOS((('入力・結果'!$G$3^2)+('入力・結果'!$G$4^2)+('入力・結果'!$G$5^2)-('入力・結果'!$G$6^2)-(2*'入力・結果'!$G$3*'入力・結果'!$G$4*COS(RADIANS(S298))))/(2*'入力・結果'!$G$5*(('入力・結果'!$G$3^2)+('入力・結果'!$G$4^2)-(2*'入力・結果'!$G$3*'入力・結果'!$G$4*(COS(RADIANS(S298)))))^(1/2))))</f>
        <v>44.83450393</v>
      </c>
      <c r="AC298" s="37">
        <f t="shared" si="19"/>
        <v>-512.305063</v>
      </c>
      <c r="AD298" s="37">
        <f t="shared" si="20"/>
        <v>0</v>
      </c>
      <c r="AE298" s="37" t="str">
        <f t="shared" si="21"/>
        <v/>
      </c>
      <c r="AF298" s="37" t="str">
        <f t="shared" si="22"/>
        <v/>
      </c>
      <c r="AG298" s="35"/>
      <c r="AH298" s="35"/>
      <c r="AI298" s="35"/>
      <c r="AJ298" s="35">
        <v>295.0</v>
      </c>
      <c r="AK298" s="35">
        <f t="shared" si="1"/>
        <v>0.8608116162</v>
      </c>
    </row>
    <row r="299" ht="12.75" customHeight="1">
      <c r="A299" s="35"/>
      <c r="B299" s="37">
        <v>295.0</v>
      </c>
      <c r="C299" s="38">
        <f t="shared" si="2"/>
        <v>21.13091309</v>
      </c>
      <c r="D299" s="38">
        <f t="shared" si="3"/>
        <v>45.31538935</v>
      </c>
      <c r="E299" s="38">
        <f>'演算'!U299</f>
        <v>124.0512193</v>
      </c>
      <c r="F299" s="38">
        <f t="shared" si="4"/>
        <v>-124.0512193</v>
      </c>
      <c r="G299" s="38">
        <f t="shared" si="5"/>
        <v>329.0945</v>
      </c>
      <c r="H299" s="38">
        <f t="shared" si="6"/>
        <v>501.0109337</v>
      </c>
      <c r="I299" s="39">
        <f t="shared" si="7"/>
        <v>599.4290163</v>
      </c>
      <c r="J299" s="38">
        <f t="shared" si="8"/>
        <v>-56.70065275</v>
      </c>
      <c r="K299" s="38" t="str">
        <f t="shared" si="9"/>
        <v/>
      </c>
      <c r="L299" s="38">
        <f t="shared" si="10"/>
        <v>2</v>
      </c>
      <c r="M299" s="38">
        <f t="shared" si="11"/>
        <v>303.2993473</v>
      </c>
      <c r="N299" s="39">
        <f t="shared" si="12"/>
        <v>253.2993473</v>
      </c>
      <c r="O299" s="39">
        <f t="shared" si="13"/>
        <v>-172.2587747</v>
      </c>
      <c r="P299" s="39">
        <f t="shared" si="14"/>
        <v>574.1446335</v>
      </c>
      <c r="Q299" s="38">
        <f t="shared" si="15"/>
        <v>253.570957</v>
      </c>
      <c r="R299" s="38">
        <f t="shared" si="16"/>
        <v>-543.7846722</v>
      </c>
      <c r="S299" s="40">
        <v>295.0</v>
      </c>
      <c r="T299" s="37">
        <f t="shared" si="24"/>
        <v>9.051219301</v>
      </c>
      <c r="U299" s="37">
        <f t="shared" si="18"/>
        <v>124.0512193</v>
      </c>
      <c r="V299" s="37">
        <f t="shared" si="23"/>
        <v>1.161694361</v>
      </c>
      <c r="W299" s="37">
        <f>'入力・結果'!$I$7/V299</f>
        <v>277611.7462</v>
      </c>
      <c r="X299" s="39">
        <f>(W299/I299*10)*'入力・結果'!$I$8</f>
        <v>2778.761842</v>
      </c>
      <c r="Y299" s="38">
        <f>DEGREES(ACOS(('入力・結果'!$G$3-('入力・結果'!$G$4*COS(RADIANS(S299))))/((('入力・結果'!$G$3^2)+('入力・結果'!$G$4^2)-(2*'入力・結果'!$G$3*'入力・結果'!$G$4*COS(RADIANS(S299))))^(1/2))))</f>
        <v>78.92610464</v>
      </c>
      <c r="Z299" s="38">
        <f>DEGREES(ACOS((('入力・結果'!$G$3^2)+('入力・結果'!$G$4^2)-('入力・結果'!$G$5^2)+('入力・結果'!$G$6^2)-(2*'入力・結果'!$G$3*'入力・結果'!$G$4*COS(RADIANS(S299))))/(2*'入力・結果'!$G$6*(('入力・結果'!$G$3^2)+('入力・結果'!$G$4^2)-(2*'入力・結果'!$G$3*'入力・結果'!$G$4*(COS(RADIANS(S299)))))^(1/2))))</f>
        <v>65.66064045</v>
      </c>
      <c r="AA299" s="38">
        <f>DEGREES(ACOS(('入力・結果'!$G$4-('入力・結果'!$G$3*COS(RADIANS(S299))))/((('入力・結果'!$G$3^2)+('入力・結果'!$G$4^2)-(2*'入力・結果'!$G$3*'入力・結果'!$G$4*COS(RADIANS(S299))))^(1/2))))</f>
        <v>36.07389536</v>
      </c>
      <c r="AB299" s="38">
        <f>DEGREES(ACOS((('入力・結果'!$G$3^2)+('入力・結果'!$G$4^2)+('入力・結果'!$G$5^2)-('入力・結果'!$G$6^2)-(2*'入力・結果'!$G$3*'入力・結果'!$G$4*COS(RADIANS(S299))))/(2*'入力・結果'!$G$5*(('入力・結果'!$G$3^2)+('入力・結果'!$G$4^2)-(2*'入力・結果'!$G$3*'入力・結果'!$G$4*(COS(RADIANS(S299)))))^(1/2))))</f>
        <v>45.12511467</v>
      </c>
      <c r="AC299" s="37">
        <f t="shared" si="19"/>
        <v>-521.2381584</v>
      </c>
      <c r="AD299" s="37">
        <f t="shared" si="20"/>
        <v>0</v>
      </c>
      <c r="AE299" s="37" t="str">
        <f t="shared" si="21"/>
        <v/>
      </c>
      <c r="AF299" s="37" t="str">
        <f t="shared" si="22"/>
        <v/>
      </c>
      <c r="AG299" s="35"/>
      <c r="AH299" s="35"/>
      <c r="AI299" s="35"/>
      <c r="AJ299" s="35">
        <v>296.0</v>
      </c>
      <c r="AK299" s="35">
        <f t="shared" si="1"/>
        <v>0.857921585</v>
      </c>
    </row>
    <row r="300" ht="12.75" customHeight="1">
      <c r="A300" s="35"/>
      <c r="B300" s="37">
        <v>296.0</v>
      </c>
      <c r="C300" s="38">
        <f t="shared" si="2"/>
        <v>21.91855734</v>
      </c>
      <c r="D300" s="38">
        <f t="shared" si="3"/>
        <v>44.93970231</v>
      </c>
      <c r="E300" s="38">
        <f>'演算'!U300</f>
        <v>125.216827</v>
      </c>
      <c r="F300" s="38">
        <f t="shared" si="4"/>
        <v>-125.216827</v>
      </c>
      <c r="G300" s="38">
        <f t="shared" si="5"/>
        <v>339.088309</v>
      </c>
      <c r="H300" s="38">
        <f t="shared" si="6"/>
        <v>494.2762673</v>
      </c>
      <c r="I300" s="39">
        <f t="shared" si="7"/>
        <v>599.407966</v>
      </c>
      <c r="J300" s="38">
        <f t="shared" si="8"/>
        <v>-55.54871175</v>
      </c>
      <c r="K300" s="38" t="str">
        <f t="shared" si="9"/>
        <v/>
      </c>
      <c r="L300" s="38">
        <f t="shared" si="10"/>
        <v>2</v>
      </c>
      <c r="M300" s="38">
        <f t="shared" si="11"/>
        <v>304.4512882</v>
      </c>
      <c r="N300" s="39">
        <f t="shared" si="12"/>
        <v>254.4512882</v>
      </c>
      <c r="O300" s="39">
        <f t="shared" si="13"/>
        <v>-160.6758243</v>
      </c>
      <c r="P300" s="39">
        <f t="shared" si="14"/>
        <v>577.4713752</v>
      </c>
      <c r="Q300" s="38">
        <f t="shared" si="15"/>
        <v>263.0226881</v>
      </c>
      <c r="R300" s="38">
        <f t="shared" si="16"/>
        <v>-539.2764278</v>
      </c>
      <c r="S300" s="40">
        <v>296.0</v>
      </c>
      <c r="T300" s="37">
        <f t="shared" si="24"/>
        <v>9.216826995</v>
      </c>
      <c r="U300" s="37">
        <f t="shared" si="18"/>
        <v>125.216827</v>
      </c>
      <c r="V300" s="37">
        <f t="shared" si="23"/>
        <v>1.165607694</v>
      </c>
      <c r="W300" s="37">
        <f>'入力・結果'!$I$7/V300</f>
        <v>276679.7112</v>
      </c>
      <c r="X300" s="39">
        <f>(W300/I300*10)*'入力・結果'!$I$8</f>
        <v>2769.529871</v>
      </c>
      <c r="Y300" s="38">
        <f>DEGREES(ACOS(('入力・結果'!$G$3-('入力・結果'!$G$4*COS(RADIANS(S300))))/((('入力・結果'!$G$3^2)+('入力・結果'!$G$4^2)-(2*'入力・結果'!$G$3*'入力・結果'!$G$4*COS(RADIANS(S300))))^(1/2))))</f>
        <v>79.80554021</v>
      </c>
      <c r="Z300" s="38">
        <f>DEGREES(ACOS((('入力・結果'!$G$3^2)+('入力・結果'!$G$4^2)-('入力・結果'!$G$5^2)+('入力・結果'!$G$6^2)-(2*'入力・結果'!$G$3*'入力・結果'!$G$4*COS(RADIANS(S300))))/(2*'入力・結果'!$G$6*(('入力・結果'!$G$3^2)+('入力・結果'!$G$4^2)-(2*'入力・結果'!$G$3*'入力・結果'!$G$4*(COS(RADIANS(S300)))))^(1/2))))</f>
        <v>66.2967624</v>
      </c>
      <c r="AA300" s="38">
        <f>DEGREES(ACOS(('入力・結果'!$G$4-('入力・結果'!$G$3*COS(RADIANS(S300))))/((('入力・結果'!$G$3^2)+('入力・結果'!$G$4^2)-(2*'入力・結果'!$G$3*'入力・結果'!$G$4*COS(RADIANS(S300))))^(1/2))))</f>
        <v>36.19445979</v>
      </c>
      <c r="AB300" s="38">
        <f>DEGREES(ACOS((('入力・結果'!$G$3^2)+('入力・結果'!$G$4^2)+('入力・結果'!$G$5^2)-('入力・結果'!$G$6^2)-(2*'入力・結果'!$G$3*'入力・結果'!$G$4*COS(RADIANS(S300))))/(2*'入力・結果'!$G$5*(('入力・結果'!$G$3^2)+('入力・結果'!$G$4^2)-(2*'入力・結果'!$G$3*'入力・結果'!$G$4*(COS(RADIANS(S300)))))^(1/2))))</f>
        <v>45.41128679</v>
      </c>
      <c r="AC300" s="37">
        <f t="shared" si="19"/>
        <v>-530.4701286</v>
      </c>
      <c r="AD300" s="37">
        <f t="shared" si="20"/>
        <v>0</v>
      </c>
      <c r="AE300" s="37" t="str">
        <f t="shared" si="21"/>
        <v/>
      </c>
      <c r="AF300" s="37" t="str">
        <f t="shared" si="22"/>
        <v/>
      </c>
      <c r="AG300" s="35"/>
      <c r="AH300" s="35"/>
      <c r="AI300" s="35"/>
      <c r="AJ300" s="35">
        <v>297.0</v>
      </c>
      <c r="AK300" s="35">
        <f t="shared" si="1"/>
        <v>0.8549343562</v>
      </c>
    </row>
    <row r="301" ht="12.75" customHeight="1">
      <c r="A301" s="35"/>
      <c r="B301" s="37">
        <v>297.0</v>
      </c>
      <c r="C301" s="38">
        <f t="shared" si="2"/>
        <v>22.69952499</v>
      </c>
      <c r="D301" s="38">
        <f t="shared" si="3"/>
        <v>44.55032621</v>
      </c>
      <c r="E301" s="38">
        <f>'演算'!U301</f>
        <v>126.3865074</v>
      </c>
      <c r="F301" s="38">
        <f t="shared" si="4"/>
        <v>-126.3865074</v>
      </c>
      <c r="G301" s="38">
        <f t="shared" si="5"/>
        <v>348.9756543</v>
      </c>
      <c r="H301" s="38">
        <f t="shared" si="6"/>
        <v>487.3187617</v>
      </c>
      <c r="I301" s="39">
        <f t="shared" si="7"/>
        <v>599.3860048</v>
      </c>
      <c r="J301" s="38">
        <f t="shared" si="8"/>
        <v>-54.39302903</v>
      </c>
      <c r="K301" s="38" t="str">
        <f t="shared" si="9"/>
        <v/>
      </c>
      <c r="L301" s="38">
        <f t="shared" si="10"/>
        <v>2</v>
      </c>
      <c r="M301" s="38">
        <f t="shared" si="11"/>
        <v>305.606971</v>
      </c>
      <c r="N301" s="39">
        <f t="shared" si="12"/>
        <v>255.606971</v>
      </c>
      <c r="O301" s="39">
        <f t="shared" si="13"/>
        <v>-148.9906027</v>
      </c>
      <c r="P301" s="39">
        <f t="shared" si="14"/>
        <v>580.5733227</v>
      </c>
      <c r="Q301" s="38">
        <f t="shared" si="15"/>
        <v>272.3942998</v>
      </c>
      <c r="R301" s="38">
        <f t="shared" si="16"/>
        <v>-534.6039145</v>
      </c>
      <c r="S301" s="40">
        <v>297.0</v>
      </c>
      <c r="T301" s="37">
        <f t="shared" si="24"/>
        <v>9.386507442</v>
      </c>
      <c r="U301" s="37">
        <f t="shared" si="18"/>
        <v>126.3865074</v>
      </c>
      <c r="V301" s="37">
        <f t="shared" si="23"/>
        <v>1.169680447</v>
      </c>
      <c r="W301" s="37">
        <f>'入力・結果'!$I$7/V301</f>
        <v>275716.3299</v>
      </c>
      <c r="X301" s="39">
        <f>(W301/I301*10)*'入力・結果'!$I$8</f>
        <v>2759.987664</v>
      </c>
      <c r="Y301" s="38">
        <f>DEGREES(ACOS(('入力・結果'!$G$3-('入力・結果'!$G$4*COS(RADIANS(S301))))/((('入力・結果'!$G$3^2)+('入力・結果'!$G$4^2)-(2*'入力・結果'!$G$3*'入力・結果'!$G$4*COS(RADIANS(S301))))^(1/2))))</f>
        <v>80.69363825</v>
      </c>
      <c r="Z301" s="38">
        <f>DEGREES(ACOS((('入力・結果'!$G$3^2)+('入力・結果'!$G$4^2)-('入力・結果'!$G$5^2)+('入力・結果'!$G$6^2)-(2*'入力・結果'!$G$3*'入力・結果'!$G$4*COS(RADIANS(S301))))/(2*'入力・結果'!$G$6*(('入力・結果'!$G$3^2)+('入力・結果'!$G$4^2)-(2*'入力・結果'!$G$3*'入力・結果'!$G$4*(COS(RADIANS(S301)))))^(1/2))))</f>
        <v>66.93552899</v>
      </c>
      <c r="AA301" s="38">
        <f>DEGREES(ACOS(('入力・結果'!$G$4-('入力・結果'!$G$3*COS(RADIANS(S301))))/((('入力・結果'!$G$3^2)+('入力・結果'!$G$4^2)-(2*'入力・結果'!$G$3*'入力・結果'!$G$4*COS(RADIANS(S301))))^(1/2))))</f>
        <v>36.30636175</v>
      </c>
      <c r="AB301" s="38">
        <f>DEGREES(ACOS((('入力・結果'!$G$3^2)+('入力・結果'!$G$4^2)+('入力・結果'!$G$5^2)-('入力・結果'!$G$6^2)-(2*'入力・結果'!$G$3*'入力・結果'!$G$4*COS(RADIANS(S301))))/(2*'入力・結果'!$G$5*(('入力・結果'!$G$3^2)+('入力・結果'!$G$4^2)-(2*'入力・結果'!$G$3*'入力・結果'!$G$4*(COS(RADIANS(S301)))))^(1/2))))</f>
        <v>45.69286919</v>
      </c>
      <c r="AC301" s="37">
        <f t="shared" si="19"/>
        <v>-540.0123359</v>
      </c>
      <c r="AD301" s="37">
        <f t="shared" si="20"/>
        <v>0</v>
      </c>
      <c r="AE301" s="37" t="str">
        <f t="shared" si="21"/>
        <v/>
      </c>
      <c r="AF301" s="37" t="str">
        <f t="shared" si="22"/>
        <v/>
      </c>
      <c r="AG301" s="35"/>
      <c r="AH301" s="35"/>
      <c r="AI301" s="35"/>
      <c r="AJ301" s="35">
        <v>298.0</v>
      </c>
      <c r="AK301" s="35">
        <f t="shared" si="1"/>
        <v>0.8518462295</v>
      </c>
    </row>
    <row r="302" ht="12.75" customHeight="1">
      <c r="A302" s="35"/>
      <c r="B302" s="37">
        <v>298.0</v>
      </c>
      <c r="C302" s="38">
        <f t="shared" si="2"/>
        <v>23.47357814</v>
      </c>
      <c r="D302" s="38">
        <f t="shared" si="3"/>
        <v>44.14737964</v>
      </c>
      <c r="E302" s="38">
        <f>'演算'!U302</f>
        <v>127.5604282</v>
      </c>
      <c r="F302" s="38">
        <f t="shared" si="4"/>
        <v>-127.5604282</v>
      </c>
      <c r="G302" s="38">
        <f t="shared" si="5"/>
        <v>358.7523778</v>
      </c>
      <c r="H302" s="38">
        <f t="shared" si="6"/>
        <v>480.1383503</v>
      </c>
      <c r="I302" s="39">
        <f t="shared" si="7"/>
        <v>599.363082</v>
      </c>
      <c r="J302" s="38">
        <f t="shared" si="8"/>
        <v>-53.23345032</v>
      </c>
      <c r="K302" s="38" t="str">
        <f t="shared" si="9"/>
        <v/>
      </c>
      <c r="L302" s="38">
        <f t="shared" si="10"/>
        <v>2</v>
      </c>
      <c r="M302" s="38">
        <f t="shared" si="11"/>
        <v>306.7665497</v>
      </c>
      <c r="N302" s="39">
        <f t="shared" si="12"/>
        <v>256.7665497</v>
      </c>
      <c r="O302" s="39">
        <f t="shared" si="13"/>
        <v>-137.2057318</v>
      </c>
      <c r="P302" s="39">
        <f t="shared" si="14"/>
        <v>583.447248</v>
      </c>
      <c r="Q302" s="38">
        <f t="shared" si="15"/>
        <v>281.6829377</v>
      </c>
      <c r="R302" s="38">
        <f t="shared" si="16"/>
        <v>-529.7685557</v>
      </c>
      <c r="S302" s="40">
        <v>298.0</v>
      </c>
      <c r="T302" s="37">
        <f t="shared" si="24"/>
        <v>9.560428233</v>
      </c>
      <c r="U302" s="37">
        <f t="shared" si="18"/>
        <v>127.5604282</v>
      </c>
      <c r="V302" s="37">
        <f t="shared" si="23"/>
        <v>1.173920792</v>
      </c>
      <c r="W302" s="37">
        <f>'入力・結果'!$I$7/V302</f>
        <v>274720.409</v>
      </c>
      <c r="X302" s="39">
        <f>(W302/I302*10)*'入力・結果'!$I$8</f>
        <v>2750.123429</v>
      </c>
      <c r="Y302" s="38">
        <f>DEGREES(ACOS(('入力・結果'!$G$3-('入力・結果'!$G$4*COS(RADIANS(S302))))/((('入力・結果'!$G$3^2)+('入力・結果'!$G$4^2)-(2*'入力・結果'!$G$3*'入力・結果'!$G$4*COS(RADIANS(S302))))^(1/2))))</f>
        <v>81.59072315</v>
      </c>
      <c r="Z302" s="38">
        <f>DEGREES(ACOS((('入力・結果'!$G$3^2)+('入力・結果'!$G$4^2)-('入力・結果'!$G$5^2)+('入力・結果'!$G$6^2)-(2*'入力・結果'!$G$3*'入力・結果'!$G$4*COS(RADIANS(S302))))/(2*'入力・結果'!$G$6*(('入力・結果'!$G$3^2)+('入力・結果'!$G$4^2)-(2*'入力・結果'!$G$3*'入力・結果'!$G$4*(COS(RADIANS(S302)))))^(1/2))))</f>
        <v>67.57701511</v>
      </c>
      <c r="AA302" s="38">
        <f>DEGREES(ACOS(('入力・結果'!$G$4-('入力・結果'!$G$3*COS(RADIANS(S302))))/((('入力・結果'!$G$3^2)+('入力・結果'!$G$4^2)-(2*'入力・結果'!$G$3*'入力・結果'!$G$4*COS(RADIANS(S302))))^(1/2))))</f>
        <v>36.40927685</v>
      </c>
      <c r="AB302" s="38">
        <f>DEGREES(ACOS((('入力・結果'!$G$3^2)+('入力・結果'!$G$4^2)+('入力・結果'!$G$5^2)-('入力・結果'!$G$6^2)-(2*'入力・結果'!$G$3*'入力・結果'!$G$4*COS(RADIANS(S302))))/(2*'入力・結果'!$G$5*(('入力・結果'!$G$3^2)+('入力・結果'!$G$4^2)-(2*'入力・結果'!$G$3*'入力・結果'!$G$4*(COS(RADIANS(S302)))))^(1/2))))</f>
        <v>45.96970509</v>
      </c>
      <c r="AC302" s="37">
        <f t="shared" si="19"/>
        <v>-549.8765711</v>
      </c>
      <c r="AD302" s="37">
        <f t="shared" si="20"/>
        <v>0</v>
      </c>
      <c r="AE302" s="37" t="str">
        <f t="shared" si="21"/>
        <v/>
      </c>
      <c r="AF302" s="37" t="str">
        <f t="shared" si="22"/>
        <v/>
      </c>
      <c r="AG302" s="35"/>
      <c r="AH302" s="35"/>
      <c r="AI302" s="35"/>
      <c r="AJ302" s="35">
        <v>299.0</v>
      </c>
      <c r="AK302" s="35">
        <f t="shared" si="1"/>
        <v>0.848653367</v>
      </c>
    </row>
    <row r="303" ht="12.75" customHeight="1">
      <c r="A303" s="35"/>
      <c r="B303" s="37">
        <v>299.0</v>
      </c>
      <c r="C303" s="38">
        <f t="shared" si="2"/>
        <v>24.24048101</v>
      </c>
      <c r="D303" s="38">
        <f t="shared" si="3"/>
        <v>43.73098536</v>
      </c>
      <c r="E303" s="38">
        <f>'演算'!U303</f>
        <v>128.7387656</v>
      </c>
      <c r="F303" s="38">
        <f t="shared" si="4"/>
        <v>-128.7387656</v>
      </c>
      <c r="G303" s="38">
        <f t="shared" si="5"/>
        <v>368.4142796</v>
      </c>
      <c r="H303" s="38">
        <f t="shared" si="6"/>
        <v>472.7349438</v>
      </c>
      <c r="I303" s="39">
        <f t="shared" si="7"/>
        <v>599.3391431</v>
      </c>
      <c r="J303" s="38">
        <f t="shared" si="8"/>
        <v>-52.0698134</v>
      </c>
      <c r="K303" s="38" t="str">
        <f t="shared" si="9"/>
        <v/>
      </c>
      <c r="L303" s="38">
        <f t="shared" si="10"/>
        <v>2</v>
      </c>
      <c r="M303" s="38">
        <f t="shared" si="11"/>
        <v>307.9301866</v>
      </c>
      <c r="N303" s="39">
        <f t="shared" si="12"/>
        <v>257.9301866</v>
      </c>
      <c r="O303" s="39">
        <f t="shared" si="13"/>
        <v>-125.3238426</v>
      </c>
      <c r="P303" s="39">
        <f t="shared" si="14"/>
        <v>586.0898762</v>
      </c>
      <c r="Q303" s="38">
        <f t="shared" si="15"/>
        <v>290.8857721</v>
      </c>
      <c r="R303" s="38">
        <f t="shared" si="16"/>
        <v>-524.7718243</v>
      </c>
      <c r="S303" s="40">
        <v>299.0</v>
      </c>
      <c r="T303" s="37">
        <f t="shared" si="24"/>
        <v>9.738765631</v>
      </c>
      <c r="U303" s="37">
        <f t="shared" si="18"/>
        <v>128.7387656</v>
      </c>
      <c r="V303" s="37">
        <f t="shared" si="23"/>
        <v>1.178337398</v>
      </c>
      <c r="W303" s="37">
        <f>'入力・結果'!$I$7/V303</f>
        <v>273690.7109</v>
      </c>
      <c r="X303" s="39">
        <f>(W303/I303*10)*'入力・結果'!$I$8</f>
        <v>2739.924939</v>
      </c>
      <c r="Y303" s="38">
        <f>DEGREES(ACOS(('入力・結果'!$G$3-('入力・結果'!$G$4*COS(RADIANS(S303))))/((('入力・結果'!$G$3^2)+('入力・結果'!$G$4^2)-(2*'入力・結果'!$G$3*'入力・結果'!$G$4*COS(RADIANS(S303))))^(1/2))))</f>
        <v>82.49713382</v>
      </c>
      <c r="Z303" s="38">
        <f>DEGREES(ACOS((('入力・結果'!$G$3^2)+('入力・結果'!$G$4^2)-('入力・結果'!$G$5^2)+('入力・結果'!$G$6^2)-(2*'入力・結果'!$G$3*'入力・結果'!$G$4*COS(RADIANS(S303))))/(2*'入力・結果'!$G$6*(('入力・結果'!$G$3^2)+('入力・結果'!$G$4^2)-(2*'入力・結果'!$G$3*'入力・結果'!$G$4*(COS(RADIANS(S303)))))^(1/2))))</f>
        <v>68.22129714</v>
      </c>
      <c r="AA303" s="38">
        <f>DEGREES(ACOS(('入力・結果'!$G$4-('入力・結果'!$G$3*COS(RADIANS(S303))))/((('入力・結果'!$G$3^2)+('入力・結果'!$G$4^2)-(2*'入力・結果'!$G$3*'入力・結果'!$G$4*COS(RADIANS(S303))))^(1/2))))</f>
        <v>36.50286618</v>
      </c>
      <c r="AB303" s="38">
        <f>DEGREES(ACOS((('入力・結果'!$G$3^2)+('入力・結果'!$G$4^2)+('入力・結果'!$G$5^2)-('入力・結果'!$G$6^2)-(2*'入力・結果'!$G$3*'入力・結果'!$G$4*COS(RADIANS(S303))))/(2*'入力・結果'!$G$5*(('入力・結果'!$G$3^2)+('入力・結果'!$G$4^2)-(2*'入力・結果'!$G$3*'入力・結果'!$G$4*(COS(RADIANS(S303)))))^(1/2))))</f>
        <v>46.24163181</v>
      </c>
      <c r="AC303" s="37">
        <f t="shared" si="19"/>
        <v>-560.0750611</v>
      </c>
      <c r="AD303" s="37">
        <f t="shared" si="20"/>
        <v>0</v>
      </c>
      <c r="AE303" s="37" t="str">
        <f t="shared" si="21"/>
        <v/>
      </c>
      <c r="AF303" s="37" t="str">
        <f t="shared" si="22"/>
        <v/>
      </c>
      <c r="AG303" s="35"/>
      <c r="AH303" s="35"/>
      <c r="AI303" s="35"/>
      <c r="AJ303" s="35">
        <v>300.0</v>
      </c>
      <c r="AK303" s="35">
        <f t="shared" si="1"/>
        <v>0.8453517912</v>
      </c>
    </row>
    <row r="304" ht="12.75" customHeight="1">
      <c r="A304" s="35"/>
      <c r="B304" s="37">
        <v>300.0</v>
      </c>
      <c r="C304" s="38">
        <f t="shared" si="2"/>
        <v>25</v>
      </c>
      <c r="D304" s="38">
        <f t="shared" si="3"/>
        <v>43.30127019</v>
      </c>
      <c r="E304" s="38">
        <f>'演算'!U304</f>
        <v>129.9217051</v>
      </c>
      <c r="F304" s="38">
        <f t="shared" si="4"/>
        <v>-129.9217051</v>
      </c>
      <c r="G304" s="38">
        <f t="shared" si="5"/>
        <v>377.957114</v>
      </c>
      <c r="H304" s="38">
        <f t="shared" si="6"/>
        <v>465.1084248</v>
      </c>
      <c r="I304" s="39">
        <f t="shared" si="7"/>
        <v>599.3141304</v>
      </c>
      <c r="J304" s="38">
        <f t="shared" si="8"/>
        <v>-50.90194752</v>
      </c>
      <c r="K304" s="38" t="str">
        <f t="shared" si="9"/>
        <v/>
      </c>
      <c r="L304" s="38">
        <f t="shared" si="10"/>
        <v>2</v>
      </c>
      <c r="M304" s="38">
        <f t="shared" si="11"/>
        <v>309.0980525</v>
      </c>
      <c r="N304" s="39">
        <f t="shared" si="12"/>
        <v>259.0980525</v>
      </c>
      <c r="O304" s="39">
        <f t="shared" si="13"/>
        <v>-113.3475744</v>
      </c>
      <c r="P304" s="39">
        <f t="shared" si="14"/>
        <v>588.4978795</v>
      </c>
      <c r="Q304" s="38">
        <f t="shared" si="15"/>
        <v>300</v>
      </c>
      <c r="R304" s="38">
        <f t="shared" si="16"/>
        <v>-519.6152423</v>
      </c>
      <c r="S304" s="40">
        <v>300.0</v>
      </c>
      <c r="T304" s="37">
        <f t="shared" si="24"/>
        <v>9.921705101</v>
      </c>
      <c r="U304" s="37">
        <f t="shared" si="18"/>
        <v>129.9217051</v>
      </c>
      <c r="V304" s="37">
        <f t="shared" si="23"/>
        <v>1.18293947</v>
      </c>
      <c r="W304" s="37">
        <f>'入力・結果'!$I$7/V304</f>
        <v>272625.9526</v>
      </c>
      <c r="X304" s="39">
        <f>(W304/I304*10)*'入力・結果'!$I$8</f>
        <v>2729.379524</v>
      </c>
      <c r="Y304" s="38">
        <f>DEGREES(ACOS(('入力・結果'!$G$3-('入力・結果'!$G$4*COS(RADIANS(S304))))/((('入力・結果'!$G$3^2)+('入力・結果'!$G$4^2)-(2*'入力・結果'!$G$3*'入力・結果'!$G$4*COS(RADIANS(S304))))^(1/2))))</f>
        <v>83.41322445</v>
      </c>
      <c r="Z304" s="38">
        <f>DEGREES(ACOS((('入力・結果'!$G$3^2)+('入力・結果'!$G$4^2)-('入力・結果'!$G$5^2)+('入力・結果'!$G$6^2)-(2*'入力・結果'!$G$3*'入力・結果'!$G$4*COS(RADIANS(S304))))/(2*'入力・結果'!$G$6*(('入力・結果'!$G$3^2)+('入力・結果'!$G$4^2)-(2*'入力・結果'!$G$3*'入力・結果'!$G$4*(COS(RADIANS(S304)))))^(1/2))))</f>
        <v>68.86845287</v>
      </c>
      <c r="AA304" s="38">
        <f>DEGREES(ACOS(('入力・結果'!$G$4-('入力・結果'!$G$3*COS(RADIANS(S304))))/((('入力・結果'!$G$3^2)+('入力・結果'!$G$4^2)-(2*'入力・結果'!$G$3*'入力・結果'!$G$4*COS(RADIANS(S304))))^(1/2))))</f>
        <v>36.58677555</v>
      </c>
      <c r="AB304" s="38">
        <f>DEGREES(ACOS((('入力・結果'!$G$3^2)+('入力・結果'!$G$4^2)+('入力・結果'!$G$5^2)-('入力・結果'!$G$6^2)-(2*'入力・結果'!$G$3*'入力・結果'!$G$4*COS(RADIANS(S304))))/(2*'入力・結果'!$G$5*(('入力・結果'!$G$3^2)+('入力・結果'!$G$4^2)-(2*'入力・結果'!$G$3*'入力・結果'!$G$4*(COS(RADIANS(S304)))))^(1/2))))</f>
        <v>46.50848065</v>
      </c>
      <c r="AC304" s="37">
        <f t="shared" si="19"/>
        <v>-570.6204759</v>
      </c>
      <c r="AD304" s="37">
        <f t="shared" si="20"/>
        <v>0</v>
      </c>
      <c r="AE304" s="37" t="str">
        <f t="shared" si="21"/>
        <v/>
      </c>
      <c r="AF304" s="37" t="str">
        <f t="shared" si="22"/>
        <v/>
      </c>
      <c r="AG304" s="35"/>
      <c r="AH304" s="35"/>
      <c r="AI304" s="35"/>
      <c r="AJ304" s="35">
        <v>301.0</v>
      </c>
      <c r="AK304" s="35">
        <f t="shared" si="1"/>
        <v>0.8419373831</v>
      </c>
    </row>
    <row r="305" ht="12.75" customHeight="1">
      <c r="A305" s="35"/>
      <c r="B305" s="37">
        <v>301.0</v>
      </c>
      <c r="C305" s="38">
        <f t="shared" si="2"/>
        <v>25.75190375</v>
      </c>
      <c r="D305" s="38">
        <f t="shared" si="3"/>
        <v>42.85836504</v>
      </c>
      <c r="E305" s="38">
        <f>'演算'!U305</f>
        <v>131.1094419</v>
      </c>
      <c r="F305" s="38">
        <f t="shared" si="4"/>
        <v>-131.1094419</v>
      </c>
      <c r="G305" s="38">
        <f t="shared" si="5"/>
        <v>387.3765837</v>
      </c>
      <c r="H305" s="38">
        <f t="shared" si="6"/>
        <v>457.2586436</v>
      </c>
      <c r="I305" s="39">
        <f t="shared" si="7"/>
        <v>599.2879815</v>
      </c>
      <c r="J305" s="38">
        <f t="shared" si="8"/>
        <v>-49.72967291</v>
      </c>
      <c r="K305" s="38" t="str">
        <f t="shared" si="9"/>
        <v/>
      </c>
      <c r="L305" s="38">
        <f t="shared" si="10"/>
        <v>2</v>
      </c>
      <c r="M305" s="38">
        <f t="shared" si="11"/>
        <v>310.2703271</v>
      </c>
      <c r="N305" s="39">
        <f t="shared" si="12"/>
        <v>260.2703271</v>
      </c>
      <c r="O305" s="39">
        <f t="shared" si="13"/>
        <v>-101.2795747</v>
      </c>
      <c r="P305" s="39">
        <f t="shared" si="14"/>
        <v>590.6678698</v>
      </c>
      <c r="Q305" s="38">
        <f t="shared" si="15"/>
        <v>309.0228449</v>
      </c>
      <c r="R305" s="38">
        <f t="shared" si="16"/>
        <v>-514.3003804</v>
      </c>
      <c r="S305" s="40">
        <v>301.0</v>
      </c>
      <c r="T305" s="37">
        <f t="shared" si="24"/>
        <v>10.10944189</v>
      </c>
      <c r="U305" s="37">
        <f t="shared" si="18"/>
        <v>131.1094419</v>
      </c>
      <c r="V305" s="37">
        <f t="shared" si="23"/>
        <v>1.187736784</v>
      </c>
      <c r="W305" s="37">
        <f>'入力・結果'!$I$7/V305</f>
        <v>271524.806</v>
      </c>
      <c r="X305" s="39">
        <f>(W305/I305*10)*'入力・結果'!$I$8</f>
        <v>2718.474067</v>
      </c>
      <c r="Y305" s="38">
        <f>DEGREES(ACOS(('入力・結果'!$G$3-('入力・結果'!$G$4*COS(RADIANS(S305))))/((('入力・結果'!$G$3^2)+('入力・結果'!$G$4^2)-(2*'入力・結果'!$G$3*'入力・結果'!$G$4*COS(RADIANS(S305))))^(1/2))))</f>
        <v>84.33936522</v>
      </c>
      <c r="Z305" s="38">
        <f>DEGREES(ACOS((('入力・結果'!$G$3^2)+('入力・結果'!$G$4^2)-('入力・結果'!$G$5^2)+('入力・結果'!$G$6^2)-(2*'入力・結果'!$G$3*'入力・結果'!$G$4*COS(RADIANS(S305))))/(2*'入力・結果'!$G$6*(('入力・結果'!$G$3^2)+('入力・結果'!$G$4^2)-(2*'入力・結果'!$G$3*'入力・結果'!$G$4*(COS(RADIANS(S305)))))^(1/2))))</f>
        <v>69.51856132</v>
      </c>
      <c r="AA305" s="38">
        <f>DEGREES(ACOS(('入力・結果'!$G$4-('入力・結果'!$G$3*COS(RADIANS(S305))))/((('入力・結果'!$G$3^2)+('入力・結果'!$G$4^2)-(2*'入力・結果'!$G$3*'入力・結果'!$G$4*COS(RADIANS(S305))))^(1/2))))</f>
        <v>36.66063478</v>
      </c>
      <c r="AB305" s="38">
        <f>DEGREES(ACOS((('入力・結果'!$G$3^2)+('入力・結果'!$G$4^2)+('入力・結果'!$G$5^2)-('入力・結果'!$G$6^2)-(2*'入力・結果'!$G$3*'入力・結果'!$G$4*COS(RADIANS(S305))))/(2*'入力・結果'!$G$5*(('入力・結果'!$G$3^2)+('入力・結果'!$G$4^2)-(2*'入力・結果'!$G$3*'入力・結果'!$G$4*(COS(RADIANS(S305)))))^(1/2))))</f>
        <v>46.77007666</v>
      </c>
      <c r="AC305" s="37">
        <f t="shared" si="19"/>
        <v>-581.525933</v>
      </c>
      <c r="AD305" s="37">
        <f t="shared" si="20"/>
        <v>0</v>
      </c>
      <c r="AE305" s="37" t="str">
        <f t="shared" si="21"/>
        <v/>
      </c>
      <c r="AF305" s="37" t="str">
        <f t="shared" si="22"/>
        <v/>
      </c>
      <c r="AG305" s="35"/>
      <c r="AH305" s="35"/>
      <c r="AI305" s="35"/>
      <c r="AJ305" s="35">
        <v>302.0</v>
      </c>
      <c r="AK305" s="35">
        <f t="shared" si="1"/>
        <v>0.8384058815</v>
      </c>
    </row>
    <row r="306" ht="12.75" customHeight="1">
      <c r="A306" s="35"/>
      <c r="B306" s="37">
        <v>302.0</v>
      </c>
      <c r="C306" s="38">
        <f t="shared" si="2"/>
        <v>26.49596321</v>
      </c>
      <c r="D306" s="38">
        <f t="shared" si="3"/>
        <v>42.40240481</v>
      </c>
      <c r="E306" s="38">
        <f>'演算'!U306</f>
        <v>132.3021816</v>
      </c>
      <c r="F306" s="38">
        <f t="shared" si="4"/>
        <v>-132.3021816</v>
      </c>
      <c r="G306" s="38">
        <f t="shared" si="5"/>
        <v>396.6683347</v>
      </c>
      <c r="H306" s="38">
        <f t="shared" si="6"/>
        <v>449.1854126</v>
      </c>
      <c r="I306" s="39">
        <f t="shared" si="7"/>
        <v>599.2606299</v>
      </c>
      <c r="J306" s="38">
        <f t="shared" si="8"/>
        <v>-48.55280022</v>
      </c>
      <c r="K306" s="38" t="str">
        <f t="shared" si="9"/>
        <v/>
      </c>
      <c r="L306" s="38">
        <f t="shared" si="10"/>
        <v>2</v>
      </c>
      <c r="M306" s="38">
        <f t="shared" si="11"/>
        <v>311.4471998</v>
      </c>
      <c r="N306" s="39">
        <f t="shared" si="12"/>
        <v>261.4471998</v>
      </c>
      <c r="O306" s="39">
        <f t="shared" si="13"/>
        <v>-89.12249852</v>
      </c>
      <c r="P306" s="39">
        <f t="shared" si="14"/>
        <v>592.5963912</v>
      </c>
      <c r="Q306" s="38">
        <f t="shared" si="15"/>
        <v>317.9515585</v>
      </c>
      <c r="R306" s="38">
        <f t="shared" si="16"/>
        <v>-508.8288577</v>
      </c>
      <c r="S306" s="40">
        <v>302.0</v>
      </c>
      <c r="T306" s="37">
        <f t="shared" si="24"/>
        <v>10.30218161</v>
      </c>
      <c r="U306" s="37">
        <f t="shared" si="18"/>
        <v>132.3021816</v>
      </c>
      <c r="V306" s="37">
        <f t="shared" si="23"/>
        <v>1.192739724</v>
      </c>
      <c r="W306" s="37">
        <f>'入力・結果'!$I$7/V306</f>
        <v>270385.8968</v>
      </c>
      <c r="X306" s="39">
        <f>(W306/I306*10)*'入力・結果'!$I$8</f>
        <v>2707.194999</v>
      </c>
      <c r="Y306" s="38">
        <f>DEGREES(ACOS(('入力・結果'!$G$3-('入力・結果'!$G$4*COS(RADIANS(S306))))/((('入力・結果'!$G$3^2)+('入力・結果'!$G$4^2)-(2*'入力・結果'!$G$3*'入力・結果'!$G$4*COS(RADIANS(S306))))^(1/2))))</f>
        <v>85.27594312</v>
      </c>
      <c r="Z306" s="38">
        <f>DEGREES(ACOS((('入力・結果'!$G$3^2)+('入力・結果'!$G$4^2)-('入力・結果'!$G$5^2)+('入力・結果'!$G$6^2)-(2*'入力・結果'!$G$3*'入力・結果'!$G$4*COS(RADIANS(S306))))/(2*'入力・結果'!$G$6*(('入力・結果'!$G$3^2)+('入力・結果'!$G$4^2)-(2*'入力・結果'!$G$3*'入力・結果'!$G$4*(COS(RADIANS(S306)))))^(1/2))))</f>
        <v>70.17170261</v>
      </c>
      <c r="AA306" s="38">
        <f>DEGREES(ACOS(('入力・結果'!$G$4-('入力・結果'!$G$3*COS(RADIANS(S306))))/((('入力・結果'!$G$3^2)+('入力・結果'!$G$4^2)-(2*'入力・結果'!$G$3*'入力・結果'!$G$4*COS(RADIANS(S306))))^(1/2))))</f>
        <v>36.72405688</v>
      </c>
      <c r="AB306" s="38">
        <f>DEGREES(ACOS((('入力・結果'!$G$3^2)+('入力・結果'!$G$4^2)+('入力・結果'!$G$5^2)-('入力・結果'!$G$6^2)-(2*'入力・結果'!$G$3*'入力・結果'!$G$4*COS(RADIANS(S306))))/(2*'入力・結果'!$G$5*(('入力・結果'!$G$3^2)+('入力・結果'!$G$4^2)-(2*'入力・結果'!$G$3*'入力・結果'!$G$4*(COS(RADIANS(S306)))))^(1/2))))</f>
        <v>47.02623849</v>
      </c>
      <c r="AC306" s="37">
        <f t="shared" si="19"/>
        <v>-592.8050008</v>
      </c>
      <c r="AD306" s="37">
        <f t="shared" si="20"/>
        <v>0</v>
      </c>
      <c r="AE306" s="37" t="str">
        <f t="shared" si="21"/>
        <v/>
      </c>
      <c r="AF306" s="37" t="str">
        <f t="shared" si="22"/>
        <v/>
      </c>
      <c r="AG306" s="35"/>
      <c r="AH306" s="35"/>
      <c r="AI306" s="35"/>
      <c r="AJ306" s="35">
        <v>303.0</v>
      </c>
      <c r="AK306" s="35">
        <f t="shared" si="1"/>
        <v>0.8347528824</v>
      </c>
    </row>
    <row r="307" ht="12.75" customHeight="1">
      <c r="A307" s="35"/>
      <c r="B307" s="37">
        <v>303.0</v>
      </c>
      <c r="C307" s="38">
        <f t="shared" si="2"/>
        <v>27.23195175</v>
      </c>
      <c r="D307" s="38">
        <f t="shared" si="3"/>
        <v>41.9335284</v>
      </c>
      <c r="E307" s="38">
        <f>'演算'!U307</f>
        <v>133.5001409</v>
      </c>
      <c r="F307" s="38">
        <f t="shared" si="4"/>
        <v>-133.5001409</v>
      </c>
      <c r="G307" s="38">
        <f t="shared" si="5"/>
        <v>405.8279497</v>
      </c>
      <c r="H307" s="38">
        <f t="shared" si="6"/>
        <v>440.8885012</v>
      </c>
      <c r="I307" s="39">
        <f t="shared" si="7"/>
        <v>599.2320045</v>
      </c>
      <c r="J307" s="38">
        <f t="shared" si="8"/>
        <v>-47.37112991</v>
      </c>
      <c r="K307" s="38" t="str">
        <f t="shared" si="9"/>
        <v/>
      </c>
      <c r="L307" s="38">
        <f t="shared" si="10"/>
        <v>2</v>
      </c>
      <c r="M307" s="38">
        <f t="shared" si="11"/>
        <v>312.6288701</v>
      </c>
      <c r="N307" s="39">
        <f t="shared" si="12"/>
        <v>262.6288701</v>
      </c>
      <c r="O307" s="39">
        <f t="shared" si="13"/>
        <v>-76.87900862</v>
      </c>
      <c r="P307" s="39">
        <f t="shared" si="14"/>
        <v>594.2799116</v>
      </c>
      <c r="Q307" s="38">
        <f t="shared" si="15"/>
        <v>326.783421</v>
      </c>
      <c r="R307" s="38">
        <f t="shared" si="16"/>
        <v>-503.2023408</v>
      </c>
      <c r="S307" s="40">
        <v>303.0</v>
      </c>
      <c r="T307" s="37">
        <f t="shared" si="24"/>
        <v>10.50014094</v>
      </c>
      <c r="U307" s="37">
        <f t="shared" si="18"/>
        <v>133.5001409</v>
      </c>
      <c r="V307" s="37">
        <f t="shared" si="23"/>
        <v>1.197959326</v>
      </c>
      <c r="W307" s="37">
        <f>'入力・結果'!$I$7/V307</f>
        <v>269207.8046</v>
      </c>
      <c r="X307" s="39">
        <f>(W307/I307*10)*'入力・結果'!$I$8</f>
        <v>2695.528302</v>
      </c>
      <c r="Y307" s="38">
        <f>DEGREES(ACOS(('入力・結果'!$G$3-('入力・結果'!$G$4*COS(RADIANS(S307))))/((('入力・結果'!$G$3^2)+('入力・結果'!$G$4^2)-(2*'入力・結果'!$G$3*'入力・結果'!$G$4*COS(RADIANS(S307))))^(1/2))))</f>
        <v>86.22336272</v>
      </c>
      <c r="Z307" s="38">
        <f>DEGREES(ACOS((('入力・結果'!$G$3^2)+('入力・結果'!$G$4^2)-('入力・結果'!$G$5^2)+('入力・結果'!$G$6^2)-(2*'入力・結果'!$G$3*'入力・結果'!$G$4*COS(RADIANS(S307))))/(2*'入力・結果'!$G$6*(('入力・結果'!$G$3^2)+('入力・結果'!$G$4^2)-(2*'入力・結果'!$G$3*'入力・結果'!$G$4*(COS(RADIANS(S307)))))^(1/2))))</f>
        <v>70.82795779</v>
      </c>
      <c r="AA307" s="38">
        <f>DEGREES(ACOS(('入力・結果'!$G$4-('入力・結果'!$G$3*COS(RADIANS(S307))))/((('入力・結果'!$G$3^2)+('入力・結果'!$G$4^2)-(2*'入力・結果'!$G$3*'入力・結果'!$G$4*COS(RADIANS(S307))))^(1/2))))</f>
        <v>36.77663728</v>
      </c>
      <c r="AB307" s="38">
        <f>DEGREES(ACOS((('入力・結果'!$G$3^2)+('入力・結果'!$G$4^2)+('入力・結果'!$G$5^2)-('入力・結果'!$G$6^2)-(2*'入力・結果'!$G$3*'入力・結果'!$G$4*COS(RADIANS(S307))))/(2*'入力・結果'!$G$5*(('入力・結果'!$G$3^2)+('入力・結果'!$G$4^2)-(2*'入力・結果'!$G$3*'入力・結果'!$G$4*(COS(RADIANS(S307)))))^(1/2))))</f>
        <v>47.27677821</v>
      </c>
      <c r="AC307" s="37">
        <f t="shared" si="19"/>
        <v>-604.4716984</v>
      </c>
      <c r="AD307" s="37">
        <f t="shared" si="20"/>
        <v>0</v>
      </c>
      <c r="AE307" s="37" t="str">
        <f t="shared" si="21"/>
        <v/>
      </c>
      <c r="AF307" s="37" t="str">
        <f t="shared" si="22"/>
        <v/>
      </c>
      <c r="AG307" s="35"/>
      <c r="AH307" s="35"/>
      <c r="AI307" s="35"/>
      <c r="AJ307" s="35">
        <v>304.0</v>
      </c>
      <c r="AK307" s="35">
        <f t="shared" si="1"/>
        <v>0.8309738399</v>
      </c>
    </row>
    <row r="308" ht="12.75" customHeight="1">
      <c r="A308" s="35"/>
      <c r="B308" s="37">
        <v>304.0</v>
      </c>
      <c r="C308" s="38">
        <f t="shared" si="2"/>
        <v>27.95964517</v>
      </c>
      <c r="D308" s="38">
        <f t="shared" si="3"/>
        <v>41.45187863</v>
      </c>
      <c r="E308" s="38">
        <f>'演算'!U308</f>
        <v>134.7035483</v>
      </c>
      <c r="F308" s="38">
        <f t="shared" si="4"/>
        <v>-134.7035483</v>
      </c>
      <c r="G308" s="38">
        <f t="shared" si="5"/>
        <v>414.8509414</v>
      </c>
      <c r="H308" s="38">
        <f t="shared" si="6"/>
        <v>432.3676303</v>
      </c>
      <c r="I308" s="39">
        <f t="shared" si="7"/>
        <v>599.2020288</v>
      </c>
      <c r="J308" s="38">
        <f t="shared" si="8"/>
        <v>-46.18445158</v>
      </c>
      <c r="K308" s="38" t="str">
        <f t="shared" si="9"/>
        <v/>
      </c>
      <c r="L308" s="38">
        <f t="shared" si="10"/>
        <v>2</v>
      </c>
      <c r="M308" s="38">
        <f t="shared" si="11"/>
        <v>313.8155484</v>
      </c>
      <c r="N308" s="39">
        <f t="shared" si="12"/>
        <v>263.8155484</v>
      </c>
      <c r="O308" s="39">
        <f t="shared" si="13"/>
        <v>-64.55177562</v>
      </c>
      <c r="P308" s="39">
        <f t="shared" si="14"/>
        <v>595.714814</v>
      </c>
      <c r="Q308" s="38">
        <f t="shared" si="15"/>
        <v>335.5157421</v>
      </c>
      <c r="R308" s="38">
        <f t="shared" si="16"/>
        <v>-497.4225435</v>
      </c>
      <c r="S308" s="40">
        <v>304.0</v>
      </c>
      <c r="T308" s="37">
        <f t="shared" si="24"/>
        <v>10.70354825</v>
      </c>
      <c r="U308" s="37">
        <f t="shared" si="18"/>
        <v>134.7035483</v>
      </c>
      <c r="V308" s="37">
        <f t="shared" si="23"/>
        <v>1.203407318</v>
      </c>
      <c r="W308" s="37">
        <f>'入力・結果'!$I$7/V308</f>
        <v>267989.0634</v>
      </c>
      <c r="X308" s="39">
        <f>(W308/I308*10)*'入力・結果'!$I$8</f>
        <v>2683.459506</v>
      </c>
      <c r="Y308" s="38">
        <f>DEGREES(ACOS(('入力・結果'!$G$3-('入力・結果'!$G$4*COS(RADIANS(S308))))/((('入力・結果'!$G$3^2)+('入力・結果'!$G$4^2)-(2*'入力・結果'!$G$3*'入力・結果'!$G$4*COS(RADIANS(S308))))^(1/2))))</f>
        <v>87.18204703</v>
      </c>
      <c r="Z308" s="38">
        <f>DEGREES(ACOS((('入力・結果'!$G$3^2)+('入力・結果'!$G$4^2)-('入力・結果'!$G$5^2)+('入力・結果'!$G$6^2)-(2*'入力・結果'!$G$3*'入力・結果'!$G$4*COS(RADIANS(S308))))/(2*'入力・結果'!$G$6*(('入力・結果'!$G$3^2)+('入力・結果'!$G$4^2)-(2*'入力・結果'!$G$3*'入力・結果'!$G$4*(COS(RADIANS(S308)))))^(1/2))))</f>
        <v>71.48740857</v>
      </c>
      <c r="AA308" s="38">
        <f>DEGREES(ACOS(('入力・結果'!$G$4-('入力・結果'!$G$3*COS(RADIANS(S308))))/((('入力・結果'!$G$3^2)+('入力・結果'!$G$4^2)-(2*'入力・結果'!$G$3*'入力・結果'!$G$4*COS(RADIANS(S308))))^(1/2))))</f>
        <v>36.81795297</v>
      </c>
      <c r="AB308" s="38">
        <f>DEGREES(ACOS((('入力・結果'!$G$3^2)+('入力・結果'!$G$4^2)+('入力・結果'!$G$5^2)-('入力・結果'!$G$6^2)-(2*'入力・結果'!$G$3*'入力・結果'!$G$4*COS(RADIANS(S308))))/(2*'入力・結果'!$G$5*(('入力・結果'!$G$3^2)+('入力・結果'!$G$4^2)-(2*'入力・結果'!$G$3*'入力・結果'!$G$4*(COS(RADIANS(S308)))))^(1/2))))</f>
        <v>47.52150123</v>
      </c>
      <c r="AC308" s="37">
        <f t="shared" si="19"/>
        <v>-616.5404939</v>
      </c>
      <c r="AD308" s="37">
        <f t="shared" si="20"/>
        <v>0</v>
      </c>
      <c r="AE308" s="37" t="str">
        <f t="shared" si="21"/>
        <v/>
      </c>
      <c r="AF308" s="37" t="str">
        <f t="shared" si="22"/>
        <v/>
      </c>
      <c r="AG308" s="35"/>
      <c r="AH308" s="35"/>
      <c r="AI308" s="35"/>
      <c r="AJ308" s="35">
        <v>305.0</v>
      </c>
      <c r="AK308" s="35">
        <f t="shared" si="1"/>
        <v>0.8270640677</v>
      </c>
    </row>
    <row r="309" ht="12.75" customHeight="1">
      <c r="A309" s="35"/>
      <c r="B309" s="37">
        <v>305.0</v>
      </c>
      <c r="C309" s="38">
        <f t="shared" si="2"/>
        <v>28.67882182</v>
      </c>
      <c r="D309" s="38">
        <f t="shared" si="3"/>
        <v>40.95760221</v>
      </c>
      <c r="E309" s="38">
        <f>'演算'!U309</f>
        <v>135.9126444</v>
      </c>
      <c r="F309" s="38">
        <f t="shared" si="4"/>
        <v>-135.9126444</v>
      </c>
      <c r="G309" s="38">
        <f t="shared" si="5"/>
        <v>423.7327443</v>
      </c>
      <c r="H309" s="38">
        <f t="shared" si="6"/>
        <v>423.6224664</v>
      </c>
      <c r="I309" s="39">
        <f t="shared" si="7"/>
        <v>599.1706207</v>
      </c>
      <c r="J309" s="38">
        <f t="shared" si="8"/>
        <v>-44.99254332</v>
      </c>
      <c r="K309" s="38" t="str">
        <f t="shared" si="9"/>
        <v/>
      </c>
      <c r="L309" s="38">
        <f t="shared" si="10"/>
        <v>2</v>
      </c>
      <c r="M309" s="38">
        <f t="shared" si="11"/>
        <v>315.0074567</v>
      </c>
      <c r="N309" s="39">
        <f t="shared" si="12"/>
        <v>265.0074567</v>
      </c>
      <c r="O309" s="39">
        <f t="shared" si="13"/>
        <v>-52.14347852</v>
      </c>
      <c r="P309" s="39">
        <f t="shared" si="14"/>
        <v>596.8973868</v>
      </c>
      <c r="Q309" s="38">
        <f t="shared" si="15"/>
        <v>344.1458618</v>
      </c>
      <c r="R309" s="38">
        <f t="shared" si="16"/>
        <v>-491.4912266</v>
      </c>
      <c r="S309" s="40">
        <v>305.0</v>
      </c>
      <c r="T309" s="37">
        <f t="shared" si="24"/>
        <v>10.91264443</v>
      </c>
      <c r="U309" s="37">
        <f t="shared" si="18"/>
        <v>135.9126444</v>
      </c>
      <c r="V309" s="37">
        <f t="shared" si="23"/>
        <v>1.209096174</v>
      </c>
      <c r="W309" s="37">
        <f>'入力・結果'!$I$7/V309</f>
        <v>266728.1618</v>
      </c>
      <c r="X309" s="39">
        <f>(W309/I309*10)*'入力・結果'!$I$8</f>
        <v>2670.973702</v>
      </c>
      <c r="Y309" s="38">
        <f>DEGREES(ACOS(('入力・結果'!$G$3-('入力・結果'!$G$4*COS(RADIANS(S309))))/((('入力・結果'!$G$3^2)+('入力・結果'!$G$4^2)-(2*'入力・結果'!$G$3*'入力・結果'!$G$4*COS(RADIANS(S309))))^(1/2))))</f>
        <v>88.15243835</v>
      </c>
      <c r="Z309" s="38">
        <f>DEGREES(ACOS((('入力・結果'!$G$3^2)+('入力・結果'!$G$4^2)-('入力・結果'!$G$5^2)+('入力・結果'!$G$6^2)-(2*'入力・結果'!$G$3*'入力・結果'!$G$4*COS(RADIANS(S309))))/(2*'入力・結果'!$G$6*(('入力・結果'!$G$3^2)+('入力・結果'!$G$4^2)-(2*'入力・結果'!$G$3*'入力・結果'!$G$4*(COS(RADIANS(S309)))))^(1/2))))</f>
        <v>72.15013704</v>
      </c>
      <c r="AA309" s="38">
        <f>DEGREES(ACOS(('入力・結果'!$G$4-('入力・結果'!$G$3*COS(RADIANS(S309))))/((('入力・結果'!$G$3^2)+('入力・結果'!$G$4^2)-(2*'入力・結果'!$G$3*'入力・結果'!$G$4*COS(RADIANS(S309))))^(1/2))))</f>
        <v>36.84756165</v>
      </c>
      <c r="AB309" s="38">
        <f>DEGREES(ACOS((('入力・結果'!$G$3^2)+('入力・結果'!$G$4^2)+('入力・結果'!$G$5^2)-('入力・結果'!$G$6^2)-(2*'入力・結果'!$G$3*'入力・結果'!$G$4*COS(RADIANS(S309))))/(2*'入力・結果'!$G$5*(('入力・結果'!$G$3^2)+('入力・結果'!$G$4^2)-(2*'入力・結果'!$G$3*'入力・結果'!$G$4*(COS(RADIANS(S309)))))^(1/2))))</f>
        <v>47.76020607</v>
      </c>
      <c r="AC309" s="37">
        <f t="shared" si="19"/>
        <v>-629.0262978</v>
      </c>
      <c r="AD309" s="37">
        <f t="shared" si="20"/>
        <v>0</v>
      </c>
      <c r="AE309" s="37" t="str">
        <f t="shared" si="21"/>
        <v/>
      </c>
      <c r="AF309" s="37" t="str">
        <f t="shared" si="22"/>
        <v/>
      </c>
      <c r="AG309" s="35"/>
      <c r="AH309" s="35"/>
      <c r="AI309" s="35"/>
      <c r="AJ309" s="35">
        <v>306.0</v>
      </c>
      <c r="AK309" s="35">
        <f t="shared" si="1"/>
        <v>0.823018742</v>
      </c>
    </row>
    <row r="310" ht="12.75" customHeight="1">
      <c r="A310" s="35"/>
      <c r="B310" s="37">
        <v>306.0</v>
      </c>
      <c r="C310" s="38">
        <f t="shared" si="2"/>
        <v>29.38926261</v>
      </c>
      <c r="D310" s="38">
        <f t="shared" si="3"/>
        <v>40.45084972</v>
      </c>
      <c r="E310" s="38">
        <f>'演算'!U310</f>
        <v>137.1276836</v>
      </c>
      <c r="F310" s="38">
        <f t="shared" si="4"/>
        <v>-137.1276836</v>
      </c>
      <c r="G310" s="38">
        <f t="shared" si="5"/>
        <v>432.468707</v>
      </c>
      <c r="H310" s="38">
        <f t="shared" si="6"/>
        <v>414.6526155</v>
      </c>
      <c r="I310" s="39">
        <f t="shared" si="7"/>
        <v>599.1376921</v>
      </c>
      <c r="J310" s="38">
        <f t="shared" si="8"/>
        <v>-43.79517095</v>
      </c>
      <c r="K310" s="38" t="str">
        <f t="shared" si="9"/>
        <v/>
      </c>
      <c r="L310" s="38">
        <f t="shared" si="10"/>
        <v>2</v>
      </c>
      <c r="M310" s="38">
        <f t="shared" si="11"/>
        <v>316.2048291</v>
      </c>
      <c r="N310" s="39">
        <f t="shared" si="12"/>
        <v>266.2048291</v>
      </c>
      <c r="O310" s="39">
        <f t="shared" si="13"/>
        <v>-39.65680555</v>
      </c>
      <c r="P310" s="39">
        <f t="shared" si="14"/>
        <v>597.8238134</v>
      </c>
      <c r="Q310" s="38">
        <f t="shared" si="15"/>
        <v>352.6711514</v>
      </c>
      <c r="R310" s="38">
        <f t="shared" si="16"/>
        <v>-485.4101966</v>
      </c>
      <c r="S310" s="40">
        <v>306.0</v>
      </c>
      <c r="T310" s="37">
        <f t="shared" si="24"/>
        <v>11.12768359</v>
      </c>
      <c r="U310" s="37">
        <f t="shared" si="18"/>
        <v>137.1276836</v>
      </c>
      <c r="V310" s="37">
        <f t="shared" si="23"/>
        <v>1.215039159</v>
      </c>
      <c r="W310" s="37">
        <f>'入力・結果'!$I$7/V310</f>
        <v>265423.5443</v>
      </c>
      <c r="X310" s="39">
        <f>(W310/I310*10)*'入力・結果'!$I$8</f>
        <v>2658.055547</v>
      </c>
      <c r="Y310" s="38">
        <f>DEGREES(ACOS(('入力・結果'!$G$3-('入力・結果'!$G$4*COS(RADIANS(S310))))/((('入力・結果'!$G$3^2)+('入力・結果'!$G$4^2)-(2*'入力・結果'!$G$3*'入力・結果'!$G$4*COS(RADIANS(S310))))^(1/2))))</f>
        <v>89.13499923</v>
      </c>
      <c r="Z310" s="38">
        <f>DEGREES(ACOS((('入力・結果'!$G$3^2)+('入力・結果'!$G$4^2)-('入力・結果'!$G$5^2)+('入力・結果'!$G$6^2)-(2*'入力・結果'!$G$3*'入力・結果'!$G$4*COS(RADIANS(S310))))/(2*'入力・結果'!$G$6*(('入力・結果'!$G$3^2)+('入力・結果'!$G$4^2)-(2*'入力・結果'!$G$3*'入力・結果'!$G$4*(COS(RADIANS(S310)))))^(1/2))))</f>
        <v>72.8162254</v>
      </c>
      <c r="AA310" s="38">
        <f>DEGREES(ACOS(('入力・結果'!$G$4-('入力・結果'!$G$3*COS(RADIANS(S310))))/((('入力・結果'!$G$3^2)+('入力・結果'!$G$4^2)-(2*'入力・結果'!$G$3*'入力・結果'!$G$4*COS(RADIANS(S310))))^(1/2))))</f>
        <v>36.86500077</v>
      </c>
      <c r="AB310" s="38">
        <f>DEGREES(ACOS((('入力・結果'!$G$3^2)+('入力・結果'!$G$4^2)+('入力・結果'!$G$5^2)-('入力・結果'!$G$6^2)-(2*'入力・結果'!$G$3*'入力・結果'!$G$4*COS(RADIANS(S310))))/(2*'入力・結果'!$G$5*(('入力・結果'!$G$3^2)+('入力・結果'!$G$4^2)-(2*'入力・結果'!$G$3*'入力・結果'!$G$4*(COS(RADIANS(S310)))))^(1/2))))</f>
        <v>47.99268435</v>
      </c>
      <c r="AC310" s="37">
        <f t="shared" si="19"/>
        <v>-641.9444532</v>
      </c>
      <c r="AD310" s="37">
        <f t="shared" si="20"/>
        <v>0</v>
      </c>
      <c r="AE310" s="37" t="str">
        <f t="shared" si="21"/>
        <v/>
      </c>
      <c r="AF310" s="37" t="str">
        <f t="shared" si="22"/>
        <v/>
      </c>
      <c r="AG310" s="35"/>
      <c r="AH310" s="35"/>
      <c r="AI310" s="35"/>
      <c r="AJ310" s="35">
        <v>307.0</v>
      </c>
      <c r="AK310" s="35">
        <f t="shared" si="1"/>
        <v>0.8188329059</v>
      </c>
    </row>
    <row r="311" ht="12.75" customHeight="1">
      <c r="A311" s="35"/>
      <c r="B311" s="37">
        <v>307.0</v>
      </c>
      <c r="C311" s="38">
        <f t="shared" si="2"/>
        <v>30.09075116</v>
      </c>
      <c r="D311" s="38">
        <f t="shared" si="3"/>
        <v>39.9317755</v>
      </c>
      <c r="E311" s="38">
        <f>'演算'!U311</f>
        <v>138.348934</v>
      </c>
      <c r="F311" s="38">
        <f t="shared" si="4"/>
        <v>-138.348934</v>
      </c>
      <c r="G311" s="38">
        <f t="shared" si="5"/>
        <v>441.0540819</v>
      </c>
      <c r="H311" s="38">
        <f t="shared" si="6"/>
        <v>405.457617</v>
      </c>
      <c r="I311" s="39">
        <f t="shared" si="7"/>
        <v>599.1031483</v>
      </c>
      <c r="J311" s="38">
        <f t="shared" si="8"/>
        <v>-42.59208723</v>
      </c>
      <c r="K311" s="38" t="str">
        <f t="shared" si="9"/>
        <v/>
      </c>
      <c r="L311" s="38">
        <f t="shared" si="10"/>
        <v>2</v>
      </c>
      <c r="M311" s="38">
        <f t="shared" si="11"/>
        <v>317.4079128</v>
      </c>
      <c r="N311" s="39">
        <f t="shared" si="12"/>
        <v>267.4079128</v>
      </c>
      <c r="O311" s="39">
        <f t="shared" si="13"/>
        <v>-27.09445543</v>
      </c>
      <c r="P311" s="39">
        <f t="shared" si="14"/>
        <v>598.490161</v>
      </c>
      <c r="Q311" s="38">
        <f t="shared" si="15"/>
        <v>361.0890139</v>
      </c>
      <c r="R311" s="38">
        <f t="shared" si="16"/>
        <v>-479.181306</v>
      </c>
      <c r="S311" s="40">
        <v>307.0</v>
      </c>
      <c r="T311" s="37">
        <f t="shared" si="24"/>
        <v>11.34893397</v>
      </c>
      <c r="U311" s="37">
        <f t="shared" si="18"/>
        <v>138.348934</v>
      </c>
      <c r="V311" s="37">
        <f t="shared" si="23"/>
        <v>1.221250383</v>
      </c>
      <c r="W311" s="37">
        <f>'入力・結果'!$I$7/V311</f>
        <v>264073.6122</v>
      </c>
      <c r="X311" s="39">
        <f>(W311/I311*10)*'入力・結果'!$I$8</f>
        <v>2644.689278</v>
      </c>
      <c r="Y311" s="38">
        <f>DEGREES(ACOS(('入力・結果'!$G$3-('入力・結果'!$G$4*COS(RADIANS(S311))))/((('入力・結果'!$G$3^2)+('入力・結果'!$G$4^2)-(2*'入力・結果'!$G$3*'入力・結果'!$G$4*COS(RADIANS(S311))))^(1/2))))</f>
        <v>90.13021333</v>
      </c>
      <c r="Z311" s="38">
        <f>DEGREES(ACOS((('入力・結果'!$G$3^2)+('入力・結果'!$G$4^2)-('入力・結果'!$G$5^2)+('入力・結果'!$G$6^2)-(2*'入力・結果'!$G$3*'入力・結果'!$G$4*COS(RADIANS(S311))))/(2*'入力・結果'!$G$6*(('入力・結果'!$G$3^2)+('入力・結果'!$G$4^2)-(2*'入力・結果'!$G$3*'入力・結果'!$G$4*(COS(RADIANS(S311)))))^(1/2))))</f>
        <v>73.48575547</v>
      </c>
      <c r="AA311" s="38">
        <f>DEGREES(ACOS(('入力・結果'!$G$4-('入力・結果'!$G$3*COS(RADIANS(S311))))/((('入力・結果'!$G$3^2)+('入力・結果'!$G$4^2)-(2*'入力・結果'!$G$3*'入力・結果'!$G$4*COS(RADIANS(S311))))^(1/2))))</f>
        <v>36.86978667</v>
      </c>
      <c r="AB311" s="38">
        <f>DEGREES(ACOS((('入力・結果'!$G$3^2)+('入力・結果'!$G$4^2)+('入力・結果'!$G$5^2)-('入力・結果'!$G$6^2)-(2*'入力・結果'!$G$3*'入力・結果'!$G$4*COS(RADIANS(S311))))/(2*'入力・結果'!$G$5*(('入力・結果'!$G$3^2)+('入力・結果'!$G$4^2)-(2*'入力・結果'!$G$3*'入力・結果'!$G$4*(COS(RADIANS(S311)))))^(1/2))))</f>
        <v>48.21872064</v>
      </c>
      <c r="AC311" s="37">
        <f t="shared" si="19"/>
        <v>-655.3107217</v>
      </c>
      <c r="AD311" s="37">
        <f t="shared" si="20"/>
        <v>0</v>
      </c>
      <c r="AE311" s="37" t="str">
        <f t="shared" si="21"/>
        <v/>
      </c>
      <c r="AF311" s="37" t="str">
        <f t="shared" si="22"/>
        <v/>
      </c>
      <c r="AG311" s="35"/>
      <c r="AH311" s="35"/>
      <c r="AI311" s="35"/>
      <c r="AJ311" s="35">
        <v>308.0</v>
      </c>
      <c r="AK311" s="35">
        <f t="shared" si="1"/>
        <v>0.8145014756</v>
      </c>
    </row>
    <row r="312" ht="12.75" customHeight="1">
      <c r="A312" s="35"/>
      <c r="B312" s="37">
        <v>308.0</v>
      </c>
      <c r="C312" s="38">
        <f t="shared" si="2"/>
        <v>30.78307377</v>
      </c>
      <c r="D312" s="38">
        <f t="shared" si="3"/>
        <v>39.40053768</v>
      </c>
      <c r="E312" s="38">
        <f>'演算'!U312</f>
        <v>139.5766788</v>
      </c>
      <c r="F312" s="38">
        <f t="shared" si="4"/>
        <v>-139.5766788</v>
      </c>
      <c r="G312" s="38">
        <f t="shared" si="5"/>
        <v>449.4840155</v>
      </c>
      <c r="H312" s="38">
        <f t="shared" si="6"/>
        <v>396.0369372</v>
      </c>
      <c r="I312" s="39">
        <f t="shared" si="7"/>
        <v>599.0668875</v>
      </c>
      <c r="J312" s="38">
        <f t="shared" si="8"/>
        <v>-41.38303104</v>
      </c>
      <c r="K312" s="38" t="str">
        <f t="shared" si="9"/>
        <v/>
      </c>
      <c r="L312" s="38">
        <f t="shared" si="10"/>
        <v>2</v>
      </c>
      <c r="M312" s="38">
        <f t="shared" si="11"/>
        <v>318.616969</v>
      </c>
      <c r="N312" s="39">
        <f t="shared" si="12"/>
        <v>268.616969</v>
      </c>
      <c r="O312" s="39">
        <f t="shared" si="13"/>
        <v>-14.45913909</v>
      </c>
      <c r="P312" s="39">
        <f t="shared" si="14"/>
        <v>598.8923685</v>
      </c>
      <c r="Q312" s="38">
        <f t="shared" si="15"/>
        <v>369.3968852</v>
      </c>
      <c r="R312" s="38">
        <f t="shared" si="16"/>
        <v>-472.8064522</v>
      </c>
      <c r="S312" s="40">
        <v>308.0</v>
      </c>
      <c r="T312" s="37">
        <f t="shared" si="24"/>
        <v>11.57667883</v>
      </c>
      <c r="U312" s="37">
        <f t="shared" si="18"/>
        <v>139.5766788</v>
      </c>
      <c r="V312" s="37">
        <f t="shared" si="23"/>
        <v>1.22774486</v>
      </c>
      <c r="W312" s="37">
        <f>'入力・結果'!$I$7/V312</f>
        <v>262676.7259</v>
      </c>
      <c r="X312" s="39">
        <f>(W312/I312*10)*'入力・結果'!$I$8</f>
        <v>2630.858737</v>
      </c>
      <c r="Y312" s="38">
        <f>DEGREES(ACOS(('入力・結果'!$G$3-('入力・結果'!$G$4*COS(RADIANS(S312))))/((('入力・結果'!$G$3^2)+('入力・結果'!$G$4^2)-(2*'入力・結果'!$G$3*'入力・結果'!$G$4*COS(RADIANS(S312))))^(1/2))))</f>
        <v>91.13858638</v>
      </c>
      <c r="Z312" s="38">
        <f>DEGREES(ACOS((('入力・結果'!$G$3^2)+('入力・結果'!$G$4^2)-('入力・結果'!$G$5^2)+('入力・結果'!$G$6^2)-(2*'入力・結果'!$G$3*'入力・結果'!$G$4*COS(RADIANS(S312))))/(2*'入力・結果'!$G$6*(('入力・結果'!$G$3^2)+('入力・結果'!$G$4^2)-(2*'入力・結果'!$G$3*'入力・結果'!$G$4*(COS(RADIANS(S312)))))^(1/2))))</f>
        <v>74.15880833</v>
      </c>
      <c r="AA312" s="38">
        <f>DEGREES(ACOS(('入力・結果'!$G$4-('入力・結果'!$G$3*COS(RADIANS(S312))))/((('入力・結果'!$G$3^2)+('入力・結果'!$G$4^2)-(2*'入力・結果'!$G$3*'入力・結果'!$G$4*COS(RADIANS(S312))))^(1/2))))</f>
        <v>36.86141362</v>
      </c>
      <c r="AB312" s="38">
        <f>DEGREES(ACOS((('入力・結果'!$G$3^2)+('入力・結果'!$G$4^2)+('入力・結果'!$G$5^2)-('入力・結果'!$G$6^2)-(2*'入力・結果'!$G$3*'入力・結果'!$G$4*COS(RADIANS(S312))))/(2*'入力・結果'!$G$5*(('入力・結果'!$G$3^2)+('入力・結果'!$G$4^2)-(2*'入力・結果'!$G$3*'入力・結果'!$G$4*(COS(RADIANS(S312)))))^(1/2))))</f>
        <v>48.43809245</v>
      </c>
      <c r="AC312" s="37">
        <f t="shared" si="19"/>
        <v>-669.1412626</v>
      </c>
      <c r="AD312" s="37">
        <f t="shared" si="20"/>
        <v>0</v>
      </c>
      <c r="AE312" s="37" t="str">
        <f t="shared" si="21"/>
        <v/>
      </c>
      <c r="AF312" s="37" t="str">
        <f t="shared" si="22"/>
        <v/>
      </c>
      <c r="AG312" s="35"/>
      <c r="AH312" s="35"/>
      <c r="AI312" s="35"/>
      <c r="AJ312" s="35">
        <v>309.0</v>
      </c>
      <c r="AK312" s="35">
        <f t="shared" si="1"/>
        <v>0.8100192482</v>
      </c>
    </row>
    <row r="313" ht="12.75" customHeight="1">
      <c r="A313" s="35"/>
      <c r="B313" s="37">
        <v>309.0</v>
      </c>
      <c r="C313" s="38">
        <f t="shared" si="2"/>
        <v>31.46601955</v>
      </c>
      <c r="D313" s="38">
        <f t="shared" si="3"/>
        <v>38.85729807</v>
      </c>
      <c r="E313" s="38">
        <f>'演算'!U313</f>
        <v>140.8112174</v>
      </c>
      <c r="F313" s="38">
        <f t="shared" si="4"/>
        <v>-140.8112174</v>
      </c>
      <c r="G313" s="38">
        <f t="shared" si="5"/>
        <v>457.7535366</v>
      </c>
      <c r="H313" s="38">
        <f t="shared" si="6"/>
        <v>386.3899624</v>
      </c>
      <c r="I313" s="39">
        <f t="shared" si="7"/>
        <v>599.0288001</v>
      </c>
      <c r="J313" s="38">
        <f t="shared" si="8"/>
        <v>-40.16772648</v>
      </c>
      <c r="K313" s="38" t="str">
        <f t="shared" si="9"/>
        <v/>
      </c>
      <c r="L313" s="38">
        <f t="shared" si="10"/>
        <v>2</v>
      </c>
      <c r="M313" s="38">
        <f t="shared" si="11"/>
        <v>319.8322735</v>
      </c>
      <c r="N313" s="39">
        <f t="shared" si="12"/>
        <v>269.8322735</v>
      </c>
      <c r="O313" s="39">
        <f t="shared" si="13"/>
        <v>-1.753581973</v>
      </c>
      <c r="P313" s="39">
        <f t="shared" si="14"/>
        <v>599.0262334</v>
      </c>
      <c r="Q313" s="38">
        <f t="shared" si="15"/>
        <v>377.5922346</v>
      </c>
      <c r="R313" s="38">
        <f t="shared" si="16"/>
        <v>-466.2875769</v>
      </c>
      <c r="S313" s="40">
        <v>309.0</v>
      </c>
      <c r="T313" s="37">
        <f t="shared" si="24"/>
        <v>11.81121739</v>
      </c>
      <c r="U313" s="37">
        <f t="shared" si="18"/>
        <v>140.8112174</v>
      </c>
      <c r="V313" s="37">
        <f t="shared" si="23"/>
        <v>1.234538565</v>
      </c>
      <c r="W313" s="37">
        <f>'入力・結果'!$I$7/V313</f>
        <v>261231.2075</v>
      </c>
      <c r="X313" s="39">
        <f>(W313/I313*10)*'入力・結果'!$I$8</f>
        <v>2616.547393</v>
      </c>
      <c r="Y313" s="38">
        <f>DEGREES(ACOS(('入力・結果'!$G$3-('入力・結果'!$G$4*COS(RADIANS(S313))))/((('入力・結果'!$G$3^2)+('入力・結果'!$G$4^2)-(2*'入力・結果'!$G$3*'入力・結果'!$G$4*COS(RADIANS(S313))))^(1/2))))</f>
        <v>92.16064721</v>
      </c>
      <c r="Z313" s="38">
        <f>DEGREES(ACOS((('入力・結果'!$G$3^2)+('入力・結果'!$G$4^2)-('入力・結果'!$G$5^2)+('入力・結果'!$G$6^2)-(2*'入力・結果'!$G$3*'入力・結果'!$G$4*COS(RADIANS(S313))))/(2*'入力・結果'!$G$6*(('入力・結果'!$G$3^2)+('入力・結果'!$G$4^2)-(2*'入力・結果'!$G$3*'入力・結果'!$G$4*(COS(RADIANS(S313)))))^(1/2))))</f>
        <v>74.83546373</v>
      </c>
      <c r="AA313" s="38">
        <f>DEGREES(ACOS(('入力・結果'!$G$4-('入力・結果'!$G$3*COS(RADIANS(S313))))/((('入力・結果'!$G$3^2)+('入力・結果'!$G$4^2)-(2*'入力・結果'!$G$3*'入力・結果'!$G$4*COS(RADIANS(S313))))^(1/2))))</f>
        <v>36.83935279</v>
      </c>
      <c r="AB313" s="38">
        <f>DEGREES(ACOS((('入力・結果'!$G$3^2)+('入力・結果'!$G$4^2)+('入力・結果'!$G$5^2)-('入力・結果'!$G$6^2)-(2*'入力・結果'!$G$3*'入力・結果'!$G$4*COS(RADIANS(S313))))/(2*'入力・結果'!$G$5*(('入力・結果'!$G$3^2)+('入力・結果'!$G$4^2)-(2*'入力・結果'!$G$3*'入力・結果'!$G$4*(COS(RADIANS(S313)))))^(1/2))))</f>
        <v>48.65057018</v>
      </c>
      <c r="AC313" s="37">
        <f t="shared" si="19"/>
        <v>-683.4526071</v>
      </c>
      <c r="AD313" s="37">
        <f t="shared" si="20"/>
        <v>0</v>
      </c>
      <c r="AE313" s="37" t="str">
        <f t="shared" si="21"/>
        <v/>
      </c>
      <c r="AF313" s="37" t="str">
        <f t="shared" si="22"/>
        <v/>
      </c>
      <c r="AG313" s="35"/>
      <c r="AH313" s="35"/>
      <c r="AI313" s="35"/>
      <c r="AJ313" s="35">
        <v>310.0</v>
      </c>
      <c r="AK313" s="35">
        <f t="shared" si="1"/>
        <v>0.8053809116</v>
      </c>
    </row>
    <row r="314" ht="12.75" customHeight="1">
      <c r="A314" s="35"/>
      <c r="B314" s="37">
        <v>310.0</v>
      </c>
      <c r="C314" s="38">
        <f t="shared" si="2"/>
        <v>32.13938048</v>
      </c>
      <c r="D314" s="38">
        <f t="shared" si="3"/>
        <v>38.30222216</v>
      </c>
      <c r="E314" s="38">
        <f>'演算'!U314</f>
        <v>142.0528659</v>
      </c>
      <c r="F314" s="38">
        <f t="shared" si="4"/>
        <v>-142.0528659</v>
      </c>
      <c r="G314" s="38">
        <f t="shared" si="5"/>
        <v>465.8575439</v>
      </c>
      <c r="H314" s="38">
        <f t="shared" si="6"/>
        <v>376.5159928</v>
      </c>
      <c r="I314" s="39">
        <f t="shared" si="7"/>
        <v>598.9887679</v>
      </c>
      <c r="J314" s="38">
        <f t="shared" si="8"/>
        <v>-38.94588187</v>
      </c>
      <c r="K314" s="38" t="str">
        <f t="shared" si="9"/>
        <v/>
      </c>
      <c r="L314" s="38">
        <f t="shared" si="10"/>
        <v>2</v>
      </c>
      <c r="M314" s="38">
        <f t="shared" si="11"/>
        <v>321.0541181</v>
      </c>
      <c r="N314" s="39">
        <f t="shared" si="12"/>
        <v>271.0541181</v>
      </c>
      <c r="O314" s="39">
        <f t="shared" si="13"/>
        <v>11.01947306</v>
      </c>
      <c r="P314" s="39">
        <f t="shared" si="14"/>
        <v>598.8873979</v>
      </c>
      <c r="Q314" s="38">
        <f t="shared" si="15"/>
        <v>385.6725658</v>
      </c>
      <c r="R314" s="38">
        <f t="shared" si="16"/>
        <v>-459.6266659</v>
      </c>
      <c r="S314" s="40">
        <v>310.0</v>
      </c>
      <c r="T314" s="37">
        <f t="shared" si="24"/>
        <v>12.05286589</v>
      </c>
      <c r="U314" s="37">
        <f t="shared" si="18"/>
        <v>142.0528659</v>
      </c>
      <c r="V314" s="37">
        <f t="shared" si="23"/>
        <v>1.241648499</v>
      </c>
      <c r="W314" s="37">
        <f>'入力・結果'!$I$7/V314</f>
        <v>259735.344</v>
      </c>
      <c r="X314" s="39">
        <f>(W314/I314*10)*'入力・結果'!$I$8</f>
        <v>2601.738375</v>
      </c>
      <c r="Y314" s="38">
        <f>DEGREES(ACOS(('入力・結果'!$G$3-('入力・結果'!$G$4*COS(RADIANS(S314))))/((('入力・結果'!$G$3^2)+('入力・結果'!$G$4^2)-(2*'入力・結果'!$G$3*'入力・結果'!$G$4*COS(RADIANS(S314))))^(1/2))))</f>
        <v>93.19694866</v>
      </c>
      <c r="Z314" s="38">
        <f>DEGREES(ACOS((('入力・結果'!$G$3^2)+('入力・結果'!$G$4^2)-('入力・結果'!$G$5^2)+('入力・結果'!$G$6^2)-(2*'入力・結果'!$G$3*'入力・結果'!$G$4*COS(RADIANS(S314))))/(2*'入力・結果'!$G$6*(('入力・結果'!$G$3^2)+('入力・結果'!$G$4^2)-(2*'入力・結果'!$G$3*'入力・結果'!$G$4*(COS(RADIANS(S314)))))^(1/2))))</f>
        <v>75.51579947</v>
      </c>
      <c r="AA314" s="38">
        <f>DEGREES(ACOS(('入力・結果'!$G$4-('入力・結果'!$G$3*COS(RADIANS(S314))))/((('入力・結果'!$G$3^2)+('入力・結果'!$G$4^2)-(2*'入力・結果'!$G$3*'入力・結果'!$G$4*COS(RADIANS(S314))))^(1/2))))</f>
        <v>36.80305134</v>
      </c>
      <c r="AB314" s="38">
        <f>DEGREES(ACOS((('入力・結果'!$G$3^2)+('入力・結果'!$G$4^2)+('入力・結果'!$G$5^2)-('入力・結果'!$G$6^2)-(2*'入力・結果'!$G$3*'入力・結果'!$G$4*COS(RADIANS(S314))))/(2*'入力・結果'!$G$5*(('入力・結果'!$G$3^2)+('入力・結果'!$G$4^2)-(2*'入力・結果'!$G$3*'入力・結果'!$G$4*(COS(RADIANS(S314)))))^(1/2))))</f>
        <v>48.85591723</v>
      </c>
      <c r="AC314" s="37">
        <f t="shared" si="19"/>
        <v>-698.2616246</v>
      </c>
      <c r="AD314" s="37">
        <f t="shared" si="20"/>
        <v>0</v>
      </c>
      <c r="AE314" s="37" t="str">
        <f t="shared" si="21"/>
        <v/>
      </c>
      <c r="AF314" s="37" t="str">
        <f t="shared" si="22"/>
        <v/>
      </c>
      <c r="AG314" s="35"/>
      <c r="AH314" s="35"/>
      <c r="AI314" s="35"/>
      <c r="AJ314" s="35">
        <v>311.0</v>
      </c>
      <c r="AK314" s="35">
        <f t="shared" si="1"/>
        <v>0.800581058</v>
      </c>
    </row>
    <row r="315" ht="12.75" customHeight="1">
      <c r="A315" s="35"/>
      <c r="B315" s="37">
        <v>311.0</v>
      </c>
      <c r="C315" s="38">
        <f t="shared" si="2"/>
        <v>32.80295145</v>
      </c>
      <c r="D315" s="38">
        <f t="shared" si="3"/>
        <v>37.73547901</v>
      </c>
      <c r="E315" s="38">
        <f>'演算'!U315</f>
        <v>143.3019586</v>
      </c>
      <c r="F315" s="38">
        <f t="shared" si="4"/>
        <v>-143.3019586</v>
      </c>
      <c r="G315" s="38">
        <f t="shared" si="5"/>
        <v>473.7907919</v>
      </c>
      <c r="H315" s="38">
        <f t="shared" si="6"/>
        <v>366.4142349</v>
      </c>
      <c r="I315" s="39">
        <f t="shared" si="7"/>
        <v>598.9466638</v>
      </c>
      <c r="J315" s="38">
        <f t="shared" si="8"/>
        <v>-37.71718882</v>
      </c>
      <c r="K315" s="38" t="str">
        <f t="shared" si="9"/>
        <v/>
      </c>
      <c r="L315" s="38">
        <f t="shared" si="10"/>
        <v>2</v>
      </c>
      <c r="M315" s="38">
        <f t="shared" si="11"/>
        <v>322.2828112</v>
      </c>
      <c r="N315" s="39">
        <f t="shared" si="12"/>
        <v>272.2828112</v>
      </c>
      <c r="O315" s="39">
        <f t="shared" si="13"/>
        <v>23.85726206</v>
      </c>
      <c r="P315" s="39">
        <f t="shared" si="14"/>
        <v>598.4713335</v>
      </c>
      <c r="Q315" s="38">
        <f t="shared" si="15"/>
        <v>393.6354174</v>
      </c>
      <c r="R315" s="38">
        <f t="shared" si="16"/>
        <v>-452.8257481</v>
      </c>
      <c r="S315" s="40">
        <v>311.0</v>
      </c>
      <c r="T315" s="37">
        <f t="shared" si="24"/>
        <v>12.30195865</v>
      </c>
      <c r="U315" s="37">
        <f t="shared" si="18"/>
        <v>143.3019586</v>
      </c>
      <c r="V315" s="37">
        <f t="shared" si="23"/>
        <v>1.249092756</v>
      </c>
      <c r="W315" s="37">
        <f>'入力・結果'!$I$7/V315</f>
        <v>258187.3912</v>
      </c>
      <c r="X315" s="39">
        <f>(W315/I315*10)*'入力・結果'!$I$8</f>
        <v>2586.414519</v>
      </c>
      <c r="Y315" s="38">
        <f>DEGREES(ACOS(('入力・結果'!$G$3-('入力・結果'!$G$4*COS(RADIANS(S315))))/((('入力・結果'!$G$3^2)+('入力・結果'!$G$4^2)-(2*'入力・結果'!$G$3*'入力・結果'!$G$4*COS(RADIANS(S315))))^(1/2))))</f>
        <v>94.24806862</v>
      </c>
      <c r="Z315" s="38">
        <f>DEGREES(ACOS((('入力・結果'!$G$3^2)+('入力・結果'!$G$4^2)-('入力・結果'!$G$5^2)+('入力・結果'!$G$6^2)-(2*'入力・結果'!$G$3*'入力・結果'!$G$4*COS(RADIANS(S315))))/(2*'入力・結果'!$G$6*(('入力・結果'!$G$3^2)+('入力・結果'!$G$4^2)-(2*'入力・結果'!$G$3*'入力・結果'!$G$4*(COS(RADIANS(S315)))))^(1/2))))</f>
        <v>76.19989066</v>
      </c>
      <c r="AA315" s="38">
        <f>DEGREES(ACOS(('入力・結果'!$G$4-('入力・結果'!$G$3*COS(RADIANS(S315))))/((('入力・結果'!$G$3^2)+('入力・結果'!$G$4^2)-(2*'入力・結果'!$G$3*'入力・結果'!$G$4*COS(RADIANS(S315))))^(1/2))))</f>
        <v>36.75193138</v>
      </c>
      <c r="AB315" s="38">
        <f>DEGREES(ACOS((('入力・結果'!$G$3^2)+('入力・結果'!$G$4^2)+('入力・結果'!$G$5^2)-('入力・結果'!$G$6^2)-(2*'入力・結果'!$G$3*'入力・結果'!$G$4*COS(RADIANS(S315))))/(2*'入力・結果'!$G$5*(('入力・結果'!$G$3^2)+('入力・結果'!$G$4^2)-(2*'入力・結果'!$G$3*'入力・結果'!$G$4*(COS(RADIANS(S315)))))^(1/2))))</f>
        <v>49.05389002</v>
      </c>
      <c r="AC315" s="37">
        <f t="shared" si="19"/>
        <v>-713.5854809</v>
      </c>
      <c r="AD315" s="37">
        <f t="shared" si="20"/>
        <v>0</v>
      </c>
      <c r="AE315" s="37" t="str">
        <f t="shared" si="21"/>
        <v/>
      </c>
      <c r="AF315" s="37" t="str">
        <f t="shared" si="22"/>
        <v/>
      </c>
      <c r="AG315" s="35"/>
      <c r="AH315" s="35"/>
      <c r="AI315" s="35"/>
      <c r="AJ315" s="35">
        <v>312.0</v>
      </c>
      <c r="AK315" s="35">
        <f t="shared" si="1"/>
        <v>0.7956141991</v>
      </c>
    </row>
    <row r="316" ht="12.75" customHeight="1">
      <c r="A316" s="35"/>
      <c r="B316" s="37">
        <v>312.0</v>
      </c>
      <c r="C316" s="38">
        <f t="shared" si="2"/>
        <v>33.45653032</v>
      </c>
      <c r="D316" s="38">
        <f t="shared" si="3"/>
        <v>37.15724127</v>
      </c>
      <c r="E316" s="38">
        <f>'演算'!U316</f>
        <v>144.5588492</v>
      </c>
      <c r="F316" s="38">
        <f t="shared" si="4"/>
        <v>-144.5588492</v>
      </c>
      <c r="G316" s="38">
        <f t="shared" si="5"/>
        <v>481.5478753</v>
      </c>
      <c r="H316" s="38">
        <f t="shared" si="6"/>
        <v>356.0837948</v>
      </c>
      <c r="I316" s="39">
        <f t="shared" si="7"/>
        <v>598.9023502</v>
      </c>
      <c r="J316" s="38">
        <f t="shared" si="8"/>
        <v>-36.48132104</v>
      </c>
      <c r="K316" s="38" t="str">
        <f t="shared" si="9"/>
        <v/>
      </c>
      <c r="L316" s="38">
        <f t="shared" si="10"/>
        <v>2</v>
      </c>
      <c r="M316" s="38">
        <f t="shared" si="11"/>
        <v>323.518679</v>
      </c>
      <c r="N316" s="39">
        <f t="shared" si="12"/>
        <v>273.518679</v>
      </c>
      <c r="O316" s="39">
        <f t="shared" si="13"/>
        <v>36.75699544</v>
      </c>
      <c r="P316" s="39">
        <f t="shared" si="14"/>
        <v>597.7733253</v>
      </c>
      <c r="Q316" s="38">
        <f t="shared" si="15"/>
        <v>401.4783638</v>
      </c>
      <c r="R316" s="38">
        <f t="shared" si="16"/>
        <v>-445.8868953</v>
      </c>
      <c r="S316" s="40">
        <v>312.0</v>
      </c>
      <c r="T316" s="37">
        <f t="shared" si="24"/>
        <v>12.55884924</v>
      </c>
      <c r="U316" s="37">
        <f t="shared" si="18"/>
        <v>144.5588492</v>
      </c>
      <c r="V316" s="37">
        <f t="shared" si="23"/>
        <v>1.25689059</v>
      </c>
      <c r="W316" s="37">
        <f>'入力・結果'!$I$7/V316</f>
        <v>256585.5792</v>
      </c>
      <c r="X316" s="39">
        <f>(W316/I316*10)*'入力・結果'!$I$8</f>
        <v>2570.558413</v>
      </c>
      <c r="Y316" s="38">
        <f>DEGREES(ACOS(('入力・結果'!$G$3-('入力・結果'!$G$4*COS(RADIANS(S316))))/((('入力・結果'!$G$3^2)+('入力・結果'!$G$4^2)-(2*'入力・結果'!$G$3*'入力・結果'!$G$4*COS(RADIANS(S316))))^(1/2))))</f>
        <v>95.31461104</v>
      </c>
      <c r="Z316" s="38">
        <f>DEGREES(ACOS((('入力・結果'!$G$3^2)+('入力・結果'!$G$4^2)-('入力・結果'!$G$5^2)+('入力・結果'!$G$6^2)-(2*'入力・結果'!$G$3*'入力・結果'!$G$4*COS(RADIANS(S316))))/(2*'入力・結果'!$G$6*(('入力・結果'!$G$3^2)+('入力・結果'!$G$4^2)-(2*'入力・結果'!$G$3*'入力・結果'!$G$4*(COS(RADIANS(S316)))))^(1/2))))</f>
        <v>76.88780893</v>
      </c>
      <c r="AA316" s="38">
        <f>DEGREES(ACOS(('入力・結果'!$G$4-('入力・結果'!$G$3*COS(RADIANS(S316))))/((('入力・結果'!$G$3^2)+('入力・結果'!$G$4^2)-(2*'入力・結果'!$G$3*'入力・結果'!$G$4*COS(RADIANS(S316))))^(1/2))))</f>
        <v>36.68538896</v>
      </c>
      <c r="AB316" s="38">
        <f>DEGREES(ACOS((('入力・結果'!$G$3^2)+('入力・結果'!$G$4^2)+('入力・結果'!$G$5^2)-('入力・結果'!$G$6^2)-(2*'入力・結果'!$G$3*'入力・結果'!$G$4*COS(RADIANS(S316))))/(2*'入力・結果'!$G$5*(('入力・結果'!$G$3^2)+('入力・結果'!$G$4^2)-(2*'入力・結果'!$G$3*'入力・結果'!$G$4*(COS(RADIANS(S316)))))^(1/2))))</f>
        <v>49.2442382</v>
      </c>
      <c r="AC316" s="37">
        <f t="shared" si="19"/>
        <v>-729.4415866</v>
      </c>
      <c r="AD316" s="37">
        <f t="shared" si="20"/>
        <v>0</v>
      </c>
      <c r="AE316" s="37" t="str">
        <f t="shared" si="21"/>
        <v/>
      </c>
      <c r="AF316" s="37" t="str">
        <f t="shared" si="22"/>
        <v/>
      </c>
      <c r="AG316" s="35"/>
      <c r="AH316" s="35"/>
      <c r="AI316" s="35"/>
      <c r="AJ316" s="35">
        <v>313.0</v>
      </c>
      <c r="AK316" s="35">
        <f t="shared" si="1"/>
        <v>0.7904747849</v>
      </c>
    </row>
    <row r="317" ht="12.75" customHeight="1">
      <c r="A317" s="35"/>
      <c r="B317" s="37">
        <v>313.0</v>
      </c>
      <c r="C317" s="38">
        <f t="shared" si="2"/>
        <v>34.099918</v>
      </c>
      <c r="D317" s="38">
        <f t="shared" si="3"/>
        <v>36.56768508</v>
      </c>
      <c r="E317" s="38">
        <f>'演算'!U317</f>
        <v>145.8239117</v>
      </c>
      <c r="F317" s="38">
        <f t="shared" si="4"/>
        <v>-145.8239117</v>
      </c>
      <c r="G317" s="38">
        <f t="shared" si="5"/>
        <v>489.1232127</v>
      </c>
      <c r="H317" s="38">
        <f t="shared" si="6"/>
        <v>345.5236711</v>
      </c>
      <c r="I317" s="39">
        <f t="shared" si="7"/>
        <v>598.8556792</v>
      </c>
      <c r="J317" s="38">
        <f t="shared" si="8"/>
        <v>-35.23793328</v>
      </c>
      <c r="K317" s="38" t="str">
        <f t="shared" si="9"/>
        <v/>
      </c>
      <c r="L317" s="38">
        <f t="shared" si="10"/>
        <v>2</v>
      </c>
      <c r="M317" s="38">
        <f t="shared" si="11"/>
        <v>324.7620667</v>
      </c>
      <c r="N317" s="39">
        <f t="shared" si="12"/>
        <v>274.7620667</v>
      </c>
      <c r="O317" s="39">
        <f t="shared" si="13"/>
        <v>49.71585249</v>
      </c>
      <c r="P317" s="39">
        <f t="shared" si="14"/>
        <v>596.7884537</v>
      </c>
      <c r="Q317" s="38">
        <f t="shared" si="15"/>
        <v>409.199016</v>
      </c>
      <c r="R317" s="38">
        <f t="shared" si="16"/>
        <v>-438.812221</v>
      </c>
      <c r="S317" s="40">
        <v>313.0</v>
      </c>
      <c r="T317" s="37">
        <f t="shared" si="24"/>
        <v>12.82391173</v>
      </c>
      <c r="U317" s="37">
        <f t="shared" si="18"/>
        <v>145.8239117</v>
      </c>
      <c r="V317" s="37">
        <f t="shared" si="23"/>
        <v>1.26506249</v>
      </c>
      <c r="W317" s="37">
        <f>'入力・結果'!$I$7/V317</f>
        <v>254928.1181</v>
      </c>
      <c r="X317" s="39">
        <f>(W317/I317*10)*'入力・結果'!$I$8</f>
        <v>2554.152464</v>
      </c>
      <c r="Y317" s="38">
        <f>DEGREES(ACOS(('入力・結果'!$G$3-('入力・結果'!$G$4*COS(RADIANS(S317))))/((('入力・結果'!$G$3^2)+('入力・結果'!$G$4^2)-(2*'入力・結果'!$G$3*'入力・結果'!$G$4*COS(RADIANS(S317))))^(1/2))))</f>
        <v>96.39720686</v>
      </c>
      <c r="Z317" s="38">
        <f>DEGREES(ACOS((('入力・結果'!$G$3^2)+('入力・結果'!$G$4^2)-('入力・結果'!$G$5^2)+('入力・結果'!$G$6^2)-(2*'入力・結果'!$G$3*'入力・結果'!$G$4*COS(RADIANS(S317))))/(2*'入力・結果'!$G$6*(('入力・結果'!$G$3^2)+('入力・結果'!$G$4^2)-(2*'入力・結果'!$G$3*'入力・結果'!$G$4*(COS(RADIANS(S317)))))^(1/2))))</f>
        <v>77.57962139</v>
      </c>
      <c r="AA317" s="38">
        <f>DEGREES(ACOS(('入力・結果'!$G$4-('入力・結果'!$G$3*COS(RADIANS(S317))))/((('入力・結果'!$G$3^2)+('入力・結果'!$G$4^2)-(2*'入力・結果'!$G$3*'入力・結果'!$G$4*COS(RADIANS(S317))))^(1/2))))</f>
        <v>36.60279314</v>
      </c>
      <c r="AB317" s="38">
        <f>DEGREES(ACOS((('入力・結果'!$G$3^2)+('入力・結果'!$G$4^2)+('入力・結果'!$G$5^2)-('入力・結果'!$G$6^2)-(2*'入力・結果'!$G$3*'入力・結果'!$G$4*COS(RADIANS(S317))))/(2*'入力・結果'!$G$5*(('入力・結果'!$G$3^2)+('入力・結果'!$G$4^2)-(2*'入力・結果'!$G$3*'入力・結果'!$G$4*(COS(RADIANS(S317)))))^(1/2))))</f>
        <v>49.42670487</v>
      </c>
      <c r="AC317" s="37">
        <f t="shared" si="19"/>
        <v>-745.8475356</v>
      </c>
      <c r="AD317" s="37">
        <f t="shared" si="20"/>
        <v>0</v>
      </c>
      <c r="AE317" s="37" t="str">
        <f t="shared" si="21"/>
        <v/>
      </c>
      <c r="AF317" s="37" t="str">
        <f t="shared" si="22"/>
        <v/>
      </c>
      <c r="AG317" s="35"/>
      <c r="AH317" s="35"/>
      <c r="AI317" s="35"/>
      <c r="AJ317" s="35">
        <v>314.0</v>
      </c>
      <c r="AK317" s="35">
        <f t="shared" si="1"/>
        <v>0.785157227</v>
      </c>
    </row>
    <row r="318" ht="12.75" customHeight="1">
      <c r="A318" s="35"/>
      <c r="B318" s="37">
        <v>314.0</v>
      </c>
      <c r="C318" s="38">
        <f t="shared" si="2"/>
        <v>34.73291852</v>
      </c>
      <c r="D318" s="38">
        <f t="shared" si="3"/>
        <v>35.96699002</v>
      </c>
      <c r="E318" s="38">
        <f>'演算'!U318</f>
        <v>147.097542</v>
      </c>
      <c r="F318" s="38">
        <f t="shared" si="4"/>
        <v>-147.097542</v>
      </c>
      <c r="G318" s="38">
        <f t="shared" si="5"/>
        <v>496.5110273</v>
      </c>
      <c r="H318" s="38">
        <f t="shared" si="6"/>
        <v>334.7327483</v>
      </c>
      <c r="I318" s="39">
        <f t="shared" si="7"/>
        <v>598.8064904</v>
      </c>
      <c r="J318" s="38">
        <f t="shared" si="8"/>
        <v>-33.98666004</v>
      </c>
      <c r="K318" s="38" t="str">
        <f t="shared" si="9"/>
        <v/>
      </c>
      <c r="L318" s="38">
        <f t="shared" si="10"/>
        <v>2</v>
      </c>
      <c r="M318" s="38">
        <f t="shared" si="11"/>
        <v>326.01334</v>
      </c>
      <c r="N318" s="39">
        <f t="shared" si="12"/>
        <v>276.01334</v>
      </c>
      <c r="O318" s="39">
        <f t="shared" si="13"/>
        <v>62.73097466</v>
      </c>
      <c r="P318" s="39">
        <f t="shared" si="14"/>
        <v>595.5115765</v>
      </c>
      <c r="Q318" s="38">
        <f t="shared" si="15"/>
        <v>416.7950223</v>
      </c>
      <c r="R318" s="38">
        <f t="shared" si="16"/>
        <v>-431.6038802</v>
      </c>
      <c r="S318" s="40">
        <v>314.0</v>
      </c>
      <c r="T318" s="37">
        <f t="shared" si="24"/>
        <v>13.09754199</v>
      </c>
      <c r="U318" s="37">
        <f t="shared" si="18"/>
        <v>147.097542</v>
      </c>
      <c r="V318" s="37">
        <f t="shared" si="23"/>
        <v>1.273630256</v>
      </c>
      <c r="W318" s="37">
        <f>'入力・結果'!$I$7/V318</f>
        <v>253213.2057</v>
      </c>
      <c r="X318" s="39">
        <f>(W318/I318*10)*'入力・結果'!$I$8</f>
        <v>2537.178969</v>
      </c>
      <c r="Y318" s="38">
        <f>DEGREES(ACOS(('入力・結果'!$G$3-('入力・結果'!$G$4*COS(RADIANS(S318))))/((('入力・結果'!$G$3^2)+('入力・結果'!$G$4^2)-(2*'入力・結果'!$G$3*'入力・結果'!$G$4*COS(RADIANS(S318))))^(1/2))))</f>
        <v>97.49651506</v>
      </c>
      <c r="Z318" s="38">
        <f>DEGREES(ACOS((('入力・結果'!$G$3^2)+('入力・結果'!$G$4^2)-('入力・結果'!$G$5^2)+('入力・結果'!$G$6^2)-(2*'入力・結果'!$G$3*'入力・結果'!$G$4*COS(RADIANS(S318))))/(2*'入力・結果'!$G$6*(('入力・結果'!$G$3^2)+('入力・結果'!$G$4^2)-(2*'入力・結果'!$G$3*'入力・結果'!$G$4*(COS(RADIANS(S318)))))^(1/2))))</f>
        <v>78.27538953</v>
      </c>
      <c r="AA318" s="38">
        <f>DEGREES(ACOS(('入力・結果'!$G$4-('入力・結果'!$G$3*COS(RADIANS(S318))))/((('入力・結果'!$G$3^2)+('入力・結果'!$G$4^2)-(2*'入力・結果'!$G$3*'入力・結果'!$G$4*COS(RADIANS(S318))))^(1/2))))</f>
        <v>36.50348494</v>
      </c>
      <c r="AB318" s="38">
        <f>DEGREES(ACOS((('入力・結果'!$G$3^2)+('入力・結果'!$G$4^2)+('入力・結果'!$G$5^2)-('入力・結果'!$G$6^2)-(2*'入力・結果'!$G$3*'入力・結果'!$G$4*COS(RADIANS(S318))))/(2*'入力・結果'!$G$5*(('入力・結果'!$G$3^2)+('入力・結果'!$G$4^2)-(2*'入力・結果'!$G$3*'入力・結果'!$G$4*(COS(RADIANS(S318)))))^(1/2))))</f>
        <v>49.60102692</v>
      </c>
      <c r="AC318" s="37">
        <f t="shared" si="19"/>
        <v>-762.8210305</v>
      </c>
      <c r="AD318" s="37">
        <f t="shared" si="20"/>
        <v>0</v>
      </c>
      <c r="AE318" s="37" t="str">
        <f t="shared" si="21"/>
        <v/>
      </c>
      <c r="AF318" s="37" t="str">
        <f t="shared" si="22"/>
        <v/>
      </c>
      <c r="AG318" s="35"/>
      <c r="AH318" s="35"/>
      <c r="AI318" s="35"/>
      <c r="AJ318" s="35">
        <v>315.0</v>
      </c>
      <c r="AK318" s="35">
        <f t="shared" si="1"/>
        <v>0.7796559252</v>
      </c>
    </row>
    <row r="319" ht="12.75" customHeight="1">
      <c r="A319" s="35"/>
      <c r="B319" s="37">
        <v>315.0</v>
      </c>
      <c r="C319" s="38">
        <f t="shared" si="2"/>
        <v>35.35533906</v>
      </c>
      <c r="D319" s="38">
        <f t="shared" si="3"/>
        <v>35.35533906</v>
      </c>
      <c r="E319" s="38">
        <f>'演算'!U319</f>
        <v>148.3801591</v>
      </c>
      <c r="F319" s="38">
        <f t="shared" si="4"/>
        <v>-148.3801591</v>
      </c>
      <c r="G319" s="38">
        <f t="shared" si="5"/>
        <v>503.7053267</v>
      </c>
      <c r="H319" s="38">
        <f t="shared" si="6"/>
        <v>323.7097894</v>
      </c>
      <c r="I319" s="39">
        <f t="shared" si="7"/>
        <v>598.7546108</v>
      </c>
      <c r="J319" s="38">
        <f t="shared" si="8"/>
        <v>-32.7271143</v>
      </c>
      <c r="K319" s="38" t="str">
        <f t="shared" si="9"/>
        <v/>
      </c>
      <c r="L319" s="38">
        <f t="shared" si="10"/>
        <v>2</v>
      </c>
      <c r="M319" s="38">
        <f t="shared" si="11"/>
        <v>327.2728857</v>
      </c>
      <c r="N319" s="39">
        <f t="shared" si="12"/>
        <v>277.2728857</v>
      </c>
      <c r="O319" s="39">
        <f t="shared" si="13"/>
        <v>75.79945757</v>
      </c>
      <c r="P319" s="39">
        <f t="shared" si="14"/>
        <v>593.9373083</v>
      </c>
      <c r="Q319" s="38">
        <f t="shared" si="15"/>
        <v>424.2640687</v>
      </c>
      <c r="R319" s="38">
        <f t="shared" si="16"/>
        <v>-424.2640687</v>
      </c>
      <c r="S319" s="40">
        <v>315.0</v>
      </c>
      <c r="T319" s="37">
        <f t="shared" si="24"/>
        <v>13.38015906</v>
      </c>
      <c r="U319" s="37">
        <f t="shared" si="18"/>
        <v>148.3801591</v>
      </c>
      <c r="V319" s="37">
        <f t="shared" si="23"/>
        <v>1.282617072</v>
      </c>
      <c r="W319" s="37">
        <f>'入力・結果'!$I$7/V319</f>
        <v>251439.0359</v>
      </c>
      <c r="X319" s="39">
        <f>(W319/I319*10)*'入力・結果'!$I$8</f>
        <v>2519.620205</v>
      </c>
      <c r="Y319" s="38">
        <f>DEGREES(ACOS(('入力・結果'!$G$3-('入力・結果'!$G$4*COS(RADIANS(S319))))/((('入力・結果'!$G$3^2)+('入力・結果'!$G$4^2)-(2*'入力・結果'!$G$3*'入力・結果'!$G$4*COS(RADIANS(S319))))^(1/2))))</f>
        <v>98.61322356</v>
      </c>
      <c r="Z319" s="38">
        <f>DEGREES(ACOS((('入力・結果'!$G$3^2)+('入力・結果'!$G$4^2)-('入力・結果'!$G$5^2)+('入力・結果'!$G$6^2)-(2*'入力・結果'!$G$3*'入力・結果'!$G$4*COS(RADIANS(S319))))/(2*'入力・結果'!$G$6*(('入力・結果'!$G$3^2)+('入力・結果'!$G$4^2)-(2*'入力・結果'!$G$3*'入力・結果'!$G$4*(COS(RADIANS(S319)))))^(1/2))))</f>
        <v>78.97516796</v>
      </c>
      <c r="AA319" s="38">
        <f>DEGREES(ACOS(('入力・結果'!$G$4-('入力・結果'!$G$3*COS(RADIANS(S319))))/((('入力・結果'!$G$3^2)+('入力・結果'!$G$4^2)-(2*'入力・結果'!$G$3*'入力・結果'!$G$4*COS(RADIANS(S319))))^(1/2))))</f>
        <v>36.38677644</v>
      </c>
      <c r="AB319" s="38">
        <f>DEGREES(ACOS((('入力・結果'!$G$3^2)+('入力・結果'!$G$4^2)+('入力・結果'!$G$5^2)-('入力・結果'!$G$6^2)-(2*'入力・結果'!$G$3*'入力・結果'!$G$4*COS(RADIANS(S319))))/(2*'入力・結果'!$G$5*(('入力・結果'!$G$3^2)+('入力・結果'!$G$4^2)-(2*'入力・結果'!$G$3*'入力・結果'!$G$4*(COS(RADIANS(S319)))))^(1/2))))</f>
        <v>49.7669355</v>
      </c>
      <c r="AC319" s="37">
        <f t="shared" si="19"/>
        <v>-780.379795</v>
      </c>
      <c r="AD319" s="37">
        <f t="shared" si="20"/>
        <v>0</v>
      </c>
      <c r="AE319" s="37" t="str">
        <f t="shared" si="21"/>
        <v/>
      </c>
      <c r="AF319" s="37" t="str">
        <f t="shared" si="22"/>
        <v/>
      </c>
      <c r="AG319" s="35"/>
      <c r="AH319" s="35"/>
      <c r="AI319" s="35"/>
      <c r="AJ319" s="35">
        <v>316.0</v>
      </c>
      <c r="AK319" s="35">
        <f t="shared" si="1"/>
        <v>0.7739652992</v>
      </c>
    </row>
    <row r="320" ht="12.75" customHeight="1">
      <c r="A320" s="35"/>
      <c r="B320" s="37">
        <v>316.0</v>
      </c>
      <c r="C320" s="38">
        <f t="shared" si="2"/>
        <v>35.96699002</v>
      </c>
      <c r="D320" s="38">
        <f t="shared" si="3"/>
        <v>34.73291852</v>
      </c>
      <c r="E320" s="38">
        <f>'演算'!U320</f>
        <v>149.6722066</v>
      </c>
      <c r="F320" s="38">
        <f t="shared" si="4"/>
        <v>-149.6722066</v>
      </c>
      <c r="G320" s="38">
        <f t="shared" si="5"/>
        <v>510.6998805</v>
      </c>
      <c r="H320" s="38">
        <f t="shared" si="6"/>
        <v>312.4534303</v>
      </c>
      <c r="I320" s="39">
        <f t="shared" si="7"/>
        <v>598.6998531</v>
      </c>
      <c r="J320" s="38">
        <f t="shared" si="8"/>
        <v>-31.45888614</v>
      </c>
      <c r="K320" s="38" t="str">
        <f t="shared" si="9"/>
        <v/>
      </c>
      <c r="L320" s="38">
        <f t="shared" si="10"/>
        <v>2</v>
      </c>
      <c r="M320" s="38">
        <f t="shared" si="11"/>
        <v>328.5411139</v>
      </c>
      <c r="N320" s="39">
        <f t="shared" si="12"/>
        <v>278.5411139</v>
      </c>
      <c r="O320" s="39">
        <f t="shared" si="13"/>
        <v>88.91834142</v>
      </c>
      <c r="P320" s="39">
        <f t="shared" si="14"/>
        <v>592.0599992</v>
      </c>
      <c r="Q320" s="38">
        <f t="shared" si="15"/>
        <v>431.6038802</v>
      </c>
      <c r="R320" s="38">
        <f t="shared" si="16"/>
        <v>-416.7950223</v>
      </c>
      <c r="S320" s="40">
        <v>316.0</v>
      </c>
      <c r="T320" s="37">
        <f t="shared" si="24"/>
        <v>13.67220665</v>
      </c>
      <c r="U320" s="37">
        <f t="shared" si="18"/>
        <v>149.6722066</v>
      </c>
      <c r="V320" s="37">
        <f t="shared" si="23"/>
        <v>1.29204759</v>
      </c>
      <c r="W320" s="37">
        <f>'入力・結果'!$I$7/V320</f>
        <v>249603.809</v>
      </c>
      <c r="X320" s="39">
        <f>(W320/I320*10)*'入力・結果'!$I$8</f>
        <v>2501.458529</v>
      </c>
      <c r="Y320" s="38">
        <f>DEGREES(ACOS(('入力・結果'!$G$3-('入力・結果'!$G$4*COS(RADIANS(S320))))/((('入力・結果'!$G$3^2)+('入力・結果'!$G$4^2)-(2*'入力・結果'!$G$3*'入力・結果'!$G$4*COS(RADIANS(S320))))^(1/2))))</f>
        <v>99.7480501</v>
      </c>
      <c r="Z320" s="38">
        <f>DEGREES(ACOS((('入力・結果'!$G$3^2)+('入力・結果'!$G$4^2)-('入力・結果'!$G$5^2)+('入力・結果'!$G$6^2)-(2*'入力・結果'!$G$3*'入力・結果'!$G$4*COS(RADIANS(S320))))/(2*'入力・結果'!$G$6*(('入力・結果'!$G$3^2)+('入力・結果'!$G$4^2)-(2*'入力・結果'!$G$3*'入力・結果'!$G$4*(COS(RADIANS(S320)))))^(1/2))))</f>
        <v>79.67900286</v>
      </c>
      <c r="AA320" s="38">
        <f>DEGREES(ACOS(('入力・結果'!$G$4-('入力・結果'!$G$3*COS(RADIANS(S320))))/((('入力・結果'!$G$3^2)+('入力・結果'!$G$4^2)-(2*'入力・結果'!$G$3*'入力・結果'!$G$4*COS(RADIANS(S320))))^(1/2))))</f>
        <v>36.2519499</v>
      </c>
      <c r="AB320" s="38">
        <f>DEGREES(ACOS((('入力・結果'!$G$3^2)+('入力・結果'!$G$4^2)+('入力・結果'!$G$5^2)-('入力・結果'!$G$6^2)-(2*'入力・結果'!$G$3*'入力・結果'!$G$4*COS(RADIANS(S320))))/(2*'入力・結果'!$G$5*(('入力・結果'!$G$3^2)+('入力・結果'!$G$4^2)-(2*'入力・結果'!$G$3*'入力・結果'!$G$4*(COS(RADIANS(S320)))))^(1/2))))</f>
        <v>49.92415655</v>
      </c>
      <c r="AC320" s="37">
        <f t="shared" si="19"/>
        <v>-798.5414707</v>
      </c>
      <c r="AD320" s="37">
        <f t="shared" si="20"/>
        <v>0</v>
      </c>
      <c r="AE320" s="37" t="str">
        <f t="shared" si="21"/>
        <v/>
      </c>
      <c r="AF320" s="37" t="str">
        <f t="shared" si="22"/>
        <v/>
      </c>
      <c r="AG320" s="35"/>
      <c r="AH320" s="35"/>
      <c r="AI320" s="35"/>
      <c r="AJ320" s="35">
        <v>317.0</v>
      </c>
      <c r="AK320" s="35">
        <f t="shared" si="1"/>
        <v>0.7680798262</v>
      </c>
    </row>
    <row r="321" ht="12.75" customHeight="1">
      <c r="A321" s="35"/>
      <c r="B321" s="37">
        <v>317.0</v>
      </c>
      <c r="C321" s="38">
        <f t="shared" si="2"/>
        <v>36.56768508</v>
      </c>
      <c r="D321" s="38">
        <f t="shared" si="3"/>
        <v>34.099918</v>
      </c>
      <c r="E321" s="38">
        <f>'演算'!U321</f>
        <v>150.9741547</v>
      </c>
      <c r="F321" s="38">
        <f t="shared" si="4"/>
        <v>-150.9741547</v>
      </c>
      <c r="G321" s="38">
        <f t="shared" si="5"/>
        <v>517.488195</v>
      </c>
      <c r="H321" s="38">
        <f t="shared" si="6"/>
        <v>300.962173</v>
      </c>
      <c r="I321" s="39">
        <f t="shared" si="7"/>
        <v>598.6420145</v>
      </c>
      <c r="J321" s="38">
        <f t="shared" si="8"/>
        <v>-30.18154128</v>
      </c>
      <c r="K321" s="38" t="str">
        <f t="shared" si="9"/>
        <v/>
      </c>
      <c r="L321" s="38">
        <f t="shared" si="10"/>
        <v>2</v>
      </c>
      <c r="M321" s="38">
        <f t="shared" si="11"/>
        <v>329.8184587</v>
      </c>
      <c r="N321" s="39">
        <f t="shared" si="12"/>
        <v>279.8184587</v>
      </c>
      <c r="O321" s="39">
        <f t="shared" si="13"/>
        <v>102.0845997</v>
      </c>
      <c r="P321" s="39">
        <f t="shared" si="14"/>
        <v>589.8737119</v>
      </c>
      <c r="Q321" s="38">
        <f t="shared" si="15"/>
        <v>438.812221</v>
      </c>
      <c r="R321" s="38">
        <f t="shared" si="16"/>
        <v>-409.199016</v>
      </c>
      <c r="S321" s="40">
        <v>317.0</v>
      </c>
      <c r="T321" s="37">
        <f t="shared" si="24"/>
        <v>13.97415466</v>
      </c>
      <c r="U321" s="37">
        <f t="shared" si="18"/>
        <v>150.9741547</v>
      </c>
      <c r="V321" s="37">
        <f t="shared" si="23"/>
        <v>1.301948008</v>
      </c>
      <c r="W321" s="37">
        <f>'入力・結果'!$I$7/V321</f>
        <v>247705.7439</v>
      </c>
      <c r="X321" s="39">
        <f>(W321/I321*10)*'入力・結果'!$I$8</f>
        <v>2482.676504</v>
      </c>
      <c r="Y321" s="38">
        <f>DEGREES(ACOS(('入力・結果'!$G$3-('入力・結果'!$G$4*COS(RADIANS(S321))))/((('入力・結果'!$G$3^2)+('入力・結果'!$G$4^2)-(2*'入力・結果'!$G$3*'入力・結果'!$G$4*COS(RADIANS(S321))))^(1/2))))</f>
        <v>100.9017431</v>
      </c>
      <c r="Z321" s="38">
        <f>DEGREES(ACOS((('入力・結果'!$G$3^2)+('入力・結果'!$G$4^2)-('入力・結果'!$G$5^2)+('入力・結果'!$G$6^2)-(2*'入力・結果'!$G$3*'入力・結果'!$G$4*COS(RADIANS(S321))))/(2*'入力・結果'!$G$6*(('入力・結果'!$G$3^2)+('入力・結果'!$G$4^2)-(2*'入力・結果'!$G$3*'入力・結果'!$G$4*(COS(RADIANS(S321)))))^(1/2))))</f>
        <v>80.38693035</v>
      </c>
      <c r="AA321" s="38">
        <f>DEGREES(ACOS(('入力・結果'!$G$4-('入力・結果'!$G$3*COS(RADIANS(S321))))/((('入力・結果'!$G$3^2)+('入力・結果'!$G$4^2)-(2*'入力・結果'!$G$3*'入力・結果'!$G$4*COS(RADIANS(S321))))^(1/2))))</f>
        <v>36.09825689</v>
      </c>
      <c r="AB321" s="38">
        <f>DEGREES(ACOS((('入力・結果'!$G$3^2)+('入力・結果'!$G$4^2)+('入力・結果'!$G$5^2)-('入力・結果'!$G$6^2)-(2*'入力・結果'!$G$3*'入力・結果'!$G$4*COS(RADIANS(S321))))/(2*'入力・結果'!$G$5*(('入力・結果'!$G$3^2)+('入力・結果'!$G$4^2)-(2*'入力・結果'!$G$3*'入力・結果'!$G$4*(COS(RADIANS(S321)))))^(1/2))))</f>
        <v>50.07241155</v>
      </c>
      <c r="AC321" s="37">
        <f t="shared" si="19"/>
        <v>-817.3234962</v>
      </c>
      <c r="AD321" s="37">
        <f t="shared" si="20"/>
        <v>0</v>
      </c>
      <c r="AE321" s="37" t="str">
        <f t="shared" si="21"/>
        <v/>
      </c>
      <c r="AF321" s="37" t="str">
        <f t="shared" si="22"/>
        <v/>
      </c>
      <c r="AG321" s="35"/>
      <c r="AH321" s="35"/>
      <c r="AI321" s="35"/>
      <c r="AJ321" s="35">
        <v>318.0</v>
      </c>
      <c r="AK321" s="35">
        <f t="shared" si="1"/>
        <v>0.7619940829</v>
      </c>
    </row>
    <row r="322" ht="12.75" customHeight="1">
      <c r="A322" s="35"/>
      <c r="B322" s="37">
        <v>318.0</v>
      </c>
      <c r="C322" s="38">
        <f t="shared" si="2"/>
        <v>37.15724127</v>
      </c>
      <c r="D322" s="38">
        <f t="shared" si="3"/>
        <v>33.45653032</v>
      </c>
      <c r="E322" s="38">
        <f>'演算'!U322</f>
        <v>152.2865008</v>
      </c>
      <c r="F322" s="38">
        <f t="shared" si="4"/>
        <v>-152.2865008</v>
      </c>
      <c r="G322" s="38">
        <f t="shared" si="5"/>
        <v>524.0634863</v>
      </c>
      <c r="H322" s="38">
        <f t="shared" si="6"/>
        <v>289.2343803</v>
      </c>
      <c r="I322" s="39">
        <f t="shared" si="7"/>
        <v>598.5808754</v>
      </c>
      <c r="J322" s="38">
        <f t="shared" si="8"/>
        <v>-28.89461955</v>
      </c>
      <c r="K322" s="38" t="str">
        <f t="shared" si="9"/>
        <v/>
      </c>
      <c r="L322" s="38">
        <f t="shared" si="10"/>
        <v>2</v>
      </c>
      <c r="M322" s="38">
        <f t="shared" si="11"/>
        <v>331.1053805</v>
      </c>
      <c r="N322" s="39">
        <f t="shared" si="12"/>
        <v>281.1053805</v>
      </c>
      <c r="O322" s="39">
        <f t="shared" si="13"/>
        <v>115.2951259</v>
      </c>
      <c r="P322" s="39">
        <f t="shared" si="14"/>
        <v>587.3721975</v>
      </c>
      <c r="Q322" s="38">
        <f t="shared" si="15"/>
        <v>445.8868953</v>
      </c>
      <c r="R322" s="38">
        <f t="shared" si="16"/>
        <v>-401.4783638</v>
      </c>
      <c r="S322" s="40">
        <v>318.0</v>
      </c>
      <c r="T322" s="37">
        <f t="shared" si="24"/>
        <v>14.2865008</v>
      </c>
      <c r="U322" s="37">
        <f t="shared" si="18"/>
        <v>152.2865008</v>
      </c>
      <c r="V322" s="37">
        <f t="shared" si="23"/>
        <v>1.312346149</v>
      </c>
      <c r="W322" s="37">
        <f>'入力・結果'!$I$7/V322</f>
        <v>245743.0917</v>
      </c>
      <c r="X322" s="39">
        <f>(W322/I322*10)*'入力・結果'!$I$8</f>
        <v>2463.257032</v>
      </c>
      <c r="Y322" s="38">
        <f>DEGREES(ACOS(('入力・結果'!$G$3-('入力・結果'!$G$4*COS(RADIANS(S322))))/((('入力・結果'!$G$3^2)+('入力・結果'!$G$4^2)-(2*'入力・結果'!$G$3*'入力・結果'!$G$4*COS(RADIANS(S322))))^(1/2))))</f>
        <v>102.0750824</v>
      </c>
      <c r="Z322" s="38">
        <f>DEGREES(ACOS((('入力・結果'!$G$3^2)+('入力・結果'!$G$4^2)-('入力・結果'!$G$5^2)+('入力・結果'!$G$6^2)-(2*'入力・結果'!$G$3*'入力・結果'!$G$4*COS(RADIANS(S322))))/(2*'入力・結果'!$G$6*(('入力・結果'!$G$3^2)+('入力・結果'!$G$4^2)-(2*'入力・結果'!$G$3*'入力・結果'!$G$4*(COS(RADIANS(S322)))))^(1/2))))</f>
        <v>81.09897448</v>
      </c>
      <c r="AA322" s="38">
        <f>DEGREES(ACOS(('入力・結果'!$G$4-('入力・結果'!$G$3*COS(RADIANS(S322))))/((('入力・結果'!$G$3^2)+('入力・結果'!$G$4^2)-(2*'入力・結果'!$G$3*'入力・結果'!$G$4*COS(RADIANS(S322))))^(1/2))))</f>
        <v>35.9249176</v>
      </c>
      <c r="AB322" s="38">
        <f>DEGREES(ACOS((('入力・結果'!$G$3^2)+('入力・結果'!$G$4^2)+('入力・結果'!$G$5^2)-('入力・結果'!$G$6^2)-(2*'入力・結果'!$G$3*'入力・結果'!$G$4*COS(RADIANS(S322))))/(2*'入力・結果'!$G$5*(('入力・結果'!$G$3^2)+('入力・結果'!$G$4^2)-(2*'入力・結果'!$G$3*'入力・結果'!$G$4*(COS(RADIANS(S322)))))^(1/2))))</f>
        <v>50.21141841</v>
      </c>
      <c r="AC322" s="37">
        <f t="shared" si="19"/>
        <v>-836.7429684</v>
      </c>
      <c r="AD322" s="37">
        <f t="shared" si="20"/>
        <v>0</v>
      </c>
      <c r="AE322" s="37" t="str">
        <f t="shared" si="21"/>
        <v/>
      </c>
      <c r="AF322" s="37" t="str">
        <f t="shared" si="22"/>
        <v/>
      </c>
      <c r="AG322" s="35"/>
      <c r="AH322" s="35"/>
      <c r="AI322" s="35"/>
      <c r="AJ322" s="35">
        <v>319.0</v>
      </c>
      <c r="AK322" s="35">
        <f t="shared" si="1"/>
        <v>0.7557027959</v>
      </c>
    </row>
    <row r="323" ht="12.75" customHeight="1">
      <c r="A323" s="35"/>
      <c r="B323" s="37">
        <v>319.0</v>
      </c>
      <c r="C323" s="38">
        <f t="shared" si="2"/>
        <v>37.73547901</v>
      </c>
      <c r="D323" s="38">
        <f t="shared" si="3"/>
        <v>32.80295145</v>
      </c>
      <c r="E323" s="38">
        <f>'演算'!U323</f>
        <v>153.6097723</v>
      </c>
      <c r="F323" s="38">
        <f t="shared" si="4"/>
        <v>-153.6097723</v>
      </c>
      <c r="G323" s="38">
        <f t="shared" si="5"/>
        <v>530.4186502</v>
      </c>
      <c r="H323" s="38">
        <f t="shared" si="6"/>
        <v>277.2682717</v>
      </c>
      <c r="I323" s="39">
        <f t="shared" si="7"/>
        <v>598.5161978</v>
      </c>
      <c r="J323" s="38">
        <f t="shared" si="8"/>
        <v>-27.5976333</v>
      </c>
      <c r="K323" s="38" t="str">
        <f t="shared" si="9"/>
        <v/>
      </c>
      <c r="L323" s="38">
        <f t="shared" si="10"/>
        <v>2</v>
      </c>
      <c r="M323" s="38">
        <f t="shared" si="11"/>
        <v>332.4023667</v>
      </c>
      <c r="N323" s="39">
        <f t="shared" si="12"/>
        <v>282.4023667</v>
      </c>
      <c r="O323" s="39">
        <f t="shared" si="13"/>
        <v>128.5467175</v>
      </c>
      <c r="P323" s="39">
        <f t="shared" si="14"/>
        <v>584.5488691</v>
      </c>
      <c r="Q323" s="38">
        <f t="shared" si="15"/>
        <v>452.8257481</v>
      </c>
      <c r="R323" s="38">
        <f t="shared" si="16"/>
        <v>-393.6354174</v>
      </c>
      <c r="S323" s="40">
        <v>319.0</v>
      </c>
      <c r="T323" s="37">
        <f t="shared" si="24"/>
        <v>14.60977234</v>
      </c>
      <c r="U323" s="37">
        <f t="shared" si="18"/>
        <v>153.6097723</v>
      </c>
      <c r="V323" s="37">
        <f t="shared" si="23"/>
        <v>1.323271537</v>
      </c>
      <c r="W323" s="37">
        <f>'入力・結果'!$I$7/V323</f>
        <v>243714.1517</v>
      </c>
      <c r="X323" s="39">
        <f>(W323/I323*10)*'入力・結果'!$I$8</f>
        <v>2443.183519</v>
      </c>
      <c r="Y323" s="38">
        <f>DEGREES(ACOS(('入力・結果'!$G$3-('入力・結果'!$G$4*COS(RADIANS(S323))))/((('入力・結果'!$G$3^2)+('入力・結果'!$G$4^2)-(2*'入力・結果'!$G$3*'入力・結果'!$G$4*COS(RADIANS(S323))))^(1/2))))</f>
        <v>103.2688798</v>
      </c>
      <c r="Z323" s="38">
        <f>DEGREES(ACOS((('入力・結果'!$G$3^2)+('入力・結果'!$G$4^2)-('入力・結果'!$G$5^2)+('入力・結果'!$G$6^2)-(2*'入力・結果'!$G$3*'入力・結果'!$G$4*COS(RADIANS(S323))))/(2*'入力・結果'!$G$6*(('入力・結果'!$G$3^2)+('入力・結果'!$G$4^2)-(2*'入力・結果'!$G$3*'入力・結果'!$G$4*(COS(RADIANS(S323)))))^(1/2))))</f>
        <v>81.81514509</v>
      </c>
      <c r="AA323" s="38">
        <f>DEGREES(ACOS(('入力・結果'!$G$4-('入力・結果'!$G$3*COS(RADIANS(S323))))/((('入力・結果'!$G$3^2)+('入力・結果'!$G$4^2)-(2*'入力・結果'!$G$3*'入力・結果'!$G$4*COS(RADIANS(S323))))^(1/2))))</f>
        <v>35.7311202</v>
      </c>
      <c r="AB323" s="38">
        <f>DEGREES(ACOS((('入力・結果'!$G$3^2)+('入力・結果'!$G$4^2)+('入力・結果'!$G$5^2)-('入力・結果'!$G$6^2)-(2*'入力・結果'!$G$3*'入力・結果'!$G$4*COS(RADIANS(S323))))/(2*'入力・結果'!$G$5*(('入力・結果'!$G$3^2)+('入力・結果'!$G$4^2)-(2*'入力・結果'!$G$3*'入力・結果'!$G$4*(COS(RADIANS(S323)))))^(1/2))))</f>
        <v>50.34089255</v>
      </c>
      <c r="AC323" s="37">
        <f t="shared" si="19"/>
        <v>-856.8164814</v>
      </c>
      <c r="AD323" s="37">
        <f t="shared" si="20"/>
        <v>0</v>
      </c>
      <c r="AE323" s="37" t="str">
        <f t="shared" si="21"/>
        <v/>
      </c>
      <c r="AF323" s="37" t="str">
        <f t="shared" si="22"/>
        <v/>
      </c>
      <c r="AG323" s="35"/>
      <c r="AH323" s="35"/>
      <c r="AI323" s="35"/>
      <c r="AJ323" s="35">
        <v>320.0</v>
      </c>
      <c r="AK323" s="35">
        <f t="shared" si="1"/>
        <v>0.7492008978</v>
      </c>
    </row>
    <row r="324" ht="12.75" customHeight="1">
      <c r="A324" s="35"/>
      <c r="B324" s="37">
        <v>320.0</v>
      </c>
      <c r="C324" s="38">
        <f t="shared" si="2"/>
        <v>38.30222216</v>
      </c>
      <c r="D324" s="38">
        <f t="shared" si="3"/>
        <v>32.13938048</v>
      </c>
      <c r="E324" s="38">
        <f>'演算'!U324</f>
        <v>154.9445278</v>
      </c>
      <c r="F324" s="38">
        <f t="shared" si="4"/>
        <v>-154.9445278</v>
      </c>
      <c r="G324" s="38">
        <f t="shared" si="5"/>
        <v>536.5462294</v>
      </c>
      <c r="H324" s="38">
        <f t="shared" si="6"/>
        <v>265.0619196</v>
      </c>
      <c r="I324" s="39">
        <f t="shared" si="7"/>
        <v>598.4477233</v>
      </c>
      <c r="J324" s="38">
        <f t="shared" si="8"/>
        <v>-26.29006569</v>
      </c>
      <c r="K324" s="38" t="str">
        <f t="shared" si="9"/>
        <v/>
      </c>
      <c r="L324" s="38">
        <f t="shared" si="10"/>
        <v>2</v>
      </c>
      <c r="M324" s="38">
        <f t="shared" si="11"/>
        <v>333.7099343</v>
      </c>
      <c r="N324" s="39">
        <f t="shared" si="12"/>
        <v>283.7099343</v>
      </c>
      <c r="O324" s="39">
        <f t="shared" si="13"/>
        <v>141.8360578</v>
      </c>
      <c r="P324" s="39">
        <f t="shared" si="14"/>
        <v>581.3967752</v>
      </c>
      <c r="Q324" s="38">
        <f t="shared" si="15"/>
        <v>459.6266659</v>
      </c>
      <c r="R324" s="38">
        <f t="shared" si="16"/>
        <v>-385.6725658</v>
      </c>
      <c r="S324" s="40">
        <v>320.0</v>
      </c>
      <c r="T324" s="37">
        <f t="shared" si="24"/>
        <v>14.94452782</v>
      </c>
      <c r="U324" s="37">
        <f t="shared" si="18"/>
        <v>154.9445278</v>
      </c>
      <c r="V324" s="37">
        <f t="shared" si="23"/>
        <v>1.334755475</v>
      </c>
      <c r="W324" s="37">
        <f>'入力・結果'!$I$7/V324</f>
        <v>241617.2895</v>
      </c>
      <c r="X324" s="39">
        <f>(W324/I324*10)*'入力・結果'!$I$8</f>
        <v>2422.440057</v>
      </c>
      <c r="Y324" s="38">
        <f>DEGREES(ACOS(('入力・結果'!$G$3-('入力・結果'!$G$4*COS(RADIANS(S324))))/((('入力・結果'!$G$3^2)+('入力・結果'!$G$4^2)-(2*'入力・結果'!$G$3*'入力・結果'!$G$4*COS(RADIANS(S324))))^(1/2))))</f>
        <v>104.4839796</v>
      </c>
      <c r="Z324" s="38">
        <f>DEGREES(ACOS((('入力・結果'!$G$3^2)+('入力・結果'!$G$4^2)-('入力・結果'!$G$5^2)+('入力・結果'!$G$6^2)-(2*'入力・結果'!$G$3*'入力・結果'!$G$4*COS(RADIANS(S324))))/(2*'入力・結果'!$G$6*(('入力・結果'!$G$3^2)+('入力・結果'!$G$4^2)-(2*'入力・結果'!$G$3*'入力・結果'!$G$4*(COS(RADIANS(S324)))))^(1/2))))</f>
        <v>82.53543523</v>
      </c>
      <c r="AA324" s="38">
        <f>DEGREES(ACOS(('入力・結果'!$G$4-('入力・結果'!$G$3*COS(RADIANS(S324))))/((('入力・結果'!$G$3^2)+('入力・結果'!$G$4^2)-(2*'入力・結果'!$G$3*'入力・結果'!$G$4*COS(RADIANS(S324))))^(1/2))))</f>
        <v>35.51602038</v>
      </c>
      <c r="AB324" s="38">
        <f>DEGREES(ACOS((('入力・結果'!$G$3^2)+('入力・結果'!$G$4^2)+('入力・結果'!$G$5^2)-('入力・結果'!$G$6^2)-(2*'入力・結果'!$G$3*'入力・結果'!$G$4*COS(RADIANS(S324))))/(2*'入力・結果'!$G$5*(('入力・結果'!$G$3^2)+('入力・結果'!$G$4^2)-(2*'入力・結果'!$G$3*'入力・結果'!$G$4*(COS(RADIANS(S324)))))^(1/2))))</f>
        <v>50.4605482</v>
      </c>
      <c r="AC324" s="37">
        <f t="shared" si="19"/>
        <v>-877.5599426</v>
      </c>
      <c r="AD324" s="37">
        <f t="shared" si="20"/>
        <v>0</v>
      </c>
      <c r="AE324" s="37" t="str">
        <f t="shared" si="21"/>
        <v/>
      </c>
      <c r="AF324" s="37" t="str">
        <f t="shared" si="22"/>
        <v/>
      </c>
      <c r="AG324" s="35"/>
      <c r="AH324" s="35"/>
      <c r="AI324" s="35"/>
      <c r="AJ324" s="35">
        <v>321.0</v>
      </c>
      <c r="AK324" s="35">
        <f t="shared" si="1"/>
        <v>0.7424835919</v>
      </c>
    </row>
    <row r="325" ht="12.75" customHeight="1">
      <c r="A325" s="35"/>
      <c r="B325" s="37">
        <v>321.0</v>
      </c>
      <c r="C325" s="38">
        <f t="shared" si="2"/>
        <v>38.85729807</v>
      </c>
      <c r="D325" s="38">
        <f t="shared" si="3"/>
        <v>31.46601955</v>
      </c>
      <c r="E325" s="38">
        <f>'演算'!U325</f>
        <v>156.2913589</v>
      </c>
      <c r="F325" s="38">
        <f t="shared" si="4"/>
        <v>-156.2913589</v>
      </c>
      <c r="G325" s="38">
        <f t="shared" si="5"/>
        <v>542.4383778</v>
      </c>
      <c r="H325" s="38">
        <f t="shared" si="6"/>
        <v>252.6132469</v>
      </c>
      <c r="I325" s="39">
        <f t="shared" si="7"/>
        <v>598.3751718</v>
      </c>
      <c r="J325" s="38">
        <f t="shared" si="8"/>
        <v>-24.97136897</v>
      </c>
      <c r="K325" s="38" t="str">
        <f t="shared" si="9"/>
        <v/>
      </c>
      <c r="L325" s="38">
        <f t="shared" si="10"/>
        <v>2</v>
      </c>
      <c r="M325" s="38">
        <f t="shared" si="11"/>
        <v>335.028631</v>
      </c>
      <c r="N325" s="39">
        <f t="shared" si="12"/>
        <v>285.028631</v>
      </c>
      <c r="O325" s="39">
        <f t="shared" si="13"/>
        <v>155.1596942</v>
      </c>
      <c r="P325" s="39">
        <f t="shared" si="14"/>
        <v>577.9085702</v>
      </c>
      <c r="Q325" s="38">
        <f t="shared" si="15"/>
        <v>466.2875769</v>
      </c>
      <c r="R325" s="38">
        <f t="shared" si="16"/>
        <v>-377.5922346</v>
      </c>
      <c r="S325" s="40">
        <v>321.0</v>
      </c>
      <c r="T325" s="37">
        <f t="shared" si="24"/>
        <v>15.29135893</v>
      </c>
      <c r="U325" s="37">
        <f t="shared" si="18"/>
        <v>156.2913589</v>
      </c>
      <c r="V325" s="37">
        <f t="shared" si="23"/>
        <v>1.34683111</v>
      </c>
      <c r="W325" s="37">
        <f>'入力・結果'!$I$7/V325</f>
        <v>239450.9584</v>
      </c>
      <c r="X325" s="39">
        <f>(W325/I325*10)*'入力・結果'!$I$8</f>
        <v>2401.011636</v>
      </c>
      <c r="Y325" s="38">
        <f>DEGREES(ACOS(('入力・結果'!$G$3-('入力・結果'!$G$4*COS(RADIANS(S325))))/((('入力・結果'!$G$3^2)+('入力・結果'!$G$4^2)-(2*'入力・結果'!$G$3*'入力・結果'!$G$4*COS(RADIANS(S325))))^(1/2))))</f>
        <v>105.7212589</v>
      </c>
      <c r="Z325" s="38">
        <f>DEGREES(ACOS((('入力・結果'!$G$3^2)+('入力・結果'!$G$4^2)-('入力・結果'!$G$5^2)+('入力・結果'!$G$6^2)-(2*'入力・結果'!$G$3*'入力・結果'!$G$4*COS(RADIANS(S325))))/(2*'入力・結果'!$G$6*(('入力・結果'!$G$3^2)+('入力・結果'!$G$4^2)-(2*'入力・結果'!$G$3*'入力・結果'!$G$4*(COS(RADIANS(S325)))))^(1/2))))</f>
        <v>83.25981833</v>
      </c>
      <c r="AA325" s="38">
        <f>DEGREES(ACOS(('入力・結果'!$G$4-('入力・結果'!$G$3*COS(RADIANS(S325))))/((('入力・結果'!$G$3^2)+('入力・結果'!$G$4^2)-(2*'入力・結果'!$G$3*'入力・結果'!$G$4*COS(RADIANS(S325))))^(1/2))))</f>
        <v>35.27874106</v>
      </c>
      <c r="AB325" s="38">
        <f>DEGREES(ACOS((('入力・結果'!$G$3^2)+('入力・結果'!$G$4^2)+('入力・結果'!$G$5^2)-('入力・結果'!$G$6^2)-(2*'入力・結果'!$G$3*'入力・結果'!$G$4*COS(RADIANS(S325))))/(2*'入力・結果'!$G$5*(('入力・結果'!$G$3^2)+('入力・結果'!$G$4^2)-(2*'入力・結果'!$G$3*'入力・結果'!$G$4*(COS(RADIANS(S325)))))^(1/2))))</f>
        <v>50.57009999</v>
      </c>
      <c r="AC325" s="37">
        <f t="shared" si="19"/>
        <v>-898.9883636</v>
      </c>
      <c r="AD325" s="37">
        <f t="shared" si="20"/>
        <v>0</v>
      </c>
      <c r="AE325" s="37" t="str">
        <f t="shared" si="21"/>
        <v/>
      </c>
      <c r="AF325" s="37" t="str">
        <f t="shared" si="22"/>
        <v/>
      </c>
      <c r="AG325" s="35"/>
      <c r="AH325" s="35"/>
      <c r="AI325" s="35"/>
      <c r="AJ325" s="35">
        <v>322.0</v>
      </c>
      <c r="AK325" s="35">
        <f t="shared" si="1"/>
        <v>0.7355464254</v>
      </c>
    </row>
    <row r="326" ht="12.75" customHeight="1">
      <c r="A326" s="35"/>
      <c r="B326" s="37">
        <v>322.0</v>
      </c>
      <c r="C326" s="38">
        <f t="shared" si="2"/>
        <v>39.40053768</v>
      </c>
      <c r="D326" s="38">
        <f t="shared" si="3"/>
        <v>30.78307377</v>
      </c>
      <c r="E326" s="38">
        <f>'演算'!U326</f>
        <v>157.6508924</v>
      </c>
      <c r="F326" s="38">
        <f t="shared" si="4"/>
        <v>-157.6508924</v>
      </c>
      <c r="G326" s="38">
        <f t="shared" si="5"/>
        <v>548.0868207</v>
      </c>
      <c r="H326" s="38">
        <f t="shared" si="6"/>
        <v>239.9200277</v>
      </c>
      <c r="I326" s="39">
        <f t="shared" si="7"/>
        <v>598.2982389</v>
      </c>
      <c r="J326" s="38">
        <f t="shared" si="8"/>
        <v>-23.64096264</v>
      </c>
      <c r="K326" s="38" t="str">
        <f t="shared" si="9"/>
        <v/>
      </c>
      <c r="L326" s="38">
        <f t="shared" si="10"/>
        <v>2</v>
      </c>
      <c r="M326" s="38">
        <f t="shared" si="11"/>
        <v>336.3590374</v>
      </c>
      <c r="N326" s="39">
        <f t="shared" si="12"/>
        <v>286.3590374</v>
      </c>
      <c r="O326" s="39">
        <f t="shared" si="13"/>
        <v>168.5140134</v>
      </c>
      <c r="P326" s="39">
        <f t="shared" si="14"/>
        <v>574.0764844</v>
      </c>
      <c r="Q326" s="38">
        <f t="shared" si="15"/>
        <v>472.8064522</v>
      </c>
      <c r="R326" s="38">
        <f t="shared" si="16"/>
        <v>-369.3968852</v>
      </c>
      <c r="S326" s="40">
        <v>322.0</v>
      </c>
      <c r="T326" s="37">
        <f t="shared" si="24"/>
        <v>15.65089242</v>
      </c>
      <c r="U326" s="37">
        <f t="shared" si="18"/>
        <v>157.6508924</v>
      </c>
      <c r="V326" s="37">
        <f t="shared" si="23"/>
        <v>1.359533492</v>
      </c>
      <c r="W326" s="37">
        <f>'入力・結果'!$I$7/V326</f>
        <v>237213.7222</v>
      </c>
      <c r="X326" s="39">
        <f>(W326/I326*10)*'入力・結果'!$I$8</f>
        <v>2378.884377</v>
      </c>
      <c r="Y326" s="38">
        <f>DEGREES(ACOS(('入力・結果'!$G$3-('入力・結果'!$G$4*COS(RADIANS(S326))))/((('入力・結果'!$G$3^2)+('入力・結果'!$G$4^2)-(2*'入力・結果'!$G$3*'入力・結果'!$G$4*COS(RADIANS(S326))))^(1/2))))</f>
        <v>106.9816276</v>
      </c>
      <c r="Z326" s="38">
        <f>DEGREES(ACOS((('入力・結果'!$G$3^2)+('入力・結果'!$G$4^2)-('入力・結果'!$G$5^2)+('入力・結果'!$G$6^2)-(2*'入力・結果'!$G$3*'入力・結果'!$G$4*COS(RADIANS(S326))))/(2*'入力・結果'!$G$6*(('入力・結果'!$G$3^2)+('入力・結果'!$G$4^2)-(2*'入力・結果'!$G$3*'入力・結果'!$G$4*(COS(RADIANS(S326)))))^(1/2))))</f>
        <v>83.98824496</v>
      </c>
      <c r="AA326" s="38">
        <f>DEGREES(ACOS(('入力・結果'!$G$4-('入力・結果'!$G$3*COS(RADIANS(S326))))/((('入力・結果'!$G$3^2)+('入力・結果'!$G$4^2)-(2*'入力・結果'!$G$3*'入力・結果'!$G$4*COS(RADIANS(S326))))^(1/2))))</f>
        <v>35.01837238</v>
      </c>
      <c r="AB326" s="38">
        <f>DEGREES(ACOS((('入力・結果'!$G$3^2)+('入力・結果'!$G$4^2)+('入力・結果'!$G$5^2)-('入力・結果'!$G$6^2)-(2*'入力・結果'!$G$3*'入力・結果'!$G$4*COS(RADIANS(S326))))/(2*'入力・結果'!$G$5*(('入力・結果'!$G$3^2)+('入力・結果'!$G$4^2)-(2*'入力・結果'!$G$3*'入力・結果'!$G$4*(COS(RADIANS(S326)))))^(1/2))))</f>
        <v>50.6692648</v>
      </c>
      <c r="AC326" s="37">
        <f t="shared" si="19"/>
        <v>-921.1156233</v>
      </c>
      <c r="AD326" s="37">
        <f t="shared" si="20"/>
        <v>0</v>
      </c>
      <c r="AE326" s="37" t="str">
        <f t="shared" si="21"/>
        <v/>
      </c>
      <c r="AF326" s="37" t="str">
        <f t="shared" si="22"/>
        <v/>
      </c>
      <c r="AG326" s="35"/>
      <c r="AH326" s="35"/>
      <c r="AI326" s="35"/>
      <c r="AJ326" s="35">
        <v>323.0</v>
      </c>
      <c r="AK326" s="35">
        <f t="shared" si="1"/>
        <v>0.7283853713</v>
      </c>
    </row>
    <row r="327" ht="12.75" customHeight="1">
      <c r="A327" s="35"/>
      <c r="B327" s="37">
        <v>323.0</v>
      </c>
      <c r="C327" s="38">
        <f t="shared" si="2"/>
        <v>39.9317755</v>
      </c>
      <c r="D327" s="38">
        <f t="shared" si="3"/>
        <v>30.09075116</v>
      </c>
      <c r="E327" s="38">
        <f>'演算'!U327</f>
        <v>159.023792</v>
      </c>
      <c r="F327" s="38">
        <f t="shared" si="4"/>
        <v>-159.023792</v>
      </c>
      <c r="G327" s="38">
        <f t="shared" si="5"/>
        <v>553.4828124</v>
      </c>
      <c r="H327" s="38">
        <f t="shared" si="6"/>
        <v>226.9798886</v>
      </c>
      <c r="I327" s="39">
        <f t="shared" si="7"/>
        <v>598.2165941</v>
      </c>
      <c r="J327" s="38">
        <f t="shared" si="8"/>
        <v>-22.29823161</v>
      </c>
      <c r="K327" s="38" t="str">
        <f t="shared" si="9"/>
        <v/>
      </c>
      <c r="L327" s="38">
        <f t="shared" si="10"/>
        <v>2</v>
      </c>
      <c r="M327" s="38">
        <f t="shared" si="11"/>
        <v>337.7017684</v>
      </c>
      <c r="N327" s="39">
        <f t="shared" si="12"/>
        <v>287.7017684</v>
      </c>
      <c r="O327" s="39">
        <f t="shared" si="13"/>
        <v>181.8952116</v>
      </c>
      <c r="P327" s="39">
        <f t="shared" si="14"/>
        <v>569.8922929</v>
      </c>
      <c r="Q327" s="38">
        <f t="shared" si="15"/>
        <v>479.181306</v>
      </c>
      <c r="R327" s="38">
        <f t="shared" si="16"/>
        <v>-361.0890139</v>
      </c>
      <c r="S327" s="40">
        <v>323.0</v>
      </c>
      <c r="T327" s="37">
        <f t="shared" si="24"/>
        <v>16.02379204</v>
      </c>
      <c r="U327" s="37">
        <f t="shared" si="18"/>
        <v>159.023792</v>
      </c>
      <c r="V327" s="37">
        <f t="shared" si="23"/>
        <v>1.372899621</v>
      </c>
      <c r="W327" s="37">
        <f>'入力・結果'!$I$7/V327</f>
        <v>234904.2822</v>
      </c>
      <c r="X327" s="39">
        <f>(W327/I327*10)*'入力・結果'!$I$8</f>
        <v>2356.045799</v>
      </c>
      <c r="Y327" s="38">
        <f>DEGREES(ACOS(('入力・結果'!$G$3-('入力・結果'!$G$4*COS(RADIANS(S327))))/((('入力・結果'!$G$3^2)+('入力・結果'!$G$4^2)-(2*'入力・結果'!$G$3*'入力・結果'!$G$4*COS(RADIANS(S327))))^(1/2))))</f>
        <v>108.2660281</v>
      </c>
      <c r="Z327" s="38">
        <f>DEGREES(ACOS((('入力・結果'!$G$3^2)+('入力・結果'!$G$4^2)-('入力・結果'!$G$5^2)+('入力・結果'!$G$6^2)-(2*'入力・結果'!$G$3*'入力・結果'!$G$4*COS(RADIANS(S327))))/(2*'入力・結果'!$G$6*(('入力・結果'!$G$3^2)+('入力・結果'!$G$4^2)-(2*'入力・結果'!$G$3*'入力・結果'!$G$4*(COS(RADIANS(S327)))))^(1/2))))</f>
        <v>84.72063918</v>
      </c>
      <c r="AA327" s="38">
        <f>DEGREES(ACOS(('入力・結果'!$G$4-('入力・結果'!$G$3*COS(RADIANS(S327))))/((('入力・結果'!$G$3^2)+('入力・結果'!$G$4^2)-(2*'入力・結果'!$G$3*'入力・結果'!$G$4*COS(RADIANS(S327))))^(1/2))))</f>
        <v>34.7339719</v>
      </c>
      <c r="AB327" s="38">
        <f>DEGREES(ACOS((('入力・結果'!$G$3^2)+('入力・結果'!$G$4^2)+('入力・結果'!$G$5^2)-('入力・結果'!$G$6^2)-(2*'入力・結果'!$G$3*'入力・結果'!$G$4*COS(RADIANS(S327))))/(2*'入力・結果'!$G$5*(('入力・結果'!$G$3^2)+('入力・結果'!$G$4^2)-(2*'入力・結果'!$G$3*'入力・結果'!$G$4*(COS(RADIANS(S327)))))^(1/2))))</f>
        <v>50.75776393</v>
      </c>
      <c r="AC327" s="37">
        <f t="shared" si="19"/>
        <v>-943.9542011</v>
      </c>
      <c r="AD327" s="37">
        <f t="shared" si="20"/>
        <v>0</v>
      </c>
      <c r="AE327" s="37" t="str">
        <f t="shared" si="21"/>
        <v/>
      </c>
      <c r="AF327" s="37" t="str">
        <f t="shared" si="22"/>
        <v/>
      </c>
      <c r="AG327" s="35"/>
      <c r="AH327" s="35"/>
      <c r="AI327" s="35"/>
      <c r="AJ327" s="35">
        <v>324.0</v>
      </c>
      <c r="AK327" s="35">
        <f t="shared" si="1"/>
        <v>0.7209969208</v>
      </c>
    </row>
    <row r="328" ht="12.75" customHeight="1">
      <c r="A328" s="35"/>
      <c r="B328" s="37">
        <v>324.0</v>
      </c>
      <c r="C328" s="38">
        <f t="shared" si="2"/>
        <v>40.45084972</v>
      </c>
      <c r="D328" s="38">
        <f t="shared" si="3"/>
        <v>29.38926261</v>
      </c>
      <c r="E328" s="38">
        <f>'演算'!U328</f>
        <v>160.4107605</v>
      </c>
      <c r="F328" s="38">
        <f t="shared" si="4"/>
        <v>-160.4107605</v>
      </c>
      <c r="G328" s="38">
        <f t="shared" si="5"/>
        <v>558.6170896</v>
      </c>
      <c r="H328" s="38">
        <f t="shared" si="6"/>
        <v>213.7903143</v>
      </c>
      <c r="I328" s="39">
        <f t="shared" si="7"/>
        <v>598.1298783</v>
      </c>
      <c r="J328" s="38">
        <f t="shared" si="8"/>
        <v>-20.94252429</v>
      </c>
      <c r="K328" s="38" t="str">
        <f t="shared" si="9"/>
        <v/>
      </c>
      <c r="L328" s="38">
        <f t="shared" si="10"/>
        <v>2</v>
      </c>
      <c r="M328" s="38">
        <f t="shared" si="11"/>
        <v>339.0574757</v>
      </c>
      <c r="N328" s="39">
        <f t="shared" si="12"/>
        <v>289.0574757</v>
      </c>
      <c r="O328" s="39">
        <f t="shared" si="13"/>
        <v>195.2992615</v>
      </c>
      <c r="P328" s="39">
        <f t="shared" si="14"/>
        <v>565.3472824</v>
      </c>
      <c r="Q328" s="38">
        <f t="shared" si="15"/>
        <v>485.4101966</v>
      </c>
      <c r="R328" s="38">
        <f t="shared" si="16"/>
        <v>-352.6711514</v>
      </c>
      <c r="S328" s="40">
        <v>324.0</v>
      </c>
      <c r="T328" s="37">
        <f t="shared" si="24"/>
        <v>16.41076051</v>
      </c>
      <c r="U328" s="37">
        <f t="shared" si="18"/>
        <v>160.4107605</v>
      </c>
      <c r="V328" s="37">
        <f t="shared" si="23"/>
        <v>1.386968475</v>
      </c>
      <c r="W328" s="37">
        <f>'入力・結果'!$I$7/V328</f>
        <v>232521.5069</v>
      </c>
      <c r="X328" s="39">
        <f>(W328/I328*10)*'入力・結果'!$I$8</f>
        <v>2332.485121</v>
      </c>
      <c r="Y328" s="38">
        <f>DEGREES(ACOS(('入力・結果'!$G$3-('入力・結果'!$G$4*COS(RADIANS(S328))))/((('入力・結果'!$G$3^2)+('入力・結果'!$G$4^2)-(2*'入力・結果'!$G$3*'入力・結果'!$G$4*COS(RADIANS(S328))))^(1/2))))</f>
        <v>109.5754348</v>
      </c>
      <c r="Z328" s="38">
        <f>DEGREES(ACOS((('入力・結果'!$G$3^2)+('入力・結果'!$G$4^2)-('入力・結果'!$G$5^2)+('入力・結果'!$G$6^2)-(2*'入力・結果'!$G$3*'入力・結果'!$G$4*COS(RADIANS(S328))))/(2*'入力・結果'!$G$6*(('入力・結果'!$G$3^2)+('入力・結果'!$G$4^2)-(2*'入力・結果'!$G$3*'入力・結果'!$G$4*(COS(RADIANS(S328)))))^(1/2))))</f>
        <v>85.45689442</v>
      </c>
      <c r="AA328" s="38">
        <f>DEGREES(ACOS(('入力・結果'!$G$4-('入力・結果'!$G$3*COS(RADIANS(S328))))/((('入力・結果'!$G$3^2)+('入力・結果'!$G$4^2)-(2*'入力・結果'!$G$3*'入力・結果'!$G$4*COS(RADIANS(S328))))^(1/2))))</f>
        <v>34.42456517</v>
      </c>
      <c r="AB328" s="38">
        <f>DEGREES(ACOS((('入力・結果'!$G$3^2)+('入力・結果'!$G$4^2)+('入力・結果'!$G$5^2)-('入力・結果'!$G$6^2)-(2*'入力・結果'!$G$3*'入力・結果'!$G$4*COS(RADIANS(S328))))/(2*'入力・結果'!$G$5*(('入力・結果'!$G$3^2)+('入力・結果'!$G$4^2)-(2*'入力・結果'!$G$3*'入力・結果'!$G$4*(COS(RADIANS(S328)))))^(1/2))))</f>
        <v>50.83532569</v>
      </c>
      <c r="AC328" s="37">
        <f t="shared" si="19"/>
        <v>-967.5148787</v>
      </c>
      <c r="AD328" s="37">
        <f t="shared" si="20"/>
        <v>0</v>
      </c>
      <c r="AE328" s="37" t="str">
        <f t="shared" si="21"/>
        <v/>
      </c>
      <c r="AF328" s="37" t="str">
        <f t="shared" si="22"/>
        <v/>
      </c>
      <c r="AG328" s="35"/>
      <c r="AH328" s="35"/>
      <c r="AI328" s="35"/>
      <c r="AJ328" s="35">
        <v>325.0</v>
      </c>
      <c r="AK328" s="35">
        <f t="shared" si="1"/>
        <v>0.7133781854</v>
      </c>
    </row>
    <row r="329" ht="12.75" customHeight="1">
      <c r="A329" s="35"/>
      <c r="B329" s="37">
        <v>325.0</v>
      </c>
      <c r="C329" s="38">
        <f t="shared" si="2"/>
        <v>40.95760221</v>
      </c>
      <c r="D329" s="38">
        <f t="shared" si="3"/>
        <v>28.67882182</v>
      </c>
      <c r="E329" s="38">
        <f>'演算'!U329</f>
        <v>161.8125415</v>
      </c>
      <c r="F329" s="38">
        <f t="shared" si="4"/>
        <v>-161.8125415</v>
      </c>
      <c r="G329" s="38">
        <f t="shared" si="5"/>
        <v>563.4798201</v>
      </c>
      <c r="H329" s="38">
        <f t="shared" si="6"/>
        <v>200.3486557</v>
      </c>
      <c r="I329" s="39">
        <f t="shared" si="7"/>
        <v>598.0377007</v>
      </c>
      <c r="J329" s="38">
        <f t="shared" si="8"/>
        <v>-19.57315067</v>
      </c>
      <c r="K329" s="38" t="str">
        <f t="shared" si="9"/>
        <v/>
      </c>
      <c r="L329" s="38">
        <f t="shared" si="10"/>
        <v>2</v>
      </c>
      <c r="M329" s="38">
        <f t="shared" si="11"/>
        <v>340.4268493</v>
      </c>
      <c r="N329" s="39">
        <f t="shared" si="12"/>
        <v>290.4268493</v>
      </c>
      <c r="O329" s="39">
        <f t="shared" si="13"/>
        <v>208.7218723</v>
      </c>
      <c r="P329" s="39">
        <f t="shared" si="14"/>
        <v>560.4322185</v>
      </c>
      <c r="Q329" s="38">
        <f t="shared" si="15"/>
        <v>491.4912266</v>
      </c>
      <c r="R329" s="38">
        <f t="shared" si="16"/>
        <v>-344.1458618</v>
      </c>
      <c r="S329" s="40">
        <v>325.0</v>
      </c>
      <c r="T329" s="37">
        <f t="shared" si="24"/>
        <v>16.81254153</v>
      </c>
      <c r="U329" s="37">
        <f t="shared" si="18"/>
        <v>161.8125415</v>
      </c>
      <c r="V329" s="37">
        <f t="shared" si="23"/>
        <v>1.40178102</v>
      </c>
      <c r="W329" s="37">
        <f>'入力・結果'!$I$7/V329</f>
        <v>230064.4648</v>
      </c>
      <c r="X329" s="39">
        <f>(W329/I329*10)*'入力・結果'!$I$8</f>
        <v>2308.193592</v>
      </c>
      <c r="Y329" s="38">
        <f>DEGREES(ACOS(('入力・結果'!$G$3-('入力・結果'!$G$4*COS(RADIANS(S329))))/((('入力・結果'!$G$3^2)+('入力・結果'!$G$4^2)-(2*'入力・結果'!$G$3*'入力・結果'!$G$4*COS(RADIANS(S329))))^(1/2))))</f>
        <v>110.9108532</v>
      </c>
      <c r="Z329" s="38">
        <f>DEGREES(ACOS((('入力・結果'!$G$3^2)+('入力・結果'!$G$4^2)-('入力・結果'!$G$5^2)+('入力・結果'!$G$6^2)-(2*'入力・結果'!$G$3*'入力・結果'!$G$4*COS(RADIANS(S329))))/(2*'入力・結果'!$G$6*(('入力・結果'!$G$3^2)+('入力・結果'!$G$4^2)-(2*'入力・結果'!$G$3*'入力・結果'!$G$4*(COS(RADIANS(S329)))))^(1/2))))</f>
        <v>86.19686885</v>
      </c>
      <c r="AA329" s="38">
        <f>DEGREES(ACOS(('入力・結果'!$G$4-('入力・結果'!$G$3*COS(RADIANS(S329))))/((('入力・結果'!$G$3^2)+('入力・結果'!$G$4^2)-(2*'入力・結果'!$G$3*'入力・結果'!$G$4*COS(RADIANS(S329))))^(1/2))))</f>
        <v>34.08914678</v>
      </c>
      <c r="AB329" s="38">
        <f>DEGREES(ACOS((('入力・結果'!$G$3^2)+('入力・結果'!$G$4^2)+('入力・結果'!$G$5^2)-('入力・結果'!$G$6^2)-(2*'入力・結果'!$G$3*'入力・結果'!$G$4*COS(RADIANS(S329))))/(2*'入力・結果'!$G$5*(('入力・結果'!$G$3^2)+('入力・結果'!$G$4^2)-(2*'入力・結果'!$G$3*'入力・結果'!$G$4*(COS(RADIANS(S329)))))^(1/2))))</f>
        <v>50.90168831</v>
      </c>
      <c r="AC329" s="37">
        <f t="shared" si="19"/>
        <v>-991.8064077</v>
      </c>
      <c r="AD329" s="37">
        <f t="shared" si="20"/>
        <v>0</v>
      </c>
      <c r="AE329" s="37" t="str">
        <f t="shared" si="21"/>
        <v/>
      </c>
      <c r="AF329" s="37" t="str">
        <f t="shared" si="22"/>
        <v/>
      </c>
      <c r="AG329" s="35"/>
      <c r="AH329" s="35"/>
      <c r="AI329" s="35"/>
      <c r="AJ329" s="35">
        <v>326.0</v>
      </c>
      <c r="AK329" s="35">
        <f t="shared" si="1"/>
        <v>0.7055270106</v>
      </c>
    </row>
    <row r="330" ht="12.75" customHeight="1">
      <c r="A330" s="35"/>
      <c r="B330" s="37">
        <v>326.0</v>
      </c>
      <c r="C330" s="38">
        <f t="shared" si="2"/>
        <v>41.45187863</v>
      </c>
      <c r="D330" s="38">
        <f t="shared" si="3"/>
        <v>27.95964517</v>
      </c>
      <c r="E330" s="38">
        <f>'演算'!U330</f>
        <v>163.2299217</v>
      </c>
      <c r="F330" s="38">
        <f t="shared" si="4"/>
        <v>-163.2299217</v>
      </c>
      <c r="G330" s="38">
        <f t="shared" si="5"/>
        <v>568.0605484</v>
      </c>
      <c r="H330" s="38">
        <f t="shared" si="6"/>
        <v>186.652143</v>
      </c>
      <c r="I330" s="39">
        <f t="shared" si="7"/>
        <v>597.9396367</v>
      </c>
      <c r="J330" s="38">
        <f t="shared" si="8"/>
        <v>-18.18938044</v>
      </c>
      <c r="K330" s="38" t="str">
        <f t="shared" si="9"/>
        <v/>
      </c>
      <c r="L330" s="38">
        <f t="shared" si="10"/>
        <v>2</v>
      </c>
      <c r="M330" s="38">
        <f t="shared" si="11"/>
        <v>341.8106196</v>
      </c>
      <c r="N330" s="39">
        <f t="shared" si="12"/>
        <v>291.8106196</v>
      </c>
      <c r="O330" s="39">
        <f t="shared" si="13"/>
        <v>222.1584451</v>
      </c>
      <c r="P330" s="39">
        <f t="shared" si="14"/>
        <v>555.1373114</v>
      </c>
      <c r="Q330" s="38">
        <f t="shared" si="15"/>
        <v>497.4225435</v>
      </c>
      <c r="R330" s="38">
        <f t="shared" si="16"/>
        <v>-335.5157421</v>
      </c>
      <c r="S330" s="40">
        <v>326.0</v>
      </c>
      <c r="T330" s="37">
        <f t="shared" si="24"/>
        <v>17.22992171</v>
      </c>
      <c r="U330" s="37">
        <f t="shared" si="18"/>
        <v>163.2299217</v>
      </c>
      <c r="V330" s="37">
        <f t="shared" si="23"/>
        <v>1.417380178</v>
      </c>
      <c r="W330" s="37">
        <f>'入力・結果'!$I$7/V330</f>
        <v>227532.4609</v>
      </c>
      <c r="X330" s="39">
        <f>(W330/I330*10)*'入力・結果'!$I$8</f>
        <v>2283.164858</v>
      </c>
      <c r="Y330" s="38">
        <f>DEGREES(ACOS(('入力・結果'!$G$3-('入力・結果'!$G$4*COS(RADIANS(S330))))/((('入力・結果'!$G$3^2)+('入力・結果'!$G$4^2)-(2*'入力・結果'!$G$3*'入力・結果'!$G$4*COS(RADIANS(S330))))^(1/2))))</f>
        <v>112.2733183</v>
      </c>
      <c r="Z330" s="38">
        <f>DEGREES(ACOS((('入力・結果'!$G$3^2)+('入力・結果'!$G$4^2)-('入力・結果'!$G$5^2)+('入力・結果'!$G$6^2)-(2*'入力・結果'!$G$3*'入力・結果'!$G$4*COS(RADIANS(S330))))/(2*'入力・結果'!$G$6*(('入力・結果'!$G$3^2)+('入力・結果'!$G$4^2)-(2*'入力・結果'!$G$3*'入力・結果'!$G$4*(COS(RADIANS(S330)))))^(1/2))))</f>
        <v>86.94038024</v>
      </c>
      <c r="AA330" s="38">
        <f>DEGREES(ACOS(('入力・結果'!$G$4-('入力・結果'!$G$3*COS(RADIANS(S330))))/((('入力・結果'!$G$3^2)+('入力・結果'!$G$4^2)-(2*'入力・結果'!$G$3*'入力・結果'!$G$4*COS(RADIANS(S330))))^(1/2))))</f>
        <v>33.72668171</v>
      </c>
      <c r="AB330" s="38">
        <f>DEGREES(ACOS((('入力・結果'!$G$3^2)+('入力・結果'!$G$4^2)+('入力・結果'!$G$5^2)-('入力・結果'!$G$6^2)-(2*'入力・結果'!$G$3*'入力・結果'!$G$4*COS(RADIANS(S330))))/(2*'入力・結果'!$G$5*(('入力・結果'!$G$3^2)+('入力・結果'!$G$4^2)-(2*'入力・結果'!$G$3*'入力・結果'!$G$4*(COS(RADIANS(S330)))))^(1/2))))</f>
        <v>50.95660342</v>
      </c>
      <c r="AC330" s="37">
        <f t="shared" si="19"/>
        <v>-1016.835142</v>
      </c>
      <c r="AD330" s="37">
        <f t="shared" si="20"/>
        <v>0</v>
      </c>
      <c r="AE330" s="37" t="str">
        <f t="shared" si="21"/>
        <v/>
      </c>
      <c r="AF330" s="37" t="str">
        <f t="shared" si="22"/>
        <v/>
      </c>
      <c r="AG330" s="35"/>
      <c r="AH330" s="35"/>
      <c r="AI330" s="35"/>
      <c r="AJ330" s="35">
        <v>327.0</v>
      </c>
      <c r="AK330" s="35">
        <f t="shared" si="1"/>
        <v>0.6974421002</v>
      </c>
    </row>
    <row r="331" ht="12.75" customHeight="1">
      <c r="A331" s="35"/>
      <c r="B331" s="37">
        <v>327.0</v>
      </c>
      <c r="C331" s="38">
        <f t="shared" si="2"/>
        <v>41.9335284</v>
      </c>
      <c r="D331" s="38">
        <f t="shared" si="3"/>
        <v>27.23195175</v>
      </c>
      <c r="E331" s="38">
        <f>'演算'!U331</f>
        <v>164.6637325</v>
      </c>
      <c r="F331" s="38">
        <f t="shared" si="4"/>
        <v>-164.6637325</v>
      </c>
      <c r="G331" s="38">
        <f t="shared" si="5"/>
        <v>572.3481367</v>
      </c>
      <c r="H331" s="38">
        <f t="shared" si="6"/>
        <v>172.6979042</v>
      </c>
      <c r="I331" s="39">
        <f t="shared" si="7"/>
        <v>597.8352245</v>
      </c>
      <c r="J331" s="38">
        <f t="shared" si="8"/>
        <v>-16.79044108</v>
      </c>
      <c r="K331" s="38" t="str">
        <f t="shared" si="9"/>
        <v/>
      </c>
      <c r="L331" s="38">
        <f t="shared" si="10"/>
        <v>2</v>
      </c>
      <c r="M331" s="38">
        <f t="shared" si="11"/>
        <v>343.2095589</v>
      </c>
      <c r="N331" s="39">
        <f t="shared" si="12"/>
        <v>293.2095589</v>
      </c>
      <c r="O331" s="39">
        <f t="shared" si="13"/>
        <v>235.6040209</v>
      </c>
      <c r="P331" s="39">
        <f t="shared" si="14"/>
        <v>549.4521827</v>
      </c>
      <c r="Q331" s="38">
        <f t="shared" si="15"/>
        <v>503.2023408</v>
      </c>
      <c r="R331" s="38">
        <f t="shared" si="16"/>
        <v>-326.783421</v>
      </c>
      <c r="S331" s="40">
        <v>327.0</v>
      </c>
      <c r="T331" s="37">
        <f t="shared" si="24"/>
        <v>17.66373249</v>
      </c>
      <c r="U331" s="37">
        <f t="shared" si="18"/>
        <v>164.6637325</v>
      </c>
      <c r="V331" s="37">
        <f t="shared" si="23"/>
        <v>1.433810778</v>
      </c>
      <c r="W331" s="37">
        <f>'入力・結果'!$I$7/V331</f>
        <v>224925.0773</v>
      </c>
      <c r="X331" s="39">
        <f>(W331/I331*10)*'入力・結果'!$I$8</f>
        <v>2257.395363</v>
      </c>
      <c r="Y331" s="38">
        <f>DEGREES(ACOS(('入力・結果'!$G$3-('入力・結果'!$G$4*COS(RADIANS(S331))))/((('入力・結果'!$G$3^2)+('入力・結果'!$G$4^2)-(2*'入力・結果'!$G$3*'入力・結果'!$G$4*COS(RADIANS(S331))))^(1/2))))</f>
        <v>113.6638925</v>
      </c>
      <c r="Z331" s="38">
        <f>DEGREES(ACOS((('入力・結果'!$G$3^2)+('入力・結果'!$G$4^2)-('入力・結果'!$G$5^2)+('入力・結果'!$G$6^2)-(2*'入力・結果'!$G$3*'入力・結果'!$G$4*COS(RADIANS(S331))))/(2*'入力・結果'!$G$6*(('入力・結果'!$G$3^2)+('入力・結果'!$G$4^2)-(2*'入力・結果'!$G$3*'入力・結果'!$G$4*(COS(RADIANS(S331)))))^(1/2))))</f>
        <v>87.68720014</v>
      </c>
      <c r="AA331" s="38">
        <f>DEGREES(ACOS(('入力・結果'!$G$4-('入力・結果'!$G$3*COS(RADIANS(S331))))/((('入力・結果'!$G$3^2)+('入力・結果'!$G$4^2)-(2*'入力・結果'!$G$3*'入力・結果'!$G$4*COS(RADIANS(S331))))^(1/2))))</f>
        <v>33.33610748</v>
      </c>
      <c r="AB331" s="38">
        <f>DEGREES(ACOS((('入力・結果'!$G$3^2)+('入力・結果'!$G$4^2)+('入力・結果'!$G$5^2)-('入力・結果'!$G$6^2)-(2*'入力・結果'!$G$3*'入力・結果'!$G$4*COS(RADIANS(S331))))/(2*'入力・結果'!$G$5*(('入力・結果'!$G$3^2)+('入力・結果'!$G$4^2)-(2*'入力・結果'!$G$3*'入力・結果'!$G$4*(COS(RADIANS(S331)))))^(1/2))))</f>
        <v>50.99983997</v>
      </c>
      <c r="AC331" s="37">
        <f t="shared" si="19"/>
        <v>-1042.604637</v>
      </c>
      <c r="AD331" s="37">
        <f t="shared" si="20"/>
        <v>0</v>
      </c>
      <c r="AE331" s="37" t="str">
        <f t="shared" si="21"/>
        <v/>
      </c>
      <c r="AF331" s="37" t="str">
        <f t="shared" si="22"/>
        <v/>
      </c>
      <c r="AG331" s="35"/>
      <c r="AH331" s="35"/>
      <c r="AI331" s="35"/>
      <c r="AJ331" s="35">
        <v>328.0</v>
      </c>
      <c r="AK331" s="35">
        <f t="shared" si="1"/>
        <v>0.6891231519</v>
      </c>
    </row>
    <row r="332" ht="12.75" customHeight="1">
      <c r="A332" s="35"/>
      <c r="B332" s="37">
        <v>328.0</v>
      </c>
      <c r="C332" s="38">
        <f t="shared" si="2"/>
        <v>42.40240481</v>
      </c>
      <c r="D332" s="38">
        <f t="shared" si="3"/>
        <v>26.49596321</v>
      </c>
      <c r="E332" s="38">
        <f>'演算'!U332</f>
        <v>166.1148519</v>
      </c>
      <c r="F332" s="38">
        <f t="shared" si="4"/>
        <v>-166.1148519</v>
      </c>
      <c r="G332" s="38">
        <f t="shared" si="5"/>
        <v>576.3307006</v>
      </c>
      <c r="H332" s="38">
        <f t="shared" si="6"/>
        <v>158.4829888</v>
      </c>
      <c r="I332" s="39">
        <f t="shared" si="7"/>
        <v>597.7239616</v>
      </c>
      <c r="J332" s="38">
        <f t="shared" si="8"/>
        <v>-15.37551611</v>
      </c>
      <c r="K332" s="38" t="str">
        <f t="shared" si="9"/>
        <v/>
      </c>
      <c r="L332" s="38">
        <f t="shared" si="10"/>
        <v>2</v>
      </c>
      <c r="M332" s="38">
        <f t="shared" si="11"/>
        <v>344.6244839</v>
      </c>
      <c r="N332" s="39">
        <f t="shared" si="12"/>
        <v>294.6244839</v>
      </c>
      <c r="O332" s="39">
        <f t="shared" si="13"/>
        <v>249.0532206</v>
      </c>
      <c r="P332" s="39">
        <f t="shared" si="14"/>
        <v>543.3658322</v>
      </c>
      <c r="Q332" s="38">
        <f t="shared" si="15"/>
        <v>508.8288577</v>
      </c>
      <c r="R332" s="38">
        <f t="shared" si="16"/>
        <v>-317.9515585</v>
      </c>
      <c r="S332" s="40">
        <v>328.0</v>
      </c>
      <c r="T332" s="37">
        <f t="shared" si="24"/>
        <v>18.11485193</v>
      </c>
      <c r="U332" s="37">
        <f t="shared" si="18"/>
        <v>166.1148519</v>
      </c>
      <c r="V332" s="37">
        <f t="shared" si="23"/>
        <v>1.451119437</v>
      </c>
      <c r="W332" s="37">
        <f>'入力・結果'!$I$7/V332</f>
        <v>222242.2165</v>
      </c>
      <c r="X332" s="39">
        <f>(W332/I332*10)*'入力・結果'!$I$8</f>
        <v>2230.884798</v>
      </c>
      <c r="Y332" s="38">
        <f>DEGREES(ACOS(('入力・結果'!$G$3-('入力・結果'!$G$4*COS(RADIANS(S332))))/((('入力・結果'!$G$3^2)+('入力・結果'!$G$4^2)-(2*'入力・結果'!$G$3*'入力・結果'!$G$4*COS(RADIANS(S332))))^(1/2))))</f>
        <v>115.0836633</v>
      </c>
      <c r="Z332" s="38">
        <f>DEGREES(ACOS((('入力・結果'!$G$3^2)+('入力・結果'!$G$4^2)-('入力・結果'!$G$5^2)+('入力・結果'!$G$6^2)-(2*'入力・結果'!$G$3*'入力・結果'!$G$4*COS(RADIANS(S332))))/(2*'入力・結果'!$G$6*(('入力・結果'!$G$3^2)+('入力・結果'!$G$4^2)-(2*'入力・結果'!$G$3*'入力・結果'!$G$4*(COS(RADIANS(S332)))))^(1/2))))</f>
        <v>88.43704754</v>
      </c>
      <c r="AA332" s="38">
        <f>DEGREES(ACOS(('入力・結果'!$G$4-('入力・結果'!$G$3*COS(RADIANS(S332))))/((('入力・結果'!$G$3^2)+('入力・結果'!$G$4^2)-(2*'入力・結果'!$G$3*'入力・結果'!$G$4*COS(RADIANS(S332))))^(1/2))))</f>
        <v>32.91633673</v>
      </c>
      <c r="AB332" s="38">
        <f>DEGREES(ACOS((('入力・結果'!$G$3^2)+('入力・結果'!$G$4^2)+('入力・結果'!$G$5^2)-('入力・結果'!$G$6^2)-(2*'入力・結果'!$G$3*'入力・結果'!$G$4*COS(RADIANS(S332))))/(2*'入力・結果'!$G$5*(('入力・結果'!$G$3^2)+('入力・結果'!$G$4^2)-(2*'入力・結果'!$G$3*'入力・結果'!$G$4*(COS(RADIANS(S332)))))^(1/2))))</f>
        <v>51.03118865</v>
      </c>
      <c r="AC332" s="37">
        <f t="shared" si="19"/>
        <v>-1069.115202</v>
      </c>
      <c r="AD332" s="37">
        <f t="shared" si="20"/>
        <v>0</v>
      </c>
      <c r="AE332" s="37" t="str">
        <f t="shared" si="21"/>
        <v/>
      </c>
      <c r="AF332" s="37" t="str">
        <f t="shared" si="22"/>
        <v/>
      </c>
      <c r="AG332" s="35"/>
      <c r="AH332" s="35"/>
      <c r="AI332" s="35"/>
      <c r="AJ332" s="35">
        <v>329.0</v>
      </c>
      <c r="AK332" s="35">
        <f t="shared" si="1"/>
        <v>0.6805710046</v>
      </c>
    </row>
    <row r="333" ht="12.75" customHeight="1">
      <c r="A333" s="35"/>
      <c r="B333" s="37">
        <v>329.0</v>
      </c>
      <c r="C333" s="38">
        <f t="shared" si="2"/>
        <v>42.85836504</v>
      </c>
      <c r="D333" s="38">
        <f t="shared" si="3"/>
        <v>25.75190375</v>
      </c>
      <c r="E333" s="38">
        <f>'演算'!U333</f>
        <v>167.5842063</v>
      </c>
      <c r="F333" s="38">
        <f t="shared" si="4"/>
        <v>-167.5842063</v>
      </c>
      <c r="G333" s="38">
        <f t="shared" si="5"/>
        <v>579.995542</v>
      </c>
      <c r="H333" s="38">
        <f t="shared" si="6"/>
        <v>144.0044009</v>
      </c>
      <c r="I333" s="39">
        <f t="shared" si="7"/>
        <v>597.6053014</v>
      </c>
      <c r="J333" s="38">
        <f t="shared" si="8"/>
        <v>-13.94374342</v>
      </c>
      <c r="K333" s="38" t="str">
        <f t="shared" si="9"/>
        <v/>
      </c>
      <c r="L333" s="38">
        <f t="shared" si="10"/>
        <v>2</v>
      </c>
      <c r="M333" s="38">
        <f t="shared" si="11"/>
        <v>346.0562566</v>
      </c>
      <c r="N333" s="39">
        <f t="shared" si="12"/>
        <v>296.0562566</v>
      </c>
      <c r="O333" s="39">
        <f t="shared" si="13"/>
        <v>262.500177</v>
      </c>
      <c r="P333" s="39">
        <f t="shared" si="14"/>
        <v>536.8666067</v>
      </c>
      <c r="Q333" s="38">
        <f t="shared" si="15"/>
        <v>514.3003804</v>
      </c>
      <c r="R333" s="38">
        <f t="shared" si="16"/>
        <v>-309.0228449</v>
      </c>
      <c r="S333" s="40">
        <v>329.0</v>
      </c>
      <c r="T333" s="37">
        <f t="shared" si="24"/>
        <v>18.58420633</v>
      </c>
      <c r="U333" s="37">
        <f t="shared" si="18"/>
        <v>167.5842063</v>
      </c>
      <c r="V333" s="37">
        <f t="shared" si="23"/>
        <v>1.4693544</v>
      </c>
      <c r="W333" s="37">
        <f>'入力・結果'!$I$7/V333</f>
        <v>219484.149</v>
      </c>
      <c r="X333" s="39">
        <f>(W333/I333*10)*'入力・結果'!$I$8</f>
        <v>2203.636566</v>
      </c>
      <c r="Y333" s="38">
        <f>DEGREES(ACOS(('入力・結果'!$G$3-('入力・結果'!$G$4*COS(RADIANS(S333))))/((('入力・結果'!$G$3^2)+('入力・結果'!$G$4^2)-(2*'入力・結果'!$G$3*'入力・結果'!$G$4*COS(RADIANS(S333))))^(1/2))))</f>
        <v>116.5337393</v>
      </c>
      <c r="Z333" s="38">
        <f>DEGREES(ACOS((('入力・結果'!$G$3^2)+('入力・結果'!$G$4^2)-('入力・結果'!$G$5^2)+('入力・結果'!$G$6^2)-(2*'入力・結果'!$G$3*'入力・結果'!$G$4*COS(RADIANS(S333))))/(2*'入力・結果'!$G$6*(('入力・結果'!$G$3^2)+('入力・結果'!$G$4^2)-(2*'入力・結果'!$G$3*'入力・結果'!$G$4*(COS(RADIANS(S333)))))^(1/2))))</f>
        <v>89.18958179</v>
      </c>
      <c r="AA333" s="38">
        <f>DEGREES(ACOS(('入力・結果'!$G$4-('入力・結果'!$G$3*COS(RADIANS(S333))))/((('入力・結果'!$G$3^2)+('入力・結果'!$G$4^2)-(2*'入力・結果'!$G$3*'入力・結果'!$G$4*COS(RADIANS(S333))))^(1/2))))</f>
        <v>32.46626074</v>
      </c>
      <c r="AB333" s="38">
        <f>DEGREES(ACOS((('入力・結果'!$G$3^2)+('入力・結果'!$G$4^2)+('入力・結果'!$G$5^2)-('入力・結果'!$G$6^2)-(2*'入力・結果'!$G$3*'入力・結果'!$G$4*COS(RADIANS(S333))))/(2*'入力・結果'!$G$5*(('入力・結果'!$G$3^2)+('入力・結果'!$G$4^2)-(2*'入力・結果'!$G$3*'入力・結果'!$G$4*(COS(RADIANS(S333)))))^(1/2))))</f>
        <v>51.05046706</v>
      </c>
      <c r="AC333" s="37">
        <f t="shared" si="19"/>
        <v>-1096.363434</v>
      </c>
      <c r="AD333" s="37">
        <f t="shared" si="20"/>
        <v>0</v>
      </c>
      <c r="AE333" s="37" t="str">
        <f t="shared" si="21"/>
        <v/>
      </c>
      <c r="AF333" s="37" t="str">
        <f t="shared" si="22"/>
        <v/>
      </c>
      <c r="AG333" s="35"/>
      <c r="AH333" s="35"/>
      <c r="AI333" s="35"/>
      <c r="AJ333" s="35">
        <v>330.0</v>
      </c>
      <c r="AK333" s="35">
        <f t="shared" si="1"/>
        <v>0.6717877961</v>
      </c>
    </row>
    <row r="334" ht="12.75" customHeight="1">
      <c r="A334" s="35"/>
      <c r="B334" s="37">
        <v>330.0</v>
      </c>
      <c r="C334" s="38">
        <f t="shared" si="2"/>
        <v>43.30127019</v>
      </c>
      <c r="D334" s="38">
        <f t="shared" si="3"/>
        <v>25</v>
      </c>
      <c r="E334" s="38">
        <f>'演算'!U334</f>
        <v>169.0727716</v>
      </c>
      <c r="F334" s="38">
        <f t="shared" si="4"/>
        <v>-169.0727716</v>
      </c>
      <c r="G334" s="38">
        <f t="shared" si="5"/>
        <v>583.3290766</v>
      </c>
      <c r="H334" s="38">
        <f t="shared" si="6"/>
        <v>129.25914</v>
      </c>
      <c r="I334" s="39">
        <f t="shared" si="7"/>
        <v>597.4786498</v>
      </c>
      <c r="J334" s="38">
        <f t="shared" si="8"/>
        <v>-12.49421385</v>
      </c>
      <c r="K334" s="38" t="str">
        <f t="shared" si="9"/>
        <v/>
      </c>
      <c r="L334" s="38">
        <f t="shared" si="10"/>
        <v>2</v>
      </c>
      <c r="M334" s="38">
        <f t="shared" si="11"/>
        <v>347.5057862</v>
      </c>
      <c r="N334" s="39">
        <f t="shared" si="12"/>
        <v>297.5057862</v>
      </c>
      <c r="O334" s="39">
        <f t="shared" si="13"/>
        <v>275.9384569</v>
      </c>
      <c r="P334" s="39">
        <f t="shared" si="14"/>
        <v>529.9421713</v>
      </c>
      <c r="Q334" s="38">
        <f t="shared" si="15"/>
        <v>519.6152423</v>
      </c>
      <c r="R334" s="38">
        <f t="shared" si="16"/>
        <v>-300</v>
      </c>
      <c r="S334" s="40">
        <v>330.0</v>
      </c>
      <c r="T334" s="37">
        <f t="shared" si="24"/>
        <v>19.07277162</v>
      </c>
      <c r="U334" s="37">
        <f t="shared" si="18"/>
        <v>169.0727716</v>
      </c>
      <c r="V334" s="37">
        <f t="shared" si="23"/>
        <v>1.488565297</v>
      </c>
      <c r="W334" s="37">
        <f>'入力・結果'!$I$7/V334</f>
        <v>216651.5642</v>
      </c>
      <c r="X334" s="39">
        <f>(W334/I334*10)*'入力・結果'!$I$8</f>
        <v>2175.658303</v>
      </c>
      <c r="Y334" s="38">
        <f>DEGREES(ACOS(('入力・結果'!$G$3-('入力・結果'!$G$4*COS(RADIANS(S334))))/((('入力・結果'!$G$3^2)+('入力・結果'!$G$4^2)-(2*'入力・結果'!$G$3*'入力・結果'!$G$4*COS(RADIANS(S334))))^(1/2))))</f>
        <v>118.0152463</v>
      </c>
      <c r="Z334" s="38">
        <f>DEGREES(ACOS((('入力・結果'!$G$3^2)+('入力・結果'!$G$4^2)-('入力・結果'!$G$5^2)+('入力・結果'!$G$6^2)-(2*'入力・結果'!$G$3*'入力・結果'!$G$4*COS(RADIANS(S334))))/(2*'入力・結果'!$G$6*(('入力・結果'!$G$3^2)+('入力・結果'!$G$4^2)-(2*'入力・結果'!$G$3*'入力・結果'!$G$4*(COS(RADIANS(S334)))))^(1/2))))</f>
        <v>89.94439479</v>
      </c>
      <c r="AA334" s="38">
        <f>DEGREES(ACOS(('入力・結果'!$G$4-('入力・結果'!$G$3*COS(RADIANS(S334))))/((('入力・結果'!$G$3^2)+('入力・結果'!$G$4^2)-(2*'入力・結果'!$G$3*'入力・結果'!$G$4*COS(RADIANS(S334))))^(1/2))))</f>
        <v>31.98475372</v>
      </c>
      <c r="AB334" s="38">
        <f>DEGREES(ACOS((('入力・結果'!$G$3^2)+('入力・結果'!$G$4^2)+('入力・結果'!$G$5^2)-('入力・結果'!$G$6^2)-(2*'入力・結果'!$G$3*'入力・結果'!$G$4*COS(RADIANS(S334))))/(2*'入力・結果'!$G$5*(('入力・結果'!$G$3^2)+('入力・結果'!$G$4^2)-(2*'入力・結果'!$G$3*'入力・結果'!$G$4*(COS(RADIANS(S334)))))^(1/2))))</f>
        <v>51.05752534</v>
      </c>
      <c r="AC334" s="37">
        <f t="shared" si="19"/>
        <v>-1124.341697</v>
      </c>
      <c r="AD334" s="37">
        <f t="shared" si="20"/>
        <v>0</v>
      </c>
      <c r="AE334" s="37" t="str">
        <f t="shared" si="21"/>
        <v/>
      </c>
      <c r="AF334" s="37" t="str">
        <f t="shared" si="22"/>
        <v/>
      </c>
      <c r="AG334" s="35"/>
      <c r="AH334" s="35"/>
      <c r="AI334" s="35"/>
      <c r="AJ334" s="35">
        <v>331.0</v>
      </c>
      <c r="AK334" s="35">
        <f t="shared" si="1"/>
        <v>0.6627771306</v>
      </c>
    </row>
    <row r="335" ht="12.75" customHeight="1">
      <c r="A335" s="35"/>
      <c r="B335" s="37">
        <v>331.0</v>
      </c>
      <c r="C335" s="38">
        <f t="shared" si="2"/>
        <v>43.73098536</v>
      </c>
      <c r="D335" s="38">
        <f t="shared" si="3"/>
        <v>24.24048101</v>
      </c>
      <c r="E335" s="38">
        <f>'演算'!U335</f>
        <v>170.5815744</v>
      </c>
      <c r="F335" s="38">
        <f t="shared" si="4"/>
        <v>-170.5815744</v>
      </c>
      <c r="G335" s="38">
        <f t="shared" si="5"/>
        <v>586.3167583</v>
      </c>
      <c r="H335" s="38">
        <f t="shared" si="6"/>
        <v>114.2442533</v>
      </c>
      <c r="I335" s="39">
        <f t="shared" si="7"/>
        <v>597.3433606</v>
      </c>
      <c r="J335" s="38">
        <f t="shared" si="8"/>
        <v>-11.02596999</v>
      </c>
      <c r="K335" s="38" t="str">
        <f t="shared" si="9"/>
        <v/>
      </c>
      <c r="L335" s="38">
        <f t="shared" si="10"/>
        <v>2</v>
      </c>
      <c r="M335" s="38">
        <f t="shared" si="11"/>
        <v>348.97403</v>
      </c>
      <c r="N335" s="39">
        <f t="shared" si="12"/>
        <v>298.97403</v>
      </c>
      <c r="O335" s="39">
        <f t="shared" si="13"/>
        <v>289.3609722</v>
      </c>
      <c r="P335" s="39">
        <f t="shared" si="14"/>
        <v>522.5794851</v>
      </c>
      <c r="Q335" s="38">
        <f t="shared" si="15"/>
        <v>524.7718243</v>
      </c>
      <c r="R335" s="38">
        <f t="shared" si="16"/>
        <v>-290.8857721</v>
      </c>
      <c r="S335" s="40">
        <v>331.0</v>
      </c>
      <c r="T335" s="37">
        <f t="shared" si="24"/>
        <v>19.58157444</v>
      </c>
      <c r="U335" s="37">
        <f t="shared" si="18"/>
        <v>170.5815744</v>
      </c>
      <c r="V335" s="37">
        <f t="shared" si="23"/>
        <v>1.508802815</v>
      </c>
      <c r="W335" s="37">
        <f>'入力・結果'!$I$7/V335</f>
        <v>213745.6246</v>
      </c>
      <c r="X335" s="39">
        <f>(W335/I335*10)*'入力・結果'!$I$8</f>
        <v>2146.962421</v>
      </c>
      <c r="Y335" s="38">
        <f>DEGREES(ACOS(('入力・結果'!$G$3-('入力・結果'!$G$4*COS(RADIANS(S335))))/((('入力・結果'!$G$3^2)+('入力・結果'!$G$4^2)-(2*'入力・結果'!$G$3*'入力・結果'!$G$4*COS(RADIANS(S335))))^(1/2))))</f>
        <v>119.5293219</v>
      </c>
      <c r="Z335" s="38">
        <f>DEGREES(ACOS((('入力・結果'!$G$3^2)+('入力・結果'!$G$4^2)-('入力・結果'!$G$5^2)+('入力・結果'!$G$6^2)-(2*'入力・結果'!$G$3*'入力・結果'!$G$4*COS(RADIANS(S335))))/(2*'入力・結果'!$G$6*(('入力・結果'!$G$3^2)+('入力・結果'!$G$4^2)-(2*'入力・結果'!$G$3*'入力・結果'!$G$4*(COS(RADIANS(S335)))))^(1/2))))</f>
        <v>90.70100255</v>
      </c>
      <c r="AA335" s="38">
        <f>DEGREES(ACOS(('入力・結果'!$G$4-('入力・結果'!$G$3*COS(RADIANS(S335))))/((('入力・結果'!$G$3^2)+('入力・結果'!$G$4^2)-(2*'入力・結果'!$G$3*'入力・結果'!$G$4*COS(RADIANS(S335))))^(1/2))))</f>
        <v>31.47067815</v>
      </c>
      <c r="AB335" s="38">
        <f>DEGREES(ACOS((('入力・結果'!$G$3^2)+('入力・結果'!$G$4^2)+('入力・結果'!$G$5^2)-('入力・結果'!$G$6^2)-(2*'入力・結果'!$G$3*'入力・結果'!$G$4*COS(RADIANS(S335))))/(2*'入力・結果'!$G$5*(('入力・結果'!$G$3^2)+('入力・結果'!$G$4^2)-(2*'入力・結果'!$G$3*'入力・結果'!$G$4*(COS(RADIANS(S335)))))^(1/2))))</f>
        <v>51.05225258</v>
      </c>
      <c r="AC335" s="37">
        <f t="shared" si="19"/>
        <v>-1153.037579</v>
      </c>
      <c r="AD335" s="37">
        <f t="shared" si="20"/>
        <v>0</v>
      </c>
      <c r="AE335" s="37" t="str">
        <f t="shared" si="21"/>
        <v/>
      </c>
      <c r="AF335" s="37" t="str">
        <f t="shared" si="22"/>
        <v/>
      </c>
      <c r="AG335" s="35"/>
      <c r="AH335" s="35"/>
      <c r="AI335" s="35"/>
      <c r="AJ335" s="35">
        <v>332.0</v>
      </c>
      <c r="AK335" s="35">
        <f t="shared" si="1"/>
        <v>0.6535442554</v>
      </c>
    </row>
    <row r="336" ht="12.75" customHeight="1">
      <c r="A336" s="35"/>
      <c r="B336" s="37">
        <v>332.0</v>
      </c>
      <c r="C336" s="38">
        <f t="shared" si="2"/>
        <v>44.14737964</v>
      </c>
      <c r="D336" s="38">
        <f t="shared" si="3"/>
        <v>23.47357814</v>
      </c>
      <c r="E336" s="38">
        <f>'演算'!U336</f>
        <v>172.1116927</v>
      </c>
      <c r="F336" s="38">
        <f t="shared" si="4"/>
        <v>-172.1116927</v>
      </c>
      <c r="G336" s="38">
        <f t="shared" si="5"/>
        <v>588.9430001</v>
      </c>
      <c r="H336" s="38">
        <f t="shared" si="6"/>
        <v>98.95690028</v>
      </c>
      <c r="I336" s="39">
        <f t="shared" si="7"/>
        <v>597.198732</v>
      </c>
      <c r="J336" s="38">
        <f t="shared" si="8"/>
        <v>-9.538005429</v>
      </c>
      <c r="K336" s="38" t="str">
        <f t="shared" si="9"/>
        <v/>
      </c>
      <c r="L336" s="38">
        <f t="shared" si="10"/>
        <v>2</v>
      </c>
      <c r="M336" s="38">
        <f t="shared" si="11"/>
        <v>350.4619946</v>
      </c>
      <c r="N336" s="39">
        <f t="shared" si="12"/>
        <v>300.4619946</v>
      </c>
      <c r="O336" s="39">
        <f t="shared" si="13"/>
        <v>302.7598797</v>
      </c>
      <c r="P336" s="39">
        <f t="shared" si="14"/>
        <v>514.7647819</v>
      </c>
      <c r="Q336" s="38">
        <f t="shared" si="15"/>
        <v>529.7685557</v>
      </c>
      <c r="R336" s="38">
        <f t="shared" si="16"/>
        <v>-281.6829377</v>
      </c>
      <c r="S336" s="40">
        <v>332.0</v>
      </c>
      <c r="T336" s="37">
        <f t="shared" si="24"/>
        <v>20.1116927</v>
      </c>
      <c r="U336" s="37">
        <f t="shared" si="18"/>
        <v>172.1116927</v>
      </c>
      <c r="V336" s="37">
        <f t="shared" si="23"/>
        <v>1.530118262</v>
      </c>
      <c r="W336" s="37">
        <f>'入力・結果'!$I$7/V336</f>
        <v>210768.0224</v>
      </c>
      <c r="X336" s="39">
        <f>(W336/I336*10)*'入力・結果'!$I$8</f>
        <v>2117.566677</v>
      </c>
      <c r="Y336" s="38">
        <f>DEGREES(ACOS(('入力・結果'!$G$3-('入力・結果'!$G$4*COS(RADIANS(S336))))/((('入力・結果'!$G$3^2)+('入力・結果'!$G$4^2)-(2*'入力・結果'!$G$3*'入力・結果'!$G$4*COS(RADIANS(S336))))^(1/2))))</f>
        <v>121.0771088</v>
      </c>
      <c r="Z336" s="38">
        <f>DEGREES(ACOS((('入力・結果'!$G$3^2)+('入力・結果'!$G$4^2)-('入力・結果'!$G$5^2)+('入力・結果'!$G$6^2)-(2*'入力・結果'!$G$3*'入力・結果'!$G$4*COS(RADIANS(S336))))/(2*'入力・結果'!$G$6*(('入力・結果'!$G$3^2)+('入力・結果'!$G$4^2)-(2*'入力・結果'!$G$3*'入力・結果'!$G$4*(COS(RADIANS(S336)))))^(1/2))))</f>
        <v>91.45883595</v>
      </c>
      <c r="AA336" s="38">
        <f>DEGREES(ACOS(('入力・結果'!$G$4-('入力・結果'!$G$3*COS(RADIANS(S336))))/((('入力・結果'!$G$3^2)+('入力・結果'!$G$4^2)-(2*'入力・結果'!$G$3*'入力・結果'!$G$4*COS(RADIANS(S336))))^(1/2))))</f>
        <v>30.92289121</v>
      </c>
      <c r="AB336" s="38">
        <f>DEGREES(ACOS((('入力・結果'!$G$3^2)+('入力・結果'!$G$4^2)+('入力・結果'!$G$5^2)-('入力・結果'!$G$6^2)-(2*'入力・結果'!$G$3*'入力・結果'!$G$4*COS(RADIANS(S336))))/(2*'入力・結果'!$G$5*(('入力・結果'!$G$3^2)+('入力・結果'!$G$4^2)-(2*'入力・結果'!$G$3*'入力・結果'!$G$4*(COS(RADIANS(S336)))))^(1/2))))</f>
        <v>51.03458391</v>
      </c>
      <c r="AC336" s="37">
        <f t="shared" si="19"/>
        <v>-1182.433323</v>
      </c>
      <c r="AD336" s="37">
        <f t="shared" si="20"/>
        <v>0</v>
      </c>
      <c r="AE336" s="37" t="str">
        <f t="shared" si="21"/>
        <v/>
      </c>
      <c r="AF336" s="37" t="str">
        <f t="shared" si="22"/>
        <v/>
      </c>
      <c r="AG336" s="35"/>
      <c r="AH336" s="35"/>
      <c r="AI336" s="35"/>
      <c r="AJ336" s="35">
        <v>333.0</v>
      </c>
      <c r="AK336" s="35">
        <f t="shared" si="1"/>
        <v>0.6440962445</v>
      </c>
    </row>
    <row r="337" ht="12.75" customHeight="1">
      <c r="A337" s="35"/>
      <c r="B337" s="37">
        <v>333.0</v>
      </c>
      <c r="C337" s="38">
        <f t="shared" si="2"/>
        <v>44.55032621</v>
      </c>
      <c r="D337" s="38">
        <f t="shared" si="3"/>
        <v>22.69952499</v>
      </c>
      <c r="E337" s="38">
        <f>'演算'!U337</f>
        <v>173.6642557</v>
      </c>
      <c r="F337" s="38">
        <f t="shared" si="4"/>
        <v>-173.6642557</v>
      </c>
      <c r="G337" s="38">
        <f t="shared" si="5"/>
        <v>591.1910932</v>
      </c>
      <c r="H337" s="38">
        <f t="shared" si="6"/>
        <v>83.39443283</v>
      </c>
      <c r="I337" s="39">
        <f t="shared" si="7"/>
        <v>597.0440018</v>
      </c>
      <c r="J337" s="38">
        <f t="shared" si="8"/>
        <v>-8.029264398</v>
      </c>
      <c r="K337" s="38" t="str">
        <f t="shared" si="9"/>
        <v/>
      </c>
      <c r="L337" s="38">
        <f t="shared" si="10"/>
        <v>2</v>
      </c>
      <c r="M337" s="38">
        <f t="shared" si="11"/>
        <v>351.9707356</v>
      </c>
      <c r="N337" s="39">
        <f t="shared" si="12"/>
        <v>301.9707356</v>
      </c>
      <c r="O337" s="39">
        <f t="shared" si="13"/>
        <v>316.1264678</v>
      </c>
      <c r="P337" s="39">
        <f t="shared" si="14"/>
        <v>506.4835599</v>
      </c>
      <c r="Q337" s="38">
        <f t="shared" si="15"/>
        <v>534.6039145</v>
      </c>
      <c r="R337" s="38">
        <f t="shared" si="16"/>
        <v>-272.3942998</v>
      </c>
      <c r="S337" s="40">
        <v>333.0</v>
      </c>
      <c r="T337" s="37">
        <f t="shared" si="24"/>
        <v>20.6642557</v>
      </c>
      <c r="U337" s="37">
        <f t="shared" si="18"/>
        <v>173.6642557</v>
      </c>
      <c r="V337" s="37">
        <f t="shared" si="23"/>
        <v>1.552563004</v>
      </c>
      <c r="W337" s="37">
        <f>'入力・結果'!$I$7/V337</f>
        <v>207721.0388</v>
      </c>
      <c r="X337" s="39">
        <f>(W337/I337*10)*'入力・結果'!$I$8</f>
        <v>2087.494773</v>
      </c>
      <c r="Y337" s="38">
        <f>DEGREES(ACOS(('入力・結果'!$G$3-('入力・結果'!$G$4*COS(RADIANS(S337))))/((('入力・結果'!$G$3^2)+('入力・結果'!$G$4^2)-(2*'入力・結果'!$G$3*'入力・結果'!$G$4*COS(RADIANS(S337))))^(1/2))))</f>
        <v>122.6597475</v>
      </c>
      <c r="Z337" s="38">
        <f>DEGREES(ACOS((('入力・結果'!$G$3^2)+('入力・結果'!$G$4^2)-('入力・結果'!$G$5^2)+('入力・結果'!$G$6^2)-(2*'入力・結果'!$G$3*'入力・結果'!$G$4*COS(RADIANS(S337))))/(2*'入力・結果'!$G$6*(('入力・結果'!$G$3^2)+('入力・結果'!$G$4^2)-(2*'入力・結果'!$G$3*'入力・結果'!$G$4*(COS(RADIANS(S337)))))^(1/2))))</f>
        <v>92.21723089</v>
      </c>
      <c r="AA337" s="38">
        <f>DEGREES(ACOS(('入力・結果'!$G$4-('入力・結果'!$G$3*COS(RADIANS(S337))))/((('入力・結果'!$G$3^2)+('入力・結果'!$G$4^2)-(2*'入力・結果'!$G$3*'入力・結果'!$G$4*COS(RADIANS(S337))))^(1/2))))</f>
        <v>30.34025254</v>
      </c>
      <c r="AB337" s="38">
        <f>DEGREES(ACOS((('入力・結果'!$G$3^2)+('入力・結果'!$G$4^2)+('入力・結果'!$G$5^2)-('入力・結果'!$G$6^2)-(2*'入力・結果'!$G$3*'入力・結果'!$G$4*COS(RADIANS(S337))))/(2*'入力・結果'!$G$5*(('入力・結果'!$G$3^2)+('入力・結果'!$G$4^2)-(2*'入力・結果'!$G$3*'入力・結果'!$G$4*(COS(RADIANS(S337)))))^(1/2))))</f>
        <v>51.00450824</v>
      </c>
      <c r="AC337" s="37">
        <f t="shared" si="19"/>
        <v>-1212.505227</v>
      </c>
      <c r="AD337" s="37">
        <f t="shared" si="20"/>
        <v>0</v>
      </c>
      <c r="AE337" s="37" t="str">
        <f t="shared" si="21"/>
        <v/>
      </c>
      <c r="AF337" s="37" t="str">
        <f t="shared" si="22"/>
        <v/>
      </c>
      <c r="AG337" s="35"/>
      <c r="AH337" s="35"/>
      <c r="AI337" s="35"/>
      <c r="AJ337" s="35">
        <v>334.0</v>
      </c>
      <c r="AK337" s="35">
        <f t="shared" si="1"/>
        <v>0.6344421856</v>
      </c>
    </row>
    <row r="338" ht="12.75" customHeight="1">
      <c r="A338" s="35"/>
      <c r="B338" s="37">
        <v>334.0</v>
      </c>
      <c r="C338" s="38">
        <f t="shared" si="2"/>
        <v>44.93970231</v>
      </c>
      <c r="D338" s="38">
        <f t="shared" si="3"/>
        <v>21.91855734</v>
      </c>
      <c r="E338" s="38">
        <f>'演算'!U338</f>
        <v>175.2404435</v>
      </c>
      <c r="F338" s="38">
        <f t="shared" si="4"/>
        <v>-175.2404435</v>
      </c>
      <c r="G338" s="38">
        <f t="shared" si="5"/>
        <v>593.0431245</v>
      </c>
      <c r="H338" s="38">
        <f t="shared" si="6"/>
        <v>67.55449206</v>
      </c>
      <c r="I338" s="39">
        <f t="shared" si="7"/>
        <v>596.8783435</v>
      </c>
      <c r="J338" s="38">
        <f t="shared" si="8"/>
        <v>-6.498642133</v>
      </c>
      <c r="K338" s="38" t="str">
        <f t="shared" si="9"/>
        <v/>
      </c>
      <c r="L338" s="38">
        <f t="shared" si="10"/>
        <v>2</v>
      </c>
      <c r="M338" s="38">
        <f t="shared" si="11"/>
        <v>353.5013579</v>
      </c>
      <c r="N338" s="39">
        <f t="shared" si="12"/>
        <v>303.5013579</v>
      </c>
      <c r="O338" s="39">
        <f t="shared" si="13"/>
        <v>329.4510292</v>
      </c>
      <c r="P338" s="39">
        <f t="shared" si="14"/>
        <v>497.7205806</v>
      </c>
      <c r="Q338" s="38">
        <f t="shared" si="15"/>
        <v>539.2764278</v>
      </c>
      <c r="R338" s="38">
        <f t="shared" si="16"/>
        <v>-263.0226881</v>
      </c>
      <c r="S338" s="40">
        <v>334.0</v>
      </c>
      <c r="T338" s="37">
        <f t="shared" si="24"/>
        <v>21.24044345</v>
      </c>
      <c r="U338" s="37">
        <f t="shared" si="18"/>
        <v>175.2404435</v>
      </c>
      <c r="V338" s="37">
        <f t="shared" si="23"/>
        <v>1.576187748</v>
      </c>
      <c r="W338" s="37">
        <f>'入力・結果'!$I$7/V338</f>
        <v>204607.6049</v>
      </c>
      <c r="X338" s="39">
        <f>(W338/I338*10)*'入力・結果'!$I$8</f>
        <v>2056.776967</v>
      </c>
      <c r="Y338" s="38">
        <f>DEGREES(ACOS(('入力・結果'!$G$3-('入力・結果'!$G$4*COS(RADIANS(S338))))/((('入力・結果'!$G$3^2)+('入力・結果'!$G$4^2)-(2*'入力・結果'!$G$3*'入力・結果'!$G$4*COS(RADIANS(S338))))^(1/2))))</f>
        <v>124.2783667</v>
      </c>
      <c r="Z338" s="38">
        <f>DEGREES(ACOS((('入力・結果'!$G$3^2)+('入力・結果'!$G$4^2)-('入力・結果'!$G$5^2)+('入力・結果'!$G$6^2)-(2*'入力・結果'!$G$3*'入力・結果'!$G$4*COS(RADIANS(S338))))/(2*'入力・結果'!$G$6*(('入力・結果'!$G$3^2)+('入力・結果'!$G$4^2)-(2*'入力・結果'!$G$3*'入力・結果'!$G$4*(COS(RADIANS(S338)))))^(1/2))))</f>
        <v>92.97541771</v>
      </c>
      <c r="AA338" s="38">
        <f>DEGREES(ACOS(('入力・結果'!$G$4-('入力・結果'!$G$3*COS(RADIANS(S338))))/((('入力・結果'!$G$3^2)+('入力・結果'!$G$4^2)-(2*'入力・結果'!$G$3*'入力・結果'!$G$4*COS(RADIANS(S338))))^(1/2))))</f>
        <v>29.72163332</v>
      </c>
      <c r="AB338" s="38">
        <f>DEGREES(ACOS((('入力・結果'!$G$3^2)+('入力・結果'!$G$4^2)+('入力・結果'!$G$5^2)-('入力・結果'!$G$6^2)-(2*'入力・結果'!$G$3*'入力・結果'!$G$4*COS(RADIANS(S338))))/(2*'入力・結果'!$G$5*(('入力・結果'!$G$3^2)+('入力・結果'!$G$4^2)-(2*'入力・結果'!$G$3*'入力・結果'!$G$4*(COS(RADIANS(S338)))))^(1/2))))</f>
        <v>50.96207677</v>
      </c>
      <c r="AC338" s="37">
        <f t="shared" si="19"/>
        <v>-1243.223033</v>
      </c>
      <c r="AD338" s="37">
        <f t="shared" si="20"/>
        <v>0</v>
      </c>
      <c r="AE338" s="37" t="str">
        <f t="shared" si="21"/>
        <v/>
      </c>
      <c r="AF338" s="37" t="str">
        <f t="shared" si="22"/>
        <v/>
      </c>
      <c r="AG338" s="35"/>
      <c r="AH338" s="35"/>
      <c r="AI338" s="35"/>
      <c r="AJ338" s="35">
        <v>335.0</v>
      </c>
      <c r="AK338" s="35">
        <f t="shared" si="1"/>
        <v>0.6245933697</v>
      </c>
    </row>
    <row r="339" ht="12.75" customHeight="1">
      <c r="A339" s="35"/>
      <c r="B339" s="37">
        <v>335.0</v>
      </c>
      <c r="C339" s="38">
        <f t="shared" si="2"/>
        <v>45.31538935</v>
      </c>
      <c r="D339" s="38">
        <f t="shared" si="3"/>
        <v>21.13091309</v>
      </c>
      <c r="E339" s="38">
        <f>'演算'!U339</f>
        <v>176.8414851</v>
      </c>
      <c r="F339" s="38">
        <f t="shared" si="4"/>
        <v>-176.8414851</v>
      </c>
      <c r="G339" s="38">
        <f t="shared" si="5"/>
        <v>594.4798954</v>
      </c>
      <c r="H339" s="38">
        <f t="shared" si="6"/>
        <v>51.43512536</v>
      </c>
      <c r="I339" s="39">
        <f t="shared" si="7"/>
        <v>596.7008615</v>
      </c>
      <c r="J339" s="38">
        <f t="shared" si="8"/>
        <v>-4.944985978</v>
      </c>
      <c r="K339" s="38" t="str">
        <f t="shared" si="9"/>
        <v/>
      </c>
      <c r="L339" s="38">
        <f t="shared" si="10"/>
        <v>2</v>
      </c>
      <c r="M339" s="38">
        <f t="shared" si="11"/>
        <v>355.055014</v>
      </c>
      <c r="N339" s="39">
        <f t="shared" si="12"/>
        <v>305.055014</v>
      </c>
      <c r="O339" s="39">
        <f t="shared" si="13"/>
        <v>342.722719</v>
      </c>
      <c r="P339" s="39">
        <f t="shared" si="14"/>
        <v>488.4598817</v>
      </c>
      <c r="Q339" s="38">
        <f t="shared" si="15"/>
        <v>543.7846722</v>
      </c>
      <c r="R339" s="38">
        <f t="shared" si="16"/>
        <v>-253.570957</v>
      </c>
      <c r="S339" s="40">
        <v>335.0</v>
      </c>
      <c r="T339" s="37">
        <f t="shared" si="24"/>
        <v>21.8414851</v>
      </c>
      <c r="U339" s="37">
        <f t="shared" si="18"/>
        <v>176.8414851</v>
      </c>
      <c r="V339" s="37">
        <f t="shared" si="23"/>
        <v>1.601041651</v>
      </c>
      <c r="W339" s="37">
        <f>'入力・結果'!$I$7/V339</f>
        <v>201431.3617</v>
      </c>
      <c r="X339" s="39">
        <f>(W339/I339*10)*'入力・結果'!$I$8</f>
        <v>2025.450688</v>
      </c>
      <c r="Y339" s="38">
        <f>DEGREES(ACOS(('入力・結果'!$G$3-('入力・結果'!$G$4*COS(RADIANS(S339))))/((('入力・結果'!$G$3^2)+('入力・結果'!$G$4^2)-(2*'入力・結果'!$G$3*'入力・結果'!$G$4*COS(RADIANS(S339))))^(1/2))))</f>
        <v>125.934073</v>
      </c>
      <c r="Z339" s="38">
        <f>DEGREES(ACOS((('入力・結果'!$G$3^2)+('入力・結果'!$G$4^2)-('入力・結果'!$G$5^2)+('入力・結果'!$G$6^2)-(2*'入力・結果'!$G$3*'入力・結果'!$G$4*COS(RADIANS(S339))))/(2*'入力・結果'!$G$6*(('入力・結果'!$G$3^2)+('入力・結果'!$G$4^2)-(2*'入力・結果'!$G$3*'入力・結果'!$G$4*(COS(RADIANS(S339)))))^(1/2))))</f>
        <v>93.73251014</v>
      </c>
      <c r="AA339" s="38">
        <f>DEGREES(ACOS(('入力・結果'!$G$4-('入力・結果'!$G$3*COS(RADIANS(S339))))/((('入力・結果'!$G$3^2)+('入力・結果'!$G$4^2)-(2*'入力・結果'!$G$3*'入力・結果'!$G$4*COS(RADIANS(S339))))^(1/2))))</f>
        <v>29.06592695</v>
      </c>
      <c r="AB339" s="38">
        <f>DEGREES(ACOS((('入力・結果'!$G$3^2)+('入力・結果'!$G$4^2)+('入力・結果'!$G$5^2)-('入力・結果'!$G$6^2)-(2*'入力・結果'!$G$3*'入力・結果'!$G$4*COS(RADIANS(S339))))/(2*'入力・結果'!$G$5*(('入力・結果'!$G$3^2)+('入力・結果'!$G$4^2)-(2*'入力・結果'!$G$3*'入力・結果'!$G$4*(COS(RADIANS(S339)))))^(1/2))))</f>
        <v>50.90741205</v>
      </c>
      <c r="AC339" s="37">
        <f t="shared" si="19"/>
        <v>-1274.549312</v>
      </c>
      <c r="AD339" s="37">
        <f t="shared" si="20"/>
        <v>0</v>
      </c>
      <c r="AE339" s="37" t="str">
        <f t="shared" si="21"/>
        <v/>
      </c>
      <c r="AF339" s="37" t="str">
        <f t="shared" si="22"/>
        <v/>
      </c>
      <c r="AG339" s="35"/>
      <c r="AH339" s="35"/>
      <c r="AI339" s="35"/>
      <c r="AJ339" s="35">
        <v>336.0</v>
      </c>
      <c r="AK339" s="35">
        <f t="shared" si="1"/>
        <v>0.6145634771</v>
      </c>
    </row>
    <row r="340" ht="12.75" customHeight="1">
      <c r="A340" s="35"/>
      <c r="B340" s="37">
        <v>336.0</v>
      </c>
      <c r="C340" s="38">
        <f t="shared" si="2"/>
        <v>45.67727288</v>
      </c>
      <c r="D340" s="38">
        <f t="shared" si="3"/>
        <v>20.33683215</v>
      </c>
      <c r="E340" s="38">
        <f>'演算'!U340</f>
        <v>178.4686563</v>
      </c>
      <c r="F340" s="38">
        <f t="shared" si="4"/>
        <v>-178.4686563</v>
      </c>
      <c r="G340" s="38">
        <f t="shared" si="5"/>
        <v>595.4808433</v>
      </c>
      <c r="H340" s="38">
        <f t="shared" si="6"/>
        <v>35.03492621</v>
      </c>
      <c r="I340" s="39">
        <f t="shared" si="7"/>
        <v>596.5105873</v>
      </c>
      <c r="J340" s="38">
        <f t="shared" si="8"/>
        <v>-3.367097471</v>
      </c>
      <c r="K340" s="38" t="str">
        <f t="shared" si="9"/>
        <v/>
      </c>
      <c r="L340" s="38">
        <f t="shared" si="10"/>
        <v>2</v>
      </c>
      <c r="M340" s="38">
        <f t="shared" si="11"/>
        <v>356.6329025</v>
      </c>
      <c r="N340" s="39">
        <f t="shared" si="12"/>
        <v>306.6329025</v>
      </c>
      <c r="O340" s="39">
        <f t="shared" si="13"/>
        <v>355.9293973</v>
      </c>
      <c r="P340" s="39">
        <f t="shared" si="14"/>
        <v>478.6848075</v>
      </c>
      <c r="Q340" s="38">
        <f t="shared" si="15"/>
        <v>548.1272746</v>
      </c>
      <c r="R340" s="38">
        <f t="shared" si="16"/>
        <v>-244.0419858</v>
      </c>
      <c r="S340" s="40">
        <v>336.0</v>
      </c>
      <c r="T340" s="37">
        <f t="shared" si="24"/>
        <v>22.46865632</v>
      </c>
      <c r="U340" s="37">
        <f t="shared" si="18"/>
        <v>178.4686563</v>
      </c>
      <c r="V340" s="37">
        <f t="shared" si="23"/>
        <v>1.627171215</v>
      </c>
      <c r="W340" s="37">
        <f>'入力・結果'!$I$7/V340</f>
        <v>198196.7214</v>
      </c>
      <c r="X340" s="39">
        <f>(W340/I340*10)*'入力・結果'!$I$8</f>
        <v>1993.561143</v>
      </c>
      <c r="Y340" s="38">
        <f>DEGREES(ACOS(('入力・結果'!$G$3-('入力・結果'!$G$4*COS(RADIANS(S340))))/((('入力・結果'!$G$3^2)+('入力・結果'!$G$4^2)-(2*'入力・結果'!$G$3*'入力・結果'!$G$4*COS(RADIANS(S340))))^(1/2))))</f>
        <v>127.6279386</v>
      </c>
      <c r="Z340" s="38">
        <f>DEGREES(ACOS((('入力・結果'!$G$3^2)+('入力・結果'!$G$4^2)-('入力・結果'!$G$5^2)+('入力・結果'!$G$6^2)-(2*'入力・結果'!$G$3*'入力・結果'!$G$4*COS(RADIANS(S340))))/(2*'入力・結果'!$G$6*(('入力・結果'!$G$3^2)+('入力・結果'!$G$4^2)-(2*'入力・結果'!$G$3*'入力・結果'!$G$4*(COS(RADIANS(S340)))))^(1/2))))</f>
        <v>94.48749379</v>
      </c>
      <c r="AA340" s="38">
        <f>DEGREES(ACOS(('入力・結果'!$G$4-('入力・結果'!$G$3*COS(RADIANS(S340))))/((('入力・結果'!$G$3^2)+('入力・結果'!$G$4^2)-(2*'入力・結果'!$G$3*'入力・結果'!$G$4*COS(RADIANS(S340))))^(1/2))))</f>
        <v>28.37206141</v>
      </c>
      <c r="AB340" s="38">
        <f>DEGREES(ACOS((('入力・結果'!$G$3^2)+('入力・結果'!$G$4^2)+('入力・結果'!$G$5^2)-('入力・結果'!$G$6^2)-(2*'入力・結果'!$G$3*'入力・結果'!$G$4*COS(RADIANS(S340))))/(2*'入力・結果'!$G$5*(('入力・結果'!$G$3^2)+('入力・結果'!$G$4^2)-(2*'入力・結果'!$G$3*'入力・結果'!$G$4*(COS(RADIANS(S340)))))^(1/2))))</f>
        <v>50.84071773</v>
      </c>
      <c r="AC340" s="37">
        <f t="shared" si="19"/>
        <v>-1306.438857</v>
      </c>
      <c r="AD340" s="37">
        <f t="shared" si="20"/>
        <v>0</v>
      </c>
      <c r="AE340" s="37" t="str">
        <f t="shared" si="21"/>
        <v/>
      </c>
      <c r="AF340" s="37" t="str">
        <f t="shared" si="22"/>
        <v/>
      </c>
      <c r="AG340" s="35"/>
      <c r="AH340" s="35"/>
      <c r="AI340" s="35"/>
      <c r="AJ340" s="35">
        <v>337.0</v>
      </c>
      <c r="AK340" s="35">
        <f t="shared" si="1"/>
        <v>0.6043687563</v>
      </c>
    </row>
    <row r="341" ht="12.75" customHeight="1">
      <c r="A341" s="35"/>
      <c r="B341" s="37">
        <v>337.0</v>
      </c>
      <c r="C341" s="38">
        <f t="shared" si="2"/>
        <v>46.02524267</v>
      </c>
      <c r="D341" s="38">
        <f t="shared" si="3"/>
        <v>19.53655642</v>
      </c>
      <c r="E341" s="38">
        <f>'演算'!U341</f>
        <v>180.1232753</v>
      </c>
      <c r="F341" s="38">
        <f t="shared" si="4"/>
        <v>-180.1232753</v>
      </c>
      <c r="G341" s="38">
        <f t="shared" si="5"/>
        <v>596.0239696</v>
      </c>
      <c r="H341" s="38">
        <f t="shared" si="6"/>
        <v>18.35319967</v>
      </c>
      <c r="I341" s="39">
        <f t="shared" si="7"/>
        <v>596.3064752</v>
      </c>
      <c r="J341" s="38">
        <f t="shared" si="8"/>
        <v>-1.763735628</v>
      </c>
      <c r="K341" s="38" t="str">
        <f t="shared" si="9"/>
        <v/>
      </c>
      <c r="L341" s="38">
        <f t="shared" si="10"/>
        <v>2</v>
      </c>
      <c r="M341" s="38">
        <f t="shared" si="11"/>
        <v>358.2362644</v>
      </c>
      <c r="N341" s="39">
        <f t="shared" si="12"/>
        <v>308.2362644</v>
      </c>
      <c r="O341" s="39">
        <f t="shared" si="13"/>
        <v>369.0574561</v>
      </c>
      <c r="P341" s="39">
        <f t="shared" si="14"/>
        <v>468.3780593</v>
      </c>
      <c r="Q341" s="38">
        <f t="shared" si="15"/>
        <v>552.3029121</v>
      </c>
      <c r="R341" s="38">
        <f t="shared" si="16"/>
        <v>-234.4386771</v>
      </c>
      <c r="S341" s="40">
        <v>337.0</v>
      </c>
      <c r="T341" s="37">
        <f t="shared" si="24"/>
        <v>23.12327527</v>
      </c>
      <c r="U341" s="37">
        <f t="shared" si="18"/>
        <v>180.1232753</v>
      </c>
      <c r="V341" s="37">
        <f t="shared" si="23"/>
        <v>1.654618955</v>
      </c>
      <c r="W341" s="37">
        <f>'入力・結果'!$I$7/V341</f>
        <v>194908.9239</v>
      </c>
      <c r="X341" s="39">
        <f>(W341/I341*10)*'入力・結果'!$I$8</f>
        <v>1961.161906</v>
      </c>
      <c r="Y341" s="38">
        <f>DEGREES(ACOS(('入力・結果'!$G$3-('入力・結果'!$G$4*COS(RADIANS(S341))))/((('入力・結果'!$G$3^2)+('入力・結果'!$G$4^2)-(2*'入力・結果'!$G$3*'入力・結果'!$G$4*COS(RADIANS(S341))))^(1/2))))</f>
        <v>129.3609867</v>
      </c>
      <c r="Z341" s="38">
        <f>DEGREES(ACOS((('入力・結果'!$G$3^2)+('入力・結果'!$G$4^2)-('入力・結果'!$G$5^2)+('入力・結果'!$G$6^2)-(2*'入力・結果'!$G$3*'入力・結果'!$G$4*COS(RADIANS(S341))))/(2*'入力・結果'!$G$6*(('入力・結果'!$G$3^2)+('入力・結果'!$G$4^2)-(2*'入力・結果'!$G$3*'入力・結果'!$G$4*(COS(RADIANS(S341)))))^(1/2))))</f>
        <v>95.2392144</v>
      </c>
      <c r="AA341" s="38">
        <f>DEGREES(ACOS(('入力・結果'!$G$4-('入力・結果'!$G$3*COS(RADIANS(S341))))/((('入力・結果'!$G$3^2)+('入力・結果'!$G$4^2)-(2*'入力・結果'!$G$3*'入力・結果'!$G$4*COS(RADIANS(S341))))^(1/2))))</f>
        <v>27.63901334</v>
      </c>
      <c r="AB341" s="38">
        <f>DEGREES(ACOS((('入力・結果'!$G$3^2)+('入力・結果'!$G$4^2)+('入力・結果'!$G$5^2)-('入力・結果'!$G$6^2)-(2*'入力・結果'!$G$3*'入力・結果'!$G$4*COS(RADIANS(S341))))/(2*'入力・結果'!$G$5*(('入力・結果'!$G$3^2)+('入力・結果'!$G$4^2)-(2*'入力・結果'!$G$3*'入力・結果'!$G$4*(COS(RADIANS(S341)))))^(1/2))))</f>
        <v>50.76228862</v>
      </c>
      <c r="AC341" s="37">
        <f t="shared" si="19"/>
        <v>-1338.838094</v>
      </c>
      <c r="AD341" s="37">
        <f t="shared" si="20"/>
        <v>0</v>
      </c>
      <c r="AE341" s="37" t="str">
        <f t="shared" si="21"/>
        <v/>
      </c>
      <c r="AF341" s="37" t="str">
        <f t="shared" si="22"/>
        <v/>
      </c>
      <c r="AG341" s="35"/>
      <c r="AH341" s="35"/>
      <c r="AI341" s="35"/>
      <c r="AJ341" s="35">
        <v>338.0</v>
      </c>
      <c r="AK341" s="35">
        <f t="shared" si="1"/>
        <v>0.5940281892</v>
      </c>
    </row>
    <row r="342" ht="12.75" customHeight="1">
      <c r="A342" s="35"/>
      <c r="B342" s="37">
        <v>338.0</v>
      </c>
      <c r="C342" s="38">
        <f t="shared" si="2"/>
        <v>46.35919273</v>
      </c>
      <c r="D342" s="38">
        <f t="shared" si="3"/>
        <v>18.73032967</v>
      </c>
      <c r="E342" s="38">
        <f>'演算'!U342</f>
        <v>181.8066971</v>
      </c>
      <c r="F342" s="38">
        <f t="shared" si="4"/>
        <v>-181.8066971</v>
      </c>
      <c r="G342" s="38">
        <f t="shared" si="5"/>
        <v>596.0857779</v>
      </c>
      <c r="H342" s="38">
        <f t="shared" si="6"/>
        <v>1.390156795</v>
      </c>
      <c r="I342" s="39">
        <f t="shared" si="7"/>
        <v>596.0873989</v>
      </c>
      <c r="J342" s="38">
        <f t="shared" si="8"/>
        <v>-0.1336216628</v>
      </c>
      <c r="K342" s="38" t="str">
        <f t="shared" si="9"/>
        <v/>
      </c>
      <c r="L342" s="38">
        <f t="shared" si="10"/>
        <v>2</v>
      </c>
      <c r="M342" s="38">
        <f t="shared" si="11"/>
        <v>359.8663783</v>
      </c>
      <c r="N342" s="39">
        <f t="shared" si="12"/>
        <v>309.8663783</v>
      </c>
      <c r="O342" s="39">
        <f t="shared" si="13"/>
        <v>382.0916304</v>
      </c>
      <c r="P342" s="39">
        <f t="shared" si="14"/>
        <v>457.5217733</v>
      </c>
      <c r="Q342" s="38">
        <f t="shared" si="15"/>
        <v>556.3103127</v>
      </c>
      <c r="R342" s="38">
        <f t="shared" si="16"/>
        <v>-224.763956</v>
      </c>
      <c r="S342" s="40">
        <v>338.0</v>
      </c>
      <c r="T342" s="37">
        <f t="shared" si="24"/>
        <v>23.80669707</v>
      </c>
      <c r="U342" s="37">
        <f t="shared" si="18"/>
        <v>181.8066971</v>
      </c>
      <c r="V342" s="37">
        <f t="shared" si="23"/>
        <v>1.683421794</v>
      </c>
      <c r="W342" s="37">
        <f>'入力・結果'!$I$7/V342</f>
        <v>191574.091</v>
      </c>
      <c r="X342" s="39">
        <f>(W342/I342*10)*'入力・結果'!$I$8</f>
        <v>1928.315459</v>
      </c>
      <c r="Y342" s="38">
        <f>DEGREES(ACOS(('入力・結果'!$G$3-('入力・結果'!$G$4*COS(RADIANS(S342))))/((('入力・結果'!$G$3^2)+('入力・結果'!$G$4^2)-(2*'入力・結果'!$G$3*'入力・結果'!$G$4*COS(RADIANS(S342))))^(1/2))))</f>
        <v>131.1341759</v>
      </c>
      <c r="Z342" s="38">
        <f>DEGREES(ACOS((('入力・結果'!$G$3^2)+('入力・結果'!$G$4^2)-('入力・結果'!$G$5^2)+('入力・結果'!$G$6^2)-(2*'入力・結果'!$G$3*'入力・結果'!$G$4*COS(RADIANS(S342))))/(2*'入力・結果'!$G$6*(('入力・結果'!$G$3^2)+('入力・結果'!$G$4^2)-(2*'入力・結果'!$G$3*'入力・結果'!$G$4*(COS(RADIANS(S342)))))^(1/2))))</f>
        <v>95.98636626</v>
      </c>
      <c r="AA342" s="38">
        <f>DEGREES(ACOS(('入力・結果'!$G$4-('入力・結果'!$G$3*COS(RADIANS(S342))))/((('入力・結果'!$G$3^2)+('入力・結果'!$G$4^2)-(2*'入力・結果'!$G$3*'入力・結果'!$G$4*COS(RADIANS(S342))))^(1/2))))</f>
        <v>26.86582407</v>
      </c>
      <c r="AB342" s="38">
        <f>DEGREES(ACOS((('入力・結果'!$G$3^2)+('入力・結果'!$G$4^2)+('入力・結果'!$G$5^2)-('入力・結果'!$G$6^2)-(2*'入力・結果'!$G$3*'入力・結果'!$G$4*COS(RADIANS(S342))))/(2*'入力・結果'!$G$5*(('入力・結果'!$G$3^2)+('入力・結果'!$G$4^2)-(2*'入力・結果'!$G$3*'入力・結果'!$G$4*(COS(RADIANS(S342)))))^(1/2))))</f>
        <v>50.67252114</v>
      </c>
      <c r="AC342" s="37">
        <f t="shared" si="19"/>
        <v>-1371.684541</v>
      </c>
      <c r="AD342" s="37">
        <f t="shared" si="20"/>
        <v>0</v>
      </c>
      <c r="AE342" s="37" t="str">
        <f t="shared" si="21"/>
        <v/>
      </c>
      <c r="AF342" s="37" t="str">
        <f t="shared" si="22"/>
        <v/>
      </c>
      <c r="AG342" s="35"/>
      <c r="AH342" s="35"/>
      <c r="AI342" s="35"/>
      <c r="AJ342" s="35">
        <v>339.0</v>
      </c>
      <c r="AK342" s="35">
        <f t="shared" si="1"/>
        <v>0.5835636377</v>
      </c>
    </row>
    <row r="343" ht="12.75" customHeight="1">
      <c r="A343" s="35"/>
      <c r="B343" s="37">
        <v>339.0</v>
      </c>
      <c r="C343" s="38">
        <f t="shared" si="2"/>
        <v>46.67902132</v>
      </c>
      <c r="D343" s="38">
        <f t="shared" si="3"/>
        <v>17.91839748</v>
      </c>
      <c r="E343" s="38">
        <f>'演算'!U343</f>
        <v>183.5203062</v>
      </c>
      <c r="F343" s="38">
        <f t="shared" si="4"/>
        <v>-183.5203062</v>
      </c>
      <c r="G343" s="38">
        <f t="shared" si="5"/>
        <v>595.641226</v>
      </c>
      <c r="H343" s="38">
        <f t="shared" si="6"/>
        <v>-15.85285944</v>
      </c>
      <c r="I343" s="39">
        <f t="shared" si="7"/>
        <v>595.8521489</v>
      </c>
      <c r="J343" s="38">
        <f t="shared" si="8"/>
        <v>1.524554592</v>
      </c>
      <c r="K343" s="38" t="str">
        <f t="shared" si="9"/>
        <v/>
      </c>
      <c r="L343" s="38">
        <f t="shared" si="10"/>
        <v>2</v>
      </c>
      <c r="M343" s="38">
        <f t="shared" si="11"/>
        <v>361.5245546</v>
      </c>
      <c r="N343" s="39">
        <f t="shared" si="12"/>
        <v>311.5245546</v>
      </c>
      <c r="O343" s="39">
        <f t="shared" si="13"/>
        <v>395.0147948</v>
      </c>
      <c r="P343" s="39">
        <f t="shared" si="14"/>
        <v>446.0976297</v>
      </c>
      <c r="Q343" s="38">
        <f t="shared" si="15"/>
        <v>560.1482559</v>
      </c>
      <c r="R343" s="38">
        <f t="shared" si="16"/>
        <v>-215.0207697</v>
      </c>
      <c r="S343" s="40">
        <v>339.0</v>
      </c>
      <c r="T343" s="37">
        <f t="shared" si="24"/>
        <v>24.52030624</v>
      </c>
      <c r="U343" s="37">
        <f t="shared" si="18"/>
        <v>183.5203062</v>
      </c>
      <c r="V343" s="37">
        <f t="shared" si="23"/>
        <v>1.713609169</v>
      </c>
      <c r="W343" s="37">
        <f>'入力・結果'!$I$7/V343</f>
        <v>188199.2732</v>
      </c>
      <c r="X343" s="39">
        <f>(W343/I343*10)*'入力・結果'!$I$8</f>
        <v>1895.093676</v>
      </c>
      <c r="Y343" s="38">
        <f>DEGREES(ACOS(('入力・結果'!$G$3-('入力・結果'!$G$4*COS(RADIANS(S343))))/((('入力・結果'!$G$3^2)+('入力・結果'!$G$4^2)-(2*'入力・結果'!$G$3*'入力・結果'!$G$4*COS(RADIANS(S343))))^(1/2))))</f>
        <v>132.9483825</v>
      </c>
      <c r="Z343" s="38">
        <f>DEGREES(ACOS((('入力・結果'!$G$3^2)+('入力・結果'!$G$4^2)-('入力・結果'!$G$5^2)+('入力・結果'!$G$6^2)-(2*'入力・結果'!$G$3*'入力・結果'!$G$4*COS(RADIANS(S343))))/(2*'入力・結果'!$G$6*(('入力・結果'!$G$3^2)+('入力・結果'!$G$4^2)-(2*'入力・結果'!$G$3*'入力・結果'!$G$4*(COS(RADIANS(S343)))))^(1/2))))</f>
        <v>96.72748086</v>
      </c>
      <c r="AA343" s="38">
        <f>DEGREES(ACOS(('入力・結果'!$G$4-('入力・結果'!$G$3*COS(RADIANS(S343))))/((('入力・結果'!$G$3^2)+('入力・結果'!$G$4^2)-(2*'入力・結果'!$G$3*'入力・結果'!$G$4*COS(RADIANS(S343))))^(1/2))))</f>
        <v>26.05161752</v>
      </c>
      <c r="AB343" s="38">
        <f>DEGREES(ACOS((('入力・結果'!$G$3^2)+('入力・結果'!$G$4^2)+('入力・結果'!$G$5^2)-('入力・結果'!$G$6^2)-(2*'入力・結果'!$G$3*'入力・結果'!$G$4*COS(RADIANS(S343))))/(2*'入力・結果'!$G$5*(('入力・結果'!$G$3^2)+('入力・結果'!$G$4^2)-(2*'入力・結果'!$G$3*'入力・結果'!$G$4*(COS(RADIANS(S343)))))^(1/2))))</f>
        <v>50.57192376</v>
      </c>
      <c r="AC343" s="37">
        <f t="shared" si="19"/>
        <v>-1404.906324</v>
      </c>
      <c r="AD343" s="37">
        <f t="shared" si="20"/>
        <v>0</v>
      </c>
      <c r="AE343" s="37" t="str">
        <f t="shared" si="21"/>
        <v/>
      </c>
      <c r="AF343" s="37" t="str">
        <f t="shared" si="22"/>
        <v/>
      </c>
      <c r="AG343" s="35"/>
      <c r="AH343" s="35"/>
      <c r="AI343" s="35"/>
      <c r="AJ343" s="35">
        <v>340.0</v>
      </c>
      <c r="AK343" s="35">
        <f t="shared" si="1"/>
        <v>0.5729999624</v>
      </c>
    </row>
    <row r="344" ht="12.75" customHeight="1">
      <c r="A344" s="35"/>
      <c r="B344" s="37">
        <v>340.0</v>
      </c>
      <c r="C344" s="38">
        <f t="shared" si="2"/>
        <v>46.98463104</v>
      </c>
      <c r="D344" s="38">
        <f t="shared" si="3"/>
        <v>17.10100717</v>
      </c>
      <c r="E344" s="38">
        <f>'演算'!U344</f>
        <v>185.265507</v>
      </c>
      <c r="F344" s="38">
        <f t="shared" si="4"/>
        <v>-185.265507</v>
      </c>
      <c r="G344" s="38">
        <f t="shared" si="5"/>
        <v>594.6637005</v>
      </c>
      <c r="H344" s="38">
        <f t="shared" si="6"/>
        <v>-33.37311376</v>
      </c>
      <c r="I344" s="39">
        <f t="shared" si="7"/>
        <v>595.5994303</v>
      </c>
      <c r="J344" s="38">
        <f t="shared" si="8"/>
        <v>3.212126254</v>
      </c>
      <c r="K344" s="38" t="str">
        <f t="shared" si="9"/>
        <v/>
      </c>
      <c r="L344" s="38">
        <f t="shared" si="10"/>
        <v>2</v>
      </c>
      <c r="M344" s="38">
        <f t="shared" si="11"/>
        <v>363.2121263</v>
      </c>
      <c r="N344" s="39">
        <f t="shared" si="12"/>
        <v>313.2121263</v>
      </c>
      <c r="O344" s="39">
        <f t="shared" si="13"/>
        <v>407.807747</v>
      </c>
      <c r="P344" s="39">
        <f t="shared" si="14"/>
        <v>434.0869993</v>
      </c>
      <c r="Q344" s="38">
        <f t="shared" si="15"/>
        <v>563.8155725</v>
      </c>
      <c r="R344" s="38">
        <f t="shared" si="16"/>
        <v>-205.212086</v>
      </c>
      <c r="S344" s="40">
        <v>340.0</v>
      </c>
      <c r="T344" s="37">
        <f t="shared" si="24"/>
        <v>25.26550705</v>
      </c>
      <c r="U344" s="37">
        <f t="shared" si="18"/>
        <v>185.265507</v>
      </c>
      <c r="V344" s="37">
        <f t="shared" si="23"/>
        <v>1.745200813</v>
      </c>
      <c r="W344" s="37">
        <f>'入力・結果'!$I$7/V344</f>
        <v>184792.4879</v>
      </c>
      <c r="X344" s="39">
        <f>(W344/I344*10)*'入力・結果'!$I$8</f>
        <v>1861.57822</v>
      </c>
      <c r="Y344" s="38">
        <f>DEGREES(ACOS(('入力・結果'!$G$3-('入力・結果'!$G$4*COS(RADIANS(S344))))/((('入力・結果'!$G$3^2)+('入力・結果'!$G$4^2)-(2*'入力・結果'!$G$3*'入力・結果'!$G$4*COS(RADIANS(S344))))^(1/2))))</f>
        <v>134.8043799</v>
      </c>
      <c r="Z344" s="38">
        <f>DEGREES(ACOS((('入力・結果'!$G$3^2)+('入力・結果'!$G$4^2)-('入力・結果'!$G$5^2)+('入力・結果'!$G$6^2)-(2*'入力・結果'!$G$3*'入力・結果'!$G$4*COS(RADIANS(S344))))/(2*'入力・結果'!$G$6*(('入力・結果'!$G$3^2)+('入力・結果'!$G$4^2)-(2*'入力・結果'!$G$3*'入力・結果'!$G$4*(COS(RADIANS(S344)))))^(1/2))))</f>
        <v>97.46091649</v>
      </c>
      <c r="AA344" s="38">
        <f>DEGREES(ACOS(('入力・結果'!$G$4-('入力・結果'!$G$3*COS(RADIANS(S344))))/((('入力・結果'!$G$3^2)+('入力・結果'!$G$4^2)-(2*'入力・結果'!$G$3*'入力・結果'!$G$4*COS(RADIANS(S344))))^(1/2))))</f>
        <v>25.19562007</v>
      </c>
      <c r="AB344" s="38">
        <f>DEGREES(ACOS((('入力・結果'!$G$3^2)+('入力・結果'!$G$4^2)+('入力・結果'!$G$5^2)-('入力・結果'!$G$6^2)-(2*'入力・結果'!$G$3*'入力・結果'!$G$4*COS(RADIANS(S344))))/(2*'入力・結果'!$G$5*(('入力・結果'!$G$3^2)+('入力・結果'!$G$4^2)-(2*'入力・結果'!$G$3*'入力・結果'!$G$4*(COS(RADIANS(S344)))))^(1/2))))</f>
        <v>50.46112712</v>
      </c>
      <c r="AC344" s="37">
        <f t="shared" si="19"/>
        <v>-1438.42178</v>
      </c>
      <c r="AD344" s="37">
        <f t="shared" si="20"/>
        <v>0</v>
      </c>
      <c r="AE344" s="37" t="str">
        <f t="shared" si="21"/>
        <v/>
      </c>
      <c r="AF344" s="37" t="str">
        <f t="shared" si="22"/>
        <v/>
      </c>
      <c r="AG344" s="35"/>
      <c r="AH344" s="35"/>
      <c r="AI344" s="35"/>
      <c r="AJ344" s="35">
        <v>341.0</v>
      </c>
      <c r="AK344" s="35">
        <f t="shared" si="1"/>
        <v>0.5623651073</v>
      </c>
    </row>
    <row r="345" ht="12.75" customHeight="1">
      <c r="A345" s="35"/>
      <c r="B345" s="37">
        <v>341.0</v>
      </c>
      <c r="C345" s="38">
        <f t="shared" si="2"/>
        <v>47.27592878</v>
      </c>
      <c r="D345" s="38">
        <f t="shared" si="3"/>
        <v>16.27840772</v>
      </c>
      <c r="E345" s="38">
        <f>'演算'!U345</f>
        <v>187.0437113</v>
      </c>
      <c r="F345" s="38">
        <f t="shared" si="4"/>
        <v>-187.0437113</v>
      </c>
      <c r="G345" s="38">
        <f t="shared" si="5"/>
        <v>593.1250172</v>
      </c>
      <c r="H345" s="38">
        <f t="shared" si="6"/>
        <v>-51.16618191</v>
      </c>
      <c r="I345" s="39">
        <f t="shared" si="7"/>
        <v>595.3278628</v>
      </c>
      <c r="J345" s="38">
        <f t="shared" si="8"/>
        <v>4.930438648</v>
      </c>
      <c r="K345" s="38" t="str">
        <f t="shared" si="9"/>
        <v/>
      </c>
      <c r="L345" s="38">
        <f t="shared" si="10"/>
        <v>2</v>
      </c>
      <c r="M345" s="38">
        <f t="shared" si="11"/>
        <v>364.9304386</v>
      </c>
      <c r="N345" s="39">
        <f t="shared" si="12"/>
        <v>314.9304386</v>
      </c>
      <c r="O345" s="39">
        <f t="shared" si="13"/>
        <v>420.4489814</v>
      </c>
      <c r="P345" s="39">
        <f t="shared" si="14"/>
        <v>421.4711357</v>
      </c>
      <c r="Q345" s="38">
        <f t="shared" si="15"/>
        <v>567.3111454</v>
      </c>
      <c r="R345" s="38">
        <f t="shared" si="16"/>
        <v>-195.3408927</v>
      </c>
      <c r="S345" s="40">
        <v>341.0</v>
      </c>
      <c r="T345" s="37">
        <f t="shared" si="24"/>
        <v>26.04371126</v>
      </c>
      <c r="U345" s="37">
        <f t="shared" si="18"/>
        <v>187.0437113</v>
      </c>
      <c r="V345" s="37">
        <f t="shared" si="23"/>
        <v>1.778204208</v>
      </c>
      <c r="W345" s="37">
        <f>'入力・結果'!$I$7/V345</f>
        <v>181362.7471</v>
      </c>
      <c r="X345" s="39">
        <f>(W345/I345*10)*'入力・結果'!$I$8</f>
        <v>1827.860832</v>
      </c>
      <c r="Y345" s="38">
        <f>DEGREES(ACOS(('入力・結果'!$G$3-('入力・結果'!$G$4*COS(RADIANS(S345))))/((('入力・結果'!$G$3^2)+('入力・結果'!$G$4^2)-(2*'入力・結果'!$G$3*'入力・結果'!$G$4*COS(RADIANS(S345))))^(1/2))))</f>
        <v>136.7028177</v>
      </c>
      <c r="Z345" s="38">
        <f>DEGREES(ACOS((('入力・結果'!$G$3^2)+('入力・結果'!$G$4^2)-('入力・結果'!$G$5^2)+('入力・結果'!$G$6^2)-(2*'入力・結果'!$G$3*'入力・結果'!$G$4*COS(RADIANS(S345))))/(2*'入力・結果'!$G$6*(('入力・結果'!$G$3^2)+('入力・結果'!$G$4^2)-(2*'入力・結果'!$G$3*'入力・結果'!$G$4*(COS(RADIANS(S345)))))^(1/2))))</f>
        <v>98.18484912</v>
      </c>
      <c r="AA345" s="38">
        <f>DEGREES(ACOS(('入力・結果'!$G$4-('入力・結果'!$G$3*COS(RADIANS(S345))))/((('入力・結果'!$G$3^2)+('入力・結果'!$G$4^2)-(2*'入力・結果'!$G$3*'入力・結果'!$G$4*COS(RADIANS(S345))))^(1/2))))</f>
        <v>24.2971823</v>
      </c>
      <c r="AB345" s="38">
        <f>DEGREES(ACOS((('入力・結果'!$G$3^2)+('入力・結果'!$G$4^2)+('入力・結果'!$G$5^2)-('入力・結果'!$G$6^2)-(2*'入力・結果'!$G$3*'入力・結果'!$G$4*COS(RADIANS(S345))))/(2*'入力・結果'!$G$5*(('入力・結果'!$G$3^2)+('入力・結果'!$G$4^2)-(2*'入力・結果'!$G$3*'入力・結果'!$G$4*(COS(RADIANS(S345)))))^(1/2))))</f>
        <v>50.34089355</v>
      </c>
      <c r="AC345" s="37">
        <f t="shared" si="19"/>
        <v>-1472.139168</v>
      </c>
      <c r="AD345" s="37">
        <f t="shared" si="20"/>
        <v>0</v>
      </c>
      <c r="AE345" s="37" t="str">
        <f t="shared" si="21"/>
        <v/>
      </c>
      <c r="AF345" s="37" t="str">
        <f t="shared" si="22"/>
        <v/>
      </c>
      <c r="AG345" s="35"/>
      <c r="AH345" s="35"/>
      <c r="AI345" s="35"/>
      <c r="AJ345" s="35">
        <v>342.0</v>
      </c>
      <c r="AK345" s="35">
        <f t="shared" si="1"/>
        <v>0.5516901417</v>
      </c>
    </row>
    <row r="346" ht="12.75" customHeight="1">
      <c r="A346" s="35"/>
      <c r="B346" s="37">
        <v>342.0</v>
      </c>
      <c r="C346" s="38">
        <f t="shared" si="2"/>
        <v>47.55282581</v>
      </c>
      <c r="D346" s="38">
        <f t="shared" si="3"/>
        <v>15.45084972</v>
      </c>
      <c r="E346" s="38">
        <f>'演算'!U346</f>
        <v>188.8563229</v>
      </c>
      <c r="F346" s="38">
        <f t="shared" si="4"/>
        <v>-188.8563229</v>
      </c>
      <c r="G346" s="38">
        <f t="shared" si="5"/>
        <v>590.9954595</v>
      </c>
      <c r="H346" s="38">
        <f t="shared" si="6"/>
        <v>-69.2256165</v>
      </c>
      <c r="I346" s="39">
        <f t="shared" si="7"/>
        <v>595.0359813</v>
      </c>
      <c r="J346" s="38">
        <f t="shared" si="8"/>
        <v>6.680835925</v>
      </c>
      <c r="K346" s="38" t="str">
        <f t="shared" si="9"/>
        <v/>
      </c>
      <c r="L346" s="38">
        <f t="shared" si="10"/>
        <v>2</v>
      </c>
      <c r="M346" s="38">
        <f t="shared" si="11"/>
        <v>366.6808359</v>
      </c>
      <c r="N346" s="39">
        <f t="shared" si="12"/>
        <v>316.6808359</v>
      </c>
      <c r="O346" s="39">
        <f t="shared" si="13"/>
        <v>432.9144576</v>
      </c>
      <c r="P346" s="39">
        <f t="shared" si="14"/>
        <v>408.2314191</v>
      </c>
      <c r="Q346" s="38">
        <f t="shared" si="15"/>
        <v>570.6339098</v>
      </c>
      <c r="R346" s="38">
        <f t="shared" si="16"/>
        <v>-185.4101966</v>
      </c>
      <c r="S346" s="40">
        <v>342.0</v>
      </c>
      <c r="T346" s="37">
        <f t="shared" si="24"/>
        <v>26.85632295</v>
      </c>
      <c r="U346" s="37">
        <f t="shared" si="18"/>
        <v>188.8563229</v>
      </c>
      <c r="V346" s="37">
        <f t="shared" si="23"/>
        <v>1.81261169</v>
      </c>
      <c r="W346" s="37">
        <f>'入力・結果'!$I$7/V346</f>
        <v>177920.0707</v>
      </c>
      <c r="X346" s="39">
        <f>(W346/I346*10)*'入力・結果'!$I$8</f>
        <v>1794.043483</v>
      </c>
      <c r="Y346" s="38">
        <f>DEGREES(ACOS(('入力・結果'!$G$3-('入力・結果'!$G$4*COS(RADIANS(S346))))/((('入力・結果'!$G$3^2)+('入力・結果'!$G$4^2)-(2*'入力・結果'!$G$3*'入力・結果'!$G$4*COS(RADIANS(S346))))^(1/2))))</f>
        <v>138.6441976</v>
      </c>
      <c r="Z346" s="38">
        <f>DEGREES(ACOS((('入力・結果'!$G$3^2)+('入力・結果'!$G$4^2)-('入力・結果'!$G$5^2)+('入力・結果'!$G$6^2)-(2*'入力・結果'!$G$3*'入力・結果'!$G$4*COS(RADIANS(S346))))/(2*'入力・結果'!$G$6*(('入力・結果'!$G$3^2)+('入力・結果'!$G$4^2)-(2*'入力・結果'!$G$3*'入力・結果'!$G$4*(COS(RADIANS(S346)))))^(1/2))))</f>
        <v>98.89726536</v>
      </c>
      <c r="AA346" s="38">
        <f>DEGREES(ACOS(('入力・結果'!$G$4-('入力・結果'!$G$3*COS(RADIANS(S346))))/((('入力・結果'!$G$3^2)+('入力・結果'!$G$4^2)-(2*'入力・結果'!$G$3*'入力・結果'!$G$4*COS(RADIANS(S346))))^(1/2))))</f>
        <v>23.35580242</v>
      </c>
      <c r="AB346" s="38">
        <f>DEGREES(ACOS((('入力・結果'!$G$3^2)+('入力・結果'!$G$4^2)+('入力・結果'!$G$5^2)-('入力・結果'!$G$6^2)-(2*'入力・結果'!$G$3*'入力・結果'!$G$4*COS(RADIANS(S346))))/(2*'入力・結果'!$G$5*(('入力・結果'!$G$3^2)+('入力・結果'!$G$4^2)-(2*'入力・結果'!$G$3*'入力・結果'!$G$4*(COS(RADIANS(S346)))))^(1/2))))</f>
        <v>50.21212537</v>
      </c>
      <c r="AC346" s="37">
        <f t="shared" si="19"/>
        <v>-1505.956517</v>
      </c>
      <c r="AD346" s="37">
        <f t="shared" si="20"/>
        <v>0</v>
      </c>
      <c r="AE346" s="37" t="str">
        <f t="shared" si="21"/>
        <v/>
      </c>
      <c r="AF346" s="37" t="str">
        <f t="shared" si="22"/>
        <v/>
      </c>
      <c r="AG346" s="35"/>
      <c r="AH346" s="35"/>
      <c r="AI346" s="35"/>
      <c r="AJ346" s="35">
        <v>343.0</v>
      </c>
      <c r="AK346" s="35">
        <f t="shared" si="1"/>
        <v>0.5410092509</v>
      </c>
    </row>
    <row r="347" ht="12.75" customHeight="1">
      <c r="A347" s="35"/>
      <c r="B347" s="37">
        <v>343.0</v>
      </c>
      <c r="C347" s="38">
        <f t="shared" si="2"/>
        <v>47.8152378</v>
      </c>
      <c r="D347" s="38">
        <f t="shared" si="3"/>
        <v>14.61858524</v>
      </c>
      <c r="E347" s="38">
        <f>'演算'!U347</f>
        <v>190.7047202</v>
      </c>
      <c r="F347" s="38">
        <f t="shared" si="4"/>
        <v>-190.7047202</v>
      </c>
      <c r="G347" s="38">
        <f t="shared" si="5"/>
        <v>588.2438614</v>
      </c>
      <c r="H347" s="38">
        <f t="shared" si="6"/>
        <v>-87.54257547</v>
      </c>
      <c r="I347" s="39">
        <f t="shared" si="7"/>
        <v>594.7222402</v>
      </c>
      <c r="J347" s="38">
        <f t="shared" si="8"/>
        <v>8.464644718</v>
      </c>
      <c r="K347" s="38" t="str">
        <f t="shared" si="9"/>
        <v/>
      </c>
      <c r="L347" s="38">
        <f t="shared" si="10"/>
        <v>2</v>
      </c>
      <c r="M347" s="38">
        <f t="shared" si="11"/>
        <v>368.4646447</v>
      </c>
      <c r="N347" s="39">
        <f t="shared" si="12"/>
        <v>318.4646447</v>
      </c>
      <c r="O347" s="39">
        <f t="shared" si="13"/>
        <v>445.1773691</v>
      </c>
      <c r="P347" s="39">
        <f t="shared" si="14"/>
        <v>394.3496584</v>
      </c>
      <c r="Q347" s="38">
        <f t="shared" si="15"/>
        <v>573.7828536</v>
      </c>
      <c r="R347" s="38">
        <f t="shared" si="16"/>
        <v>-175.4230228</v>
      </c>
      <c r="S347" s="40">
        <v>343.0</v>
      </c>
      <c r="T347" s="37">
        <f t="shared" si="24"/>
        <v>27.70472017</v>
      </c>
      <c r="U347" s="37">
        <f t="shared" si="18"/>
        <v>190.7047202</v>
      </c>
      <c r="V347" s="37">
        <f t="shared" si="23"/>
        <v>1.848397228</v>
      </c>
      <c r="W347" s="37">
        <f>'入力・結果'!$I$7/V347</f>
        <v>174475.4834</v>
      </c>
      <c r="X347" s="39">
        <f>(W347/I347*10)*'入力・結果'!$I$8</f>
        <v>1760.23836</v>
      </c>
      <c r="Y347" s="38">
        <f>DEGREES(ACOS(('入力・結果'!$G$3-('入力・結果'!$G$4*COS(RADIANS(S347))))/((('入力・結果'!$G$3^2)+('入力・結果'!$G$4^2)-(2*'入力・結果'!$G$3*'入力・結果'!$G$4*COS(RADIANS(S347))))^(1/2))))</f>
        <v>140.6288487</v>
      </c>
      <c r="Z347" s="38">
        <f>DEGREES(ACOS((('入力・結果'!$G$3^2)+('入力・結果'!$G$4^2)-('入力・結果'!$G$5^2)+('入力・結果'!$G$6^2)-(2*'入力・結果'!$G$3*'入力・結果'!$G$4*COS(RADIANS(S347))))/(2*'入力・結果'!$G$6*(('入力・結果'!$G$3^2)+('入力・結果'!$G$4^2)-(2*'入力・結果'!$G$3*'入力・結果'!$G$4*(COS(RADIANS(S347)))))^(1/2))))</f>
        <v>99.59595809</v>
      </c>
      <c r="AA347" s="38">
        <f>DEGREES(ACOS(('入力・結果'!$G$4-('入力・結果'!$G$3*COS(RADIANS(S347))))/((('入力・結果'!$G$3^2)+('入力・結果'!$G$4^2)-(2*'入力・結果'!$G$3*'入力・結果'!$G$4*COS(RADIANS(S347))))^(1/2))))</f>
        <v>22.37115129</v>
      </c>
      <c r="AB347" s="38">
        <f>DEGREES(ACOS((('入力・結果'!$G$3^2)+('入力・結果'!$G$4^2)+('入力・結果'!$G$5^2)-('入力・結果'!$G$6^2)-(2*'入力・結果'!$G$3*'入力・結果'!$G$4*COS(RADIANS(S347))))/(2*'入力・結果'!$G$5*(('入力・結果'!$G$3^2)+('入力・結果'!$G$4^2)-(2*'入力・結果'!$G$3*'入力・結果'!$G$4*(COS(RADIANS(S347)))))^(1/2))))</f>
        <v>50.07587146</v>
      </c>
      <c r="AC347" s="37">
        <f t="shared" si="19"/>
        <v>-1539.76164</v>
      </c>
      <c r="AD347" s="37">
        <f t="shared" si="20"/>
        <v>0</v>
      </c>
      <c r="AE347" s="37" t="str">
        <f t="shared" si="21"/>
        <v/>
      </c>
      <c r="AF347" s="37" t="str">
        <f t="shared" si="22"/>
        <v/>
      </c>
      <c r="AG347" s="35"/>
      <c r="AH347" s="35"/>
      <c r="AI347" s="35"/>
      <c r="AJ347" s="35">
        <v>344.0</v>
      </c>
      <c r="AK347" s="35">
        <f t="shared" si="1"/>
        <v>0.5303596679</v>
      </c>
    </row>
    <row r="348" ht="12.75" customHeight="1">
      <c r="A348" s="35"/>
      <c r="B348" s="37">
        <v>344.0</v>
      </c>
      <c r="C348" s="38">
        <f t="shared" si="2"/>
        <v>48.0630848</v>
      </c>
      <c r="D348" s="38">
        <f t="shared" si="3"/>
        <v>13.78186779</v>
      </c>
      <c r="E348" s="38">
        <f>'演算'!U348</f>
        <v>192.5902331</v>
      </c>
      <c r="F348" s="38">
        <f t="shared" si="4"/>
        <v>-192.5902331</v>
      </c>
      <c r="G348" s="38">
        <f t="shared" si="5"/>
        <v>584.8377482</v>
      </c>
      <c r="H348" s="38">
        <f t="shared" si="6"/>
        <v>-106.1054155</v>
      </c>
      <c r="I348" s="39">
        <f t="shared" si="7"/>
        <v>594.3850191</v>
      </c>
      <c r="J348" s="38">
        <f t="shared" si="8"/>
        <v>10.28315457</v>
      </c>
      <c r="K348" s="38" t="str">
        <f t="shared" si="9"/>
        <v/>
      </c>
      <c r="L348" s="38">
        <f t="shared" si="10"/>
        <v>2</v>
      </c>
      <c r="M348" s="38">
        <f t="shared" si="11"/>
        <v>370.2831546</v>
      </c>
      <c r="N348" s="39">
        <f t="shared" si="12"/>
        <v>320.2831546</v>
      </c>
      <c r="O348" s="39">
        <f t="shared" si="13"/>
        <v>457.2079222</v>
      </c>
      <c r="P348" s="39">
        <f t="shared" si="14"/>
        <v>379.8084608</v>
      </c>
      <c r="Q348" s="38">
        <f t="shared" si="15"/>
        <v>576.7570176</v>
      </c>
      <c r="R348" s="38">
        <f t="shared" si="16"/>
        <v>-165.3824135</v>
      </c>
      <c r="S348" s="40">
        <v>344.0</v>
      </c>
      <c r="T348" s="37">
        <f t="shared" si="24"/>
        <v>28.59023308</v>
      </c>
      <c r="U348" s="37">
        <f t="shared" si="18"/>
        <v>192.5902331</v>
      </c>
      <c r="V348" s="37">
        <f t="shared" si="23"/>
        <v>1.885512908</v>
      </c>
      <c r="W348" s="37">
        <f>'入力・結果'!$I$7/V348</f>
        <v>171040.9929</v>
      </c>
      <c r="X348" s="39">
        <f>(W348/I348*10)*'入力・結果'!$I$8</f>
        <v>1726.56767</v>
      </c>
      <c r="Y348" s="38">
        <f>DEGREES(ACOS(('入力・結果'!$G$3-('入力・結果'!$G$4*COS(RADIANS(S348))))/((('入力・結果'!$G$3^2)+('入力・結果'!$G$4^2)-(2*'入力・結果'!$G$3*'入力・結果'!$G$4*COS(RADIANS(S348))))^(1/2))))</f>
        <v>142.6569015</v>
      </c>
      <c r="Z348" s="38">
        <f>DEGREES(ACOS((('入力・結果'!$G$3^2)+('入力・結果'!$G$4^2)-('入力・結果'!$G$5^2)+('入力・結果'!$G$6^2)-(2*'入力・結果'!$G$3*'入力・結果'!$G$4*COS(RADIANS(S348))))/(2*'入力・結果'!$G$6*(('入力・結果'!$G$3^2)+('入力・結果'!$G$4^2)-(2*'入力・結果'!$G$3*'入力・結果'!$G$4*(COS(RADIANS(S348)))))^(1/2))))</f>
        <v>100.2785256</v>
      </c>
      <c r="AA348" s="38">
        <f>DEGREES(ACOS(('入力・結果'!$G$4-('入力・結果'!$G$3*COS(RADIANS(S348))))/((('入力・結果'!$G$3^2)+('入力・結果'!$G$4^2)-(2*'入力・結果'!$G$3*'入力・結果'!$G$4*COS(RADIANS(S348))))^(1/2))))</f>
        <v>21.34309846</v>
      </c>
      <c r="AB348" s="38">
        <f>DEGREES(ACOS((('入力・結果'!$G$3^2)+('入力・結果'!$G$4^2)+('入力・結果'!$G$5^2)-('入力・結果'!$G$6^2)-(2*'入力・結果'!$G$3*'入力・結果'!$G$4*COS(RADIANS(S348))))/(2*'入力・結果'!$G$5*(('入力・結果'!$G$3^2)+('入力・結果'!$G$4^2)-(2*'入力・結果'!$G$3*'入力・結果'!$G$4*(COS(RADIANS(S348)))))^(1/2))))</f>
        <v>49.93333154</v>
      </c>
      <c r="AC348" s="37">
        <f t="shared" si="19"/>
        <v>-1573.43233</v>
      </c>
      <c r="AD348" s="37">
        <f t="shared" si="20"/>
        <v>0</v>
      </c>
      <c r="AE348" s="37" t="str">
        <f t="shared" si="21"/>
        <v/>
      </c>
      <c r="AF348" s="37" t="str">
        <f t="shared" si="22"/>
        <v/>
      </c>
      <c r="AG348" s="35"/>
      <c r="AH348" s="35"/>
      <c r="AI348" s="35"/>
      <c r="AJ348" s="35">
        <v>345.0</v>
      </c>
      <c r="AK348" s="35">
        <f t="shared" si="1"/>
        <v>0.5197815396</v>
      </c>
    </row>
    <row r="349" ht="12.75" customHeight="1">
      <c r="A349" s="35"/>
      <c r="B349" s="37">
        <v>345.0</v>
      </c>
      <c r="C349" s="38">
        <f t="shared" si="2"/>
        <v>48.29629131</v>
      </c>
      <c r="D349" s="38">
        <f t="shared" si="3"/>
        <v>12.94095226</v>
      </c>
      <c r="E349" s="38">
        <f>'演算'!U349</f>
        <v>194.5141183</v>
      </c>
      <c r="F349" s="38">
        <f t="shared" si="4"/>
        <v>-194.5141183</v>
      </c>
      <c r="G349" s="38">
        <f t="shared" si="5"/>
        <v>580.7435445</v>
      </c>
      <c r="H349" s="38">
        <f t="shared" si="6"/>
        <v>-124.8992546</v>
      </c>
      <c r="I349" s="39">
        <f t="shared" si="7"/>
        <v>594.0226328</v>
      </c>
      <c r="J349" s="38">
        <f t="shared" si="8"/>
        <v>12.13759484</v>
      </c>
      <c r="K349" s="38" t="str">
        <f t="shared" si="9"/>
        <v/>
      </c>
      <c r="L349" s="38">
        <f t="shared" si="10"/>
        <v>2</v>
      </c>
      <c r="M349" s="38">
        <f t="shared" si="11"/>
        <v>372.1375948</v>
      </c>
      <c r="N349" s="39">
        <f t="shared" si="12"/>
        <v>322.1375948</v>
      </c>
      <c r="O349" s="39">
        <f t="shared" si="13"/>
        <v>468.9731347</v>
      </c>
      <c r="P349" s="39">
        <f t="shared" si="14"/>
        <v>364.5916718</v>
      </c>
      <c r="Q349" s="38">
        <f t="shared" si="15"/>
        <v>579.5554958</v>
      </c>
      <c r="R349" s="38">
        <f t="shared" si="16"/>
        <v>-155.2914271</v>
      </c>
      <c r="S349" s="40">
        <v>345.0</v>
      </c>
      <c r="T349" s="37">
        <f t="shared" si="24"/>
        <v>29.51411826</v>
      </c>
      <c r="U349" s="37">
        <f t="shared" si="18"/>
        <v>194.5141183</v>
      </c>
      <c r="V349" s="37">
        <f t="shared" si="23"/>
        <v>1.923885179</v>
      </c>
      <c r="W349" s="37">
        <f>'入力・結果'!$I$7/V349</f>
        <v>167629.5465</v>
      </c>
      <c r="X349" s="39">
        <f>(W349/I349*10)*'入力・結果'!$I$8</f>
        <v>1693.163229</v>
      </c>
      <c r="Y349" s="38">
        <f>DEGREES(ACOS(('入力・結果'!$G$3-('入力・結果'!$G$4*COS(RADIANS(S349))))/((('入力・結果'!$G$3^2)+('入力・結果'!$G$4^2)-(2*'入力・結果'!$G$3*'入力・結果'!$G$4*COS(RADIANS(S349))))^(1/2))))</f>
        <v>144.728261</v>
      </c>
      <c r="Z349" s="38">
        <f>DEGREES(ACOS((('入力・結果'!$G$3^2)+('入力・結果'!$G$4^2)-('入力・結果'!$G$5^2)+('入力・結果'!$G$6^2)-(2*'入力・結果'!$G$3*'入力・結果'!$G$4*COS(RADIANS(S349))))/(2*'入力・結果'!$G$6*(('入力・結果'!$G$3^2)+('入力・結果'!$G$4^2)-(2*'入力・結果'!$G$3*'入力・結果'!$G$4*(COS(RADIANS(S349)))))^(1/2))))</f>
        <v>100.9423754</v>
      </c>
      <c r="AA349" s="38">
        <f>DEGREES(ACOS(('入力・結果'!$G$4-('入力・結果'!$G$3*COS(RADIANS(S349))))/((('入力・結果'!$G$3^2)+('入力・結果'!$G$4^2)-(2*'入力・結果'!$G$3*'入力・結果'!$G$4*COS(RADIANS(S349))))^(1/2))))</f>
        <v>20.27173897</v>
      </c>
      <c r="AB349" s="38">
        <f>DEGREES(ACOS((('入力・結果'!$G$3^2)+('入力・結果'!$G$4^2)+('入力・結果'!$G$5^2)-('入力・結果'!$G$6^2)-(2*'入力・結果'!$G$3*'入力・結果'!$G$4*COS(RADIANS(S349))))/(2*'入力・結果'!$G$5*(('入力・結果'!$G$3^2)+('入力・結果'!$G$4^2)-(2*'入力・結果'!$G$3*'入力・結果'!$G$4*(COS(RADIANS(S349)))))^(1/2))))</f>
        <v>49.78585723</v>
      </c>
      <c r="AC349" s="37">
        <f t="shared" si="19"/>
        <v>-1606.836771</v>
      </c>
      <c r="AD349" s="37">
        <f t="shared" si="20"/>
        <v>0</v>
      </c>
      <c r="AE349" s="37" t="str">
        <f t="shared" si="21"/>
        <v/>
      </c>
      <c r="AF349" s="37" t="str">
        <f t="shared" si="22"/>
        <v/>
      </c>
      <c r="AG349" s="35"/>
      <c r="AH349" s="35"/>
      <c r="AI349" s="35"/>
      <c r="AJ349" s="35">
        <v>346.0</v>
      </c>
      <c r="AK349" s="35">
        <f t="shared" si="1"/>
        <v>0.5093177208</v>
      </c>
    </row>
    <row r="350" ht="12.75" customHeight="1">
      <c r="A350" s="35"/>
      <c r="B350" s="37">
        <v>346.0</v>
      </c>
      <c r="C350" s="38">
        <f t="shared" si="2"/>
        <v>48.51478631</v>
      </c>
      <c r="D350" s="38">
        <f t="shared" si="3"/>
        <v>12.09609478</v>
      </c>
      <c r="E350" s="38">
        <f>'演算'!U350</f>
        <v>196.4775292</v>
      </c>
      <c r="F350" s="38">
        <f t="shared" si="4"/>
        <v>-196.4775292</v>
      </c>
      <c r="G350" s="38">
        <f t="shared" si="5"/>
        <v>575.9268632</v>
      </c>
      <c r="H350" s="38">
        <f t="shared" si="6"/>
        <v>-143.9055116</v>
      </c>
      <c r="I350" s="39">
        <f t="shared" si="7"/>
        <v>593.6333447</v>
      </c>
      <c r="J350" s="38">
        <f t="shared" si="8"/>
        <v>14.02910806</v>
      </c>
      <c r="K350" s="38" t="str">
        <f t="shared" si="9"/>
        <v/>
      </c>
      <c r="L350" s="38">
        <f t="shared" si="10"/>
        <v>2</v>
      </c>
      <c r="M350" s="38">
        <f t="shared" si="11"/>
        <v>374.0291081</v>
      </c>
      <c r="N350" s="39">
        <f t="shared" si="12"/>
        <v>324.0291081</v>
      </c>
      <c r="O350" s="39">
        <f t="shared" si="13"/>
        <v>480.4366692</v>
      </c>
      <c r="P350" s="39">
        <f t="shared" si="14"/>
        <v>348.6848933</v>
      </c>
      <c r="Q350" s="38">
        <f t="shared" si="15"/>
        <v>582.1774358</v>
      </c>
      <c r="R350" s="38">
        <f t="shared" si="16"/>
        <v>-145.1531374</v>
      </c>
      <c r="S350" s="40">
        <v>346.0</v>
      </c>
      <c r="T350" s="37">
        <f t="shared" si="24"/>
        <v>30.47752923</v>
      </c>
      <c r="U350" s="37">
        <f t="shared" si="18"/>
        <v>196.4775292</v>
      </c>
      <c r="V350" s="37">
        <f t="shared" si="23"/>
        <v>1.96341097</v>
      </c>
      <c r="W350" s="37">
        <f>'入力・結果'!$I$7/V350</f>
        <v>164254.965</v>
      </c>
      <c r="X350" s="39">
        <f>(W350/I350*10)*'入力・結果'!$I$8</f>
        <v>1660.165822</v>
      </c>
      <c r="Y350" s="38">
        <f>DEGREES(ACOS(('入力・結果'!$G$3-('入力・結果'!$G$4*COS(RADIANS(S350))))/((('入力・結果'!$G$3^2)+('入力・結果'!$G$4^2)-(2*'入力・結果'!$G$3*'入力・結果'!$G$4*COS(RADIANS(S350))))^(1/2))))</f>
        <v>146.8425799</v>
      </c>
      <c r="Z350" s="38">
        <f>DEGREES(ACOS((('入力・結果'!$G$3^2)+('入力・結果'!$G$4^2)-('入力・結果'!$G$5^2)+('入力・結果'!$G$6^2)-(2*'入力・結果'!$G$3*'入力・結果'!$G$4*COS(RADIANS(S350))))/(2*'入力・結果'!$G$6*(('入力・結果'!$G$3^2)+('入力・結果'!$G$4^2)-(2*'入力・結果'!$G$3*'入力・結果'!$G$4*(COS(RADIANS(S350)))))^(1/2))))</f>
        <v>101.5847329</v>
      </c>
      <c r="AA350" s="38">
        <f>DEGREES(ACOS(('入力・結果'!$G$4-('入力・結果'!$G$3*COS(RADIANS(S350))))/((('入力・結果'!$G$3^2)+('入力・結果'!$G$4^2)-(2*'入力・結果'!$G$3*'入力・結果'!$G$4*COS(RADIANS(S350))))^(1/2))))</f>
        <v>19.15742011</v>
      </c>
      <c r="AB350" s="38">
        <f>DEGREES(ACOS((('入力・結果'!$G$3^2)+('入力・結果'!$G$4^2)+('入力・結果'!$G$5^2)-('入力・結果'!$G$6^2)-(2*'入力・結果'!$G$3*'入力・結果'!$G$4*COS(RADIANS(S350))))/(2*'入力・結果'!$G$5*(('入力・結果'!$G$3^2)+('入力・結果'!$G$4^2)-(2*'入力・結果'!$G$3*'入力・結果'!$G$4*(COS(RADIANS(S350)))))^(1/2))))</f>
        <v>49.63494934</v>
      </c>
      <c r="AC350" s="37">
        <f t="shared" si="19"/>
        <v>-1639.834178</v>
      </c>
      <c r="AD350" s="37">
        <f t="shared" si="20"/>
        <v>0</v>
      </c>
      <c r="AE350" s="37" t="str">
        <f t="shared" si="21"/>
        <v/>
      </c>
      <c r="AF350" s="37" t="str">
        <f t="shared" si="22"/>
        <v/>
      </c>
      <c r="AG350" s="35"/>
      <c r="AH350" s="35"/>
      <c r="AI350" s="35"/>
      <c r="AJ350" s="35">
        <v>347.0</v>
      </c>
      <c r="AK350" s="35">
        <f t="shared" si="1"/>
        <v>0.4990134941</v>
      </c>
    </row>
    <row r="351" ht="12.75" customHeight="1">
      <c r="A351" s="35"/>
      <c r="B351" s="37">
        <v>347.0</v>
      </c>
      <c r="C351" s="38">
        <f t="shared" si="2"/>
        <v>48.71850324</v>
      </c>
      <c r="D351" s="38">
        <f t="shared" si="3"/>
        <v>11.24755272</v>
      </c>
      <c r="E351" s="38">
        <f>'演算'!U351</f>
        <v>198.4814831</v>
      </c>
      <c r="F351" s="38">
        <f t="shared" si="4"/>
        <v>-198.4814831</v>
      </c>
      <c r="G351" s="38">
        <f t="shared" si="5"/>
        <v>570.3528872</v>
      </c>
      <c r="H351" s="38">
        <f t="shared" si="6"/>
        <v>-163.1014347</v>
      </c>
      <c r="I351" s="39">
        <f t="shared" si="7"/>
        <v>593.2153858</v>
      </c>
      <c r="J351" s="38">
        <f t="shared" si="8"/>
        <v>15.95871952</v>
      </c>
      <c r="K351" s="38" t="str">
        <f t="shared" si="9"/>
        <v/>
      </c>
      <c r="L351" s="38">
        <f t="shared" si="10"/>
        <v>2</v>
      </c>
      <c r="M351" s="38">
        <f t="shared" si="11"/>
        <v>375.9587195</v>
      </c>
      <c r="N351" s="39">
        <f t="shared" si="12"/>
        <v>325.9587195</v>
      </c>
      <c r="O351" s="39">
        <f t="shared" si="13"/>
        <v>491.5587168</v>
      </c>
      <c r="P351" s="39">
        <f t="shared" si="14"/>
        <v>332.0760785</v>
      </c>
      <c r="Q351" s="38">
        <f t="shared" si="15"/>
        <v>584.6220389</v>
      </c>
      <c r="R351" s="38">
        <f t="shared" si="16"/>
        <v>-134.9706326</v>
      </c>
      <c r="S351" s="40">
        <v>347.0</v>
      </c>
      <c r="T351" s="37">
        <f t="shared" si="24"/>
        <v>31.48148305</v>
      </c>
      <c r="U351" s="37">
        <f t="shared" si="18"/>
        <v>198.4814831</v>
      </c>
      <c r="V351" s="37">
        <f t="shared" si="23"/>
        <v>2.003953825</v>
      </c>
      <c r="W351" s="37">
        <f>'入力・結果'!$I$7/V351</f>
        <v>160931.8518</v>
      </c>
      <c r="X351" s="39">
        <f>(W351/I351*10)*'入力・結果'!$I$8</f>
        <v>1627.724321</v>
      </c>
      <c r="Y351" s="38">
        <f>DEGREES(ACOS(('入力・結果'!$G$3-('入力・結果'!$G$4*COS(RADIANS(S351))))/((('入力・結果'!$G$3^2)+('入力・結果'!$G$4^2)-(2*'入力・結果'!$G$3*'入力・結果'!$G$4*COS(RADIANS(S351))))^(1/2))))</f>
        <v>148.9992325</v>
      </c>
      <c r="Z351" s="38">
        <f>DEGREES(ACOS((('入力・結果'!$G$3^2)+('入力・結果'!$G$4^2)-('入力・結果'!$G$5^2)+('入力・結果'!$G$6^2)-(2*'入力・結果'!$G$3*'入力・結果'!$G$4*COS(RADIANS(S351))))/(2*'入力・結果'!$G$6*(('入力・結果'!$G$3^2)+('入力・結果'!$G$4^2)-(2*'入力・結果'!$G$3*'入力・結果'!$G$4*(COS(RADIANS(S351)))))^(1/2))))</f>
        <v>102.2026571</v>
      </c>
      <c r="AA351" s="38">
        <f>DEGREES(ACOS(('入力・結果'!$G$4-('入力・結果'!$G$3*COS(RADIANS(S351))))/((('入力・結果'!$G$3^2)+('入力・結果'!$G$4^2)-(2*'入力・結果'!$G$3*'入力・結果'!$G$4*COS(RADIANS(S351))))^(1/2))))</f>
        <v>18.00076751</v>
      </c>
      <c r="AB351" s="38">
        <f>DEGREES(ACOS((('入力・結果'!$G$3^2)+('入力・結果'!$G$4^2)+('入力・結果'!$G$5^2)-('入力・結果'!$G$6^2)-(2*'入力・結果'!$G$3*'入力・結果'!$G$4*COS(RADIANS(S351))))/(2*'入力・結果'!$G$5*(('入力・結果'!$G$3^2)+('入力・結果'!$G$4^2)-(2*'入力・結果'!$G$3*'入力・結果'!$G$4*(COS(RADIANS(S351)))))^(1/2))))</f>
        <v>49.48225056</v>
      </c>
      <c r="AC351" s="37">
        <f t="shared" si="19"/>
        <v>-1672.275679</v>
      </c>
      <c r="AD351" s="37">
        <f t="shared" si="20"/>
        <v>0</v>
      </c>
      <c r="AE351" s="37" t="str">
        <f t="shared" si="21"/>
        <v/>
      </c>
      <c r="AF351" s="37" t="str">
        <f t="shared" si="22"/>
        <v/>
      </c>
      <c r="AG351" s="35"/>
      <c r="AH351" s="35"/>
      <c r="AI351" s="35"/>
      <c r="AJ351" s="35">
        <v>348.0</v>
      </c>
      <c r="AK351" s="35">
        <f t="shared" si="1"/>
        <v>0.4889162127</v>
      </c>
    </row>
    <row r="352" ht="12.75" customHeight="1">
      <c r="A352" s="35"/>
      <c r="B352" s="37">
        <v>348.0</v>
      </c>
      <c r="C352" s="38">
        <f t="shared" si="2"/>
        <v>48.90738004</v>
      </c>
      <c r="D352" s="38">
        <f t="shared" si="3"/>
        <v>10.39558454</v>
      </c>
      <c r="E352" s="38">
        <f>'演算'!U352</f>
        <v>200.5268233</v>
      </c>
      <c r="F352" s="38">
        <f t="shared" si="4"/>
        <v>-200.5268233</v>
      </c>
      <c r="G352" s="38">
        <f t="shared" si="5"/>
        <v>563.9868545</v>
      </c>
      <c r="H352" s="38">
        <f t="shared" si="6"/>
        <v>-182.4596331</v>
      </c>
      <c r="I352" s="39">
        <f t="shared" si="7"/>
        <v>592.7669776</v>
      </c>
      <c r="J352" s="38">
        <f t="shared" si="8"/>
        <v>17.9273034</v>
      </c>
      <c r="K352" s="38" t="str">
        <f t="shared" si="9"/>
        <v/>
      </c>
      <c r="L352" s="38">
        <f t="shared" si="10"/>
        <v>2</v>
      </c>
      <c r="M352" s="38">
        <f t="shared" si="11"/>
        <v>377.9273034</v>
      </c>
      <c r="N352" s="39">
        <f t="shared" si="12"/>
        <v>327.9273034</v>
      </c>
      <c r="O352" s="39">
        <f t="shared" si="13"/>
        <v>502.2959502</v>
      </c>
      <c r="P352" s="39">
        <f t="shared" si="14"/>
        <v>314.7562044</v>
      </c>
      <c r="Q352" s="38">
        <f t="shared" si="15"/>
        <v>586.8885604</v>
      </c>
      <c r="R352" s="38">
        <f t="shared" si="16"/>
        <v>-124.7470145</v>
      </c>
      <c r="S352" s="40">
        <v>348.0</v>
      </c>
      <c r="T352" s="37">
        <f t="shared" si="24"/>
        <v>32.52682329</v>
      </c>
      <c r="U352" s="37">
        <f t="shared" si="18"/>
        <v>200.5268233</v>
      </c>
      <c r="V352" s="37">
        <f t="shared" si="23"/>
        <v>2.045340232</v>
      </c>
      <c r="W352" s="37">
        <f>'入力・結果'!$I$7/V352</f>
        <v>157675.4786</v>
      </c>
      <c r="X352" s="39">
        <f>(W352/I352*10)*'入力・結果'!$I$8</f>
        <v>1595.99456</v>
      </c>
      <c r="Y352" s="38">
        <f>DEGREES(ACOS(('入力・結果'!$G$3-('入力・結果'!$G$4*COS(RADIANS(S352))))/((('入力・結果'!$G$3^2)+('入力・結果'!$G$4^2)-(2*'入力・結果'!$G$3*'入力・結果'!$G$4*COS(RADIANS(S352))))^(1/2))))</f>
        <v>151.1972905</v>
      </c>
      <c r="Z352" s="38">
        <f>DEGREES(ACOS((('入力・結果'!$G$3^2)+('入力・結果'!$G$4^2)-('入力・結果'!$G$5^2)+('入力・結果'!$G$6^2)-(2*'入力・結果'!$G$3*'入力・結果'!$G$4*COS(RADIANS(S352))))/(2*'入力・結果'!$G$6*(('入力・結果'!$G$3^2)+('入力・結果'!$G$4^2)-(2*'入力・結果'!$G$3*'入力・結果'!$G$4*(COS(RADIANS(S352)))))^(1/2))))</f>
        <v>102.7930625</v>
      </c>
      <c r="AA352" s="38">
        <f>DEGREES(ACOS(('入力・結果'!$G$4-('入力・結果'!$G$3*COS(RADIANS(S352))))/((('入力・結果'!$G$3^2)+('入力・結果'!$G$4^2)-(2*'入力・結果'!$G$3*'入力・結果'!$G$4*COS(RADIANS(S352))))^(1/2))))</f>
        <v>16.80270954</v>
      </c>
      <c r="AB352" s="38">
        <f>DEGREES(ACOS((('入力・結果'!$G$3^2)+('入力・結果'!$G$4^2)+('入力・結果'!$G$5^2)-('入力・結果'!$G$6^2)-(2*'入力・結果'!$G$3*'入力・結果'!$G$4*COS(RADIANS(S352))))/(2*'入力・結果'!$G$5*(('入力・結果'!$G$3^2)+('入力・結果'!$G$4^2)-(2*'入力・結果'!$G$3*'入力・結果'!$G$4*(COS(RADIANS(S352)))))^(1/2))))</f>
        <v>49.32953283</v>
      </c>
      <c r="AC352" s="37">
        <f t="shared" si="19"/>
        <v>-1704.00544</v>
      </c>
      <c r="AD352" s="37">
        <f t="shared" si="20"/>
        <v>0</v>
      </c>
      <c r="AE352" s="37" t="str">
        <f t="shared" si="21"/>
        <v/>
      </c>
      <c r="AF352" s="37" t="str">
        <f t="shared" si="22"/>
        <v/>
      </c>
      <c r="AG352" s="35"/>
      <c r="AH352" s="35"/>
      <c r="AI352" s="35"/>
      <c r="AJ352" s="35">
        <v>349.0</v>
      </c>
      <c r="AK352" s="35">
        <f t="shared" si="1"/>
        <v>0.4790748699</v>
      </c>
    </row>
    <row r="353" ht="12.75" customHeight="1">
      <c r="A353" s="35"/>
      <c r="B353" s="37">
        <v>349.0</v>
      </c>
      <c r="C353" s="38">
        <f t="shared" si="2"/>
        <v>49.08135917</v>
      </c>
      <c r="D353" s="38">
        <f t="shared" si="3"/>
        <v>9.540449769</v>
      </c>
      <c r="E353" s="38">
        <f>'演算'!U353</f>
        <v>202.6141797</v>
      </c>
      <c r="F353" s="38">
        <f t="shared" si="4"/>
        <v>-202.6141797</v>
      </c>
      <c r="G353" s="38">
        <f t="shared" si="5"/>
        <v>556.7946546</v>
      </c>
      <c r="H353" s="38">
        <f t="shared" si="6"/>
        <v>-201.9476343</v>
      </c>
      <c r="I353" s="39">
        <f t="shared" si="7"/>
        <v>592.2863618</v>
      </c>
      <c r="J353" s="38">
        <f t="shared" si="8"/>
        <v>19.93554575</v>
      </c>
      <c r="K353" s="38" t="str">
        <f t="shared" si="9"/>
        <v/>
      </c>
      <c r="L353" s="38">
        <f t="shared" si="10"/>
        <v>2</v>
      </c>
      <c r="M353" s="38">
        <f t="shared" si="11"/>
        <v>379.9355457</v>
      </c>
      <c r="N353" s="39">
        <f t="shared" si="12"/>
        <v>329.9355457</v>
      </c>
      <c r="O353" s="39">
        <f t="shared" si="13"/>
        <v>512.6015681</v>
      </c>
      <c r="P353" s="39">
        <f t="shared" si="14"/>
        <v>296.720014</v>
      </c>
      <c r="Q353" s="38">
        <f t="shared" si="15"/>
        <v>588.9763101</v>
      </c>
      <c r="R353" s="38">
        <f t="shared" si="16"/>
        <v>-114.4853972</v>
      </c>
      <c r="S353" s="40">
        <v>349.0</v>
      </c>
      <c r="T353" s="37">
        <f t="shared" si="24"/>
        <v>33.6141797</v>
      </c>
      <c r="U353" s="37">
        <f t="shared" si="18"/>
        <v>202.6141797</v>
      </c>
      <c r="V353" s="37">
        <f t="shared" si="23"/>
        <v>2.087356409</v>
      </c>
      <c r="W353" s="37">
        <f>'入力・結果'!$I$7/V353</f>
        <v>154501.6455</v>
      </c>
      <c r="X353" s="39">
        <f>(W353/I353*10)*'入力・結果'!$I$8</f>
        <v>1565.137969</v>
      </c>
      <c r="Y353" s="38">
        <f>DEGREES(ACOS(('入力・結果'!$G$3-('入力・結果'!$G$4*COS(RADIANS(S353))))/((('入力・結果'!$G$3^2)+('入力・結果'!$G$4^2)-(2*'入力・結果'!$G$3*'入力・結果'!$G$4*COS(RADIANS(S353))))^(1/2))))</f>
        <v>153.4355009</v>
      </c>
      <c r="Z353" s="38">
        <f>DEGREES(ACOS((('入力・結果'!$G$3^2)+('入力・結果'!$G$4^2)-('入力・結果'!$G$5^2)+('入力・結果'!$G$6^2)-(2*'入力・結果'!$G$3*'入力・結果'!$G$4*COS(RADIANS(S353))))/(2*'入力・結果'!$G$6*(('入力・結果'!$G$3^2)+('入力・結果'!$G$4^2)-(2*'入力・結果'!$G$3*'入力・結果'!$G$4*(COS(RADIANS(S353)))))^(1/2))))</f>
        <v>103.3527498</v>
      </c>
      <c r="AA353" s="38">
        <f>DEGREES(ACOS(('入力・結果'!$G$4-('入力・結果'!$G$3*COS(RADIANS(S353))))/((('入力・結果'!$G$3^2)+('入力・結果'!$G$4^2)-(2*'入力・結果'!$G$3*'入力・結果'!$G$4*COS(RADIANS(S353))))^(1/2))))</f>
        <v>15.56449911</v>
      </c>
      <c r="AB353" s="38">
        <f>DEGREES(ACOS((('入力・結果'!$G$3^2)+('入力・結果'!$G$4^2)+('入力・結果'!$G$5^2)-('入力・結果'!$G$6^2)-(2*'入力・結果'!$G$3*'入力・結果'!$G$4*COS(RADIANS(S353))))/(2*'入力・結果'!$G$5*(('入力・結果'!$G$3^2)+('入力・結果'!$G$4^2)-(2*'入力・結果'!$G$3*'入力・結果'!$G$4*(COS(RADIANS(S353)))))^(1/2))))</f>
        <v>49.17867881</v>
      </c>
      <c r="AC353" s="37">
        <f t="shared" si="19"/>
        <v>-1734.862031</v>
      </c>
      <c r="AD353" s="37">
        <f t="shared" si="20"/>
        <v>0</v>
      </c>
      <c r="AE353" s="37" t="str">
        <f t="shared" si="21"/>
        <v/>
      </c>
      <c r="AF353" s="37" t="str">
        <f t="shared" si="22"/>
        <v/>
      </c>
      <c r="AG353" s="35"/>
      <c r="AH353" s="35"/>
      <c r="AI353" s="35"/>
      <c r="AJ353" s="35">
        <v>350.0</v>
      </c>
      <c r="AK353" s="35">
        <f t="shared" si="1"/>
        <v>0.4695396014</v>
      </c>
    </row>
    <row r="354" ht="12.75" customHeight="1">
      <c r="A354" s="35"/>
      <c r="B354" s="37">
        <v>350.0</v>
      </c>
      <c r="C354" s="38">
        <f t="shared" si="2"/>
        <v>49.24038765</v>
      </c>
      <c r="D354" s="38">
        <f t="shared" si="3"/>
        <v>8.682408883</v>
      </c>
      <c r="E354" s="38">
        <f>'演算'!U354</f>
        <v>204.7439255</v>
      </c>
      <c r="F354" s="38">
        <f t="shared" si="4"/>
        <v>-204.7439255</v>
      </c>
      <c r="G354" s="38">
        <f t="shared" si="5"/>
        <v>548.7435429</v>
      </c>
      <c r="H354" s="38">
        <f t="shared" si="6"/>
        <v>-221.5274908</v>
      </c>
      <c r="I354" s="39">
        <f t="shared" si="7"/>
        <v>591.7718353</v>
      </c>
      <c r="J354" s="38">
        <f t="shared" si="8"/>
        <v>21.98390487</v>
      </c>
      <c r="K354" s="38" t="str">
        <f t="shared" si="9"/>
        <v/>
      </c>
      <c r="L354" s="38">
        <f t="shared" si="10"/>
        <v>2</v>
      </c>
      <c r="M354" s="38">
        <f t="shared" si="11"/>
        <v>381.9839049</v>
      </c>
      <c r="N354" s="39">
        <f t="shared" si="12"/>
        <v>331.9839049</v>
      </c>
      <c r="O354" s="39">
        <f t="shared" si="13"/>
        <v>522.4254536</v>
      </c>
      <c r="P354" s="39">
        <f t="shared" si="14"/>
        <v>277.9668154</v>
      </c>
      <c r="Q354" s="38">
        <f t="shared" si="15"/>
        <v>590.8846518</v>
      </c>
      <c r="R354" s="38">
        <f t="shared" si="16"/>
        <v>-104.1889066</v>
      </c>
      <c r="S354" s="40">
        <v>350.0</v>
      </c>
      <c r="T354" s="37">
        <f t="shared" si="24"/>
        <v>34.74392551</v>
      </c>
      <c r="U354" s="37">
        <f t="shared" si="18"/>
        <v>204.7439255</v>
      </c>
      <c r="V354" s="37">
        <f t="shared" si="23"/>
        <v>2.129745813</v>
      </c>
      <c r="W354" s="37">
        <f>'入力・結果'!$I$7/V354</f>
        <v>151426.5214</v>
      </c>
      <c r="X354" s="39">
        <f>(W354/I354*10)*'入力・結果'!$I$8</f>
        <v>1535.319991</v>
      </c>
      <c r="Y354" s="38">
        <f>DEGREES(ACOS(('入力・結果'!$G$3-('入力・結果'!$G$4*COS(RADIANS(S354))))/((('入力・結果'!$G$3^2)+('入力・結果'!$G$4^2)-(2*'入力・結果'!$G$3*'入力・結果'!$G$4*COS(RADIANS(S354))))^(1/2))))</f>
        <v>155.7122684</v>
      </c>
      <c r="Z354" s="38">
        <f>DEGREES(ACOS((('入力・結果'!$G$3^2)+('入力・結果'!$G$4^2)-('入力・結果'!$G$5^2)+('入力・結果'!$G$6^2)-(2*'入力・結果'!$G$3*'入力・結果'!$G$4*COS(RADIANS(S354))))/(2*'入力・結果'!$G$6*(('入力・結果'!$G$3^2)+('入力・結果'!$G$4^2)-(2*'入力・結果'!$G$3*'入力・結果'!$G$4*(COS(RADIANS(S354)))))^(1/2))))</f>
        <v>103.8784435</v>
      </c>
      <c r="AA354" s="38">
        <f>DEGREES(ACOS(('入力・結果'!$G$4-('入力・結果'!$G$3*COS(RADIANS(S354))))/((('入力・結果'!$G$3^2)+('入力・結果'!$G$4^2)-(2*'入力・結果'!$G$3*'入力・結果'!$G$4*COS(RADIANS(S354))))^(1/2))))</f>
        <v>14.2877316</v>
      </c>
      <c r="AB354" s="38">
        <f>DEGREES(ACOS((('入力・結果'!$G$3^2)+('入力・結果'!$G$4^2)+('入力・結果'!$G$5^2)-('入力・結果'!$G$6^2)-(2*'入力・結果'!$G$3*'入力・結果'!$G$4*COS(RADIANS(S354))))/(2*'入力・結果'!$G$5*(('入力・結果'!$G$3^2)+('入力・結果'!$G$4^2)-(2*'入力・結果'!$G$3*'入力・結果'!$G$4*(COS(RADIANS(S354)))))^(1/2))))</f>
        <v>49.0316571</v>
      </c>
      <c r="AC354" s="37">
        <f t="shared" si="19"/>
        <v>-1764.680009</v>
      </c>
      <c r="AD354" s="37">
        <f t="shared" si="20"/>
        <v>0</v>
      </c>
      <c r="AE354" s="37" t="str">
        <f t="shared" si="21"/>
        <v/>
      </c>
      <c r="AF354" s="37" t="str">
        <f t="shared" si="22"/>
        <v/>
      </c>
      <c r="AG354" s="35"/>
      <c r="AH354" s="35"/>
      <c r="AI354" s="35"/>
      <c r="AJ354" s="35">
        <v>351.0</v>
      </c>
      <c r="AK354" s="35">
        <f t="shared" si="1"/>
        <v>0.4603611284</v>
      </c>
    </row>
    <row r="355" ht="12.75" customHeight="1">
      <c r="A355" s="35"/>
      <c r="B355" s="37">
        <v>351.0</v>
      </c>
      <c r="C355" s="38">
        <f t="shared" si="2"/>
        <v>49.38441703</v>
      </c>
      <c r="D355" s="38">
        <f t="shared" si="3"/>
        <v>7.821723252</v>
      </c>
      <c r="E355" s="38">
        <f>'演算'!U355</f>
        <v>206.9161332</v>
      </c>
      <c r="F355" s="38">
        <f t="shared" si="4"/>
        <v>-206.9161332</v>
      </c>
      <c r="G355" s="38">
        <f t="shared" si="5"/>
        <v>539.8029712</v>
      </c>
      <c r="H355" s="38">
        <f t="shared" si="6"/>
        <v>-241.1554678</v>
      </c>
      <c r="I355" s="39">
        <f t="shared" si="7"/>
        <v>591.2217921</v>
      </c>
      <c r="J355" s="38">
        <f t="shared" si="8"/>
        <v>24.0725701</v>
      </c>
      <c r="K355" s="38" t="str">
        <f t="shared" si="9"/>
        <v/>
      </c>
      <c r="L355" s="38">
        <f t="shared" si="10"/>
        <v>2</v>
      </c>
      <c r="M355" s="38">
        <f t="shared" si="11"/>
        <v>384.0725701</v>
      </c>
      <c r="N355" s="39">
        <f t="shared" si="12"/>
        <v>334.0725701</v>
      </c>
      <c r="O355" s="39">
        <f t="shared" si="13"/>
        <v>531.7144677</v>
      </c>
      <c r="P355" s="39">
        <f t="shared" si="14"/>
        <v>258.5013198</v>
      </c>
      <c r="Q355" s="38">
        <f t="shared" si="15"/>
        <v>592.6130044</v>
      </c>
      <c r="R355" s="38">
        <f t="shared" si="16"/>
        <v>-93.86067902</v>
      </c>
      <c r="S355" s="40">
        <v>351.0</v>
      </c>
      <c r="T355" s="37">
        <f t="shared" si="24"/>
        <v>35.91613323</v>
      </c>
      <c r="U355" s="37">
        <f t="shared" si="18"/>
        <v>206.9161332</v>
      </c>
      <c r="V355" s="37">
        <f t="shared" si="23"/>
        <v>2.172207726</v>
      </c>
      <c r="W355" s="37">
        <f>'入力・結果'!$I$7/V355</f>
        <v>148466.4639</v>
      </c>
      <c r="X355" s="39">
        <f>(W355/I355*10)*'入力・結果'!$I$8</f>
        <v>1506.708304</v>
      </c>
      <c r="Y355" s="38">
        <f>DEGREES(ACOS(('入力・結果'!$G$3-('入力・結果'!$G$4*COS(RADIANS(S355))))/((('入力・結果'!$G$3^2)+('入力・結果'!$G$4^2)-(2*'入力・結果'!$G$3*'入力・結果'!$G$4*COS(RADIANS(S355))))^(1/2))))</f>
        <v>158.0256421</v>
      </c>
      <c r="Z355" s="38">
        <f>DEGREES(ACOS((('入力・結果'!$G$3^2)+('入力・結果'!$G$4^2)-('入力・結果'!$G$5^2)+('入力・結果'!$G$6^2)-(2*'入力・結果'!$G$3*'入力・結果'!$G$4*COS(RADIANS(S355))))/(2*'入力・結果'!$G$6*(('入力・結果'!$G$3^2)+('入力・結果'!$G$4^2)-(2*'入力・結果'!$G$3*'入力・結果'!$G$4*(COS(RADIANS(S355)))))^(1/2))))</f>
        <v>104.3668384</v>
      </c>
      <c r="AA355" s="38">
        <f>DEGREES(ACOS(('入力・結果'!$G$4-('入力・結果'!$G$3*COS(RADIANS(S355))))/((('入力・結果'!$G$3^2)+('入力・結果'!$G$4^2)-(2*'入力・結果'!$G$3*'入力・結果'!$G$4*COS(RADIANS(S355))))^(1/2))))</f>
        <v>12.97435787</v>
      </c>
      <c r="AB355" s="38">
        <f>DEGREES(ACOS((('入力・結果'!$G$3^2)+('入力・結果'!$G$4^2)+('入力・結果'!$G$5^2)-('入力・結果'!$G$6^2)-(2*'入力・結果'!$G$3*'入力・結果'!$G$4*COS(RADIANS(S355))))/(2*'入力・結果'!$G$5*(('入力・結果'!$G$3^2)+('入力・結果'!$G$4^2)-(2*'入力・結果'!$G$3*'入力・結果'!$G$4*(COS(RADIANS(S355)))))^(1/2))))</f>
        <v>48.89049111</v>
      </c>
      <c r="AC355" s="37">
        <f t="shared" si="19"/>
        <v>-1793.291696</v>
      </c>
      <c r="AD355" s="37">
        <f t="shared" si="20"/>
        <v>0</v>
      </c>
      <c r="AE355" s="37" t="str">
        <f t="shared" si="21"/>
        <v/>
      </c>
      <c r="AF355" s="37" t="str">
        <f t="shared" si="22"/>
        <v/>
      </c>
      <c r="AG355" s="35"/>
      <c r="AH355" s="35"/>
      <c r="AI355" s="35"/>
      <c r="AJ355" s="35">
        <v>352.0</v>
      </c>
      <c r="AK355" s="35">
        <f t="shared" si="1"/>
        <v>0.4515901581</v>
      </c>
    </row>
    <row r="356" ht="12.75" customHeight="1">
      <c r="A356" s="35"/>
      <c r="B356" s="37">
        <v>352.0</v>
      </c>
      <c r="C356" s="38">
        <f t="shared" si="2"/>
        <v>49.51340344</v>
      </c>
      <c r="D356" s="38">
        <f t="shared" si="3"/>
        <v>6.958655048</v>
      </c>
      <c r="E356" s="38">
        <f>'演算'!U356</f>
        <v>209.1305305</v>
      </c>
      <c r="F356" s="38">
        <f t="shared" si="4"/>
        <v>-209.1305305</v>
      </c>
      <c r="G356" s="38">
        <f t="shared" si="5"/>
        <v>529.9455268</v>
      </c>
      <c r="H356" s="38">
        <f t="shared" si="6"/>
        <v>-260.781844</v>
      </c>
      <c r="I356" s="39">
        <f t="shared" si="7"/>
        <v>590.63477</v>
      </c>
      <c r="J356" s="38">
        <f t="shared" si="8"/>
        <v>26.20142022</v>
      </c>
      <c r="K356" s="38" t="str">
        <f t="shared" si="9"/>
        <v/>
      </c>
      <c r="L356" s="38">
        <f t="shared" si="10"/>
        <v>2</v>
      </c>
      <c r="M356" s="38">
        <f t="shared" si="11"/>
        <v>386.2014202</v>
      </c>
      <c r="N356" s="39">
        <f t="shared" si="12"/>
        <v>336.2014202</v>
      </c>
      <c r="O356" s="39">
        <f t="shared" si="13"/>
        <v>540.4129009</v>
      </c>
      <c r="P356" s="39">
        <f t="shared" si="14"/>
        <v>238.3344879</v>
      </c>
      <c r="Q356" s="38">
        <f t="shared" si="15"/>
        <v>594.1608412</v>
      </c>
      <c r="R356" s="38">
        <f t="shared" si="16"/>
        <v>-83.50386058</v>
      </c>
      <c r="S356" s="40">
        <v>352.0</v>
      </c>
      <c r="T356" s="37">
        <f t="shared" si="24"/>
        <v>37.13053048</v>
      </c>
      <c r="U356" s="37">
        <f t="shared" si="18"/>
        <v>209.1305305</v>
      </c>
      <c r="V356" s="37">
        <f t="shared" si="23"/>
        <v>2.21439724</v>
      </c>
      <c r="W356" s="37">
        <f>'入力・結果'!$I$7/V356</f>
        <v>145637.826</v>
      </c>
      <c r="X356" s="39">
        <f>(W356/I356*10)*'入力・結果'!$I$8</f>
        <v>1479.470902</v>
      </c>
      <c r="Y356" s="38">
        <f>DEGREES(ACOS(('入力・結果'!$G$3-('入力・結果'!$G$4*COS(RADIANS(S356))))/((('入力・結果'!$G$3^2)+('入力・結果'!$G$4^2)-(2*'入力・結果'!$G$3*'入力・結果'!$G$4*COS(RADIANS(S356))))^(1/2))))</f>
        <v>160.3733088</v>
      </c>
      <c r="Z356" s="38">
        <f>DEGREES(ACOS((('入力・結果'!$G$3^2)+('入力・結果'!$G$4^2)-('入力・結果'!$G$5^2)+('入力・結果'!$G$6^2)-(2*'入力・結果'!$G$3*'入力・結果'!$G$4*COS(RADIANS(S356))))/(2*'入力・結果'!$G$6*(('入力・結果'!$G$3^2)+('入力・結果'!$G$4^2)-(2*'入力・結果'!$G$3*'入力・結果'!$G$4*(COS(RADIANS(S356)))))^(1/2))))</f>
        <v>104.8146541</v>
      </c>
      <c r="AA356" s="38">
        <f>DEGREES(ACOS(('入力・結果'!$G$4-('入力・結果'!$G$3*COS(RADIANS(S356))))/((('入力・結果'!$G$3^2)+('入力・結果'!$G$4^2)-(2*'入力・結果'!$G$3*'入力・結果'!$G$4*COS(RADIANS(S356))))^(1/2))))</f>
        <v>11.62669124</v>
      </c>
      <c r="AB356" s="38">
        <f>DEGREES(ACOS((('入力・結果'!$G$3^2)+('入力・結果'!$G$4^2)+('入力・結果'!$G$5^2)-('入力・結果'!$G$6^2)-(2*'入力・結果'!$G$3*'入力・結果'!$G$4*COS(RADIANS(S356))))/(2*'入力・結果'!$G$5*(('入力・結果'!$G$3^2)+('入力・結果'!$G$4^2)-(2*'入力・結果'!$G$3*'入力・結果'!$G$4*(COS(RADIANS(S356)))))^(1/2))))</f>
        <v>48.75722172</v>
      </c>
      <c r="AC356" s="37">
        <f t="shared" si="19"/>
        <v>-1820.529098</v>
      </c>
      <c r="AD356" s="37">
        <f t="shared" si="20"/>
        <v>0</v>
      </c>
      <c r="AE356" s="37" t="str">
        <f t="shared" si="21"/>
        <v/>
      </c>
      <c r="AF356" s="37" t="str">
        <f t="shared" si="22"/>
        <v/>
      </c>
      <c r="AG356" s="35"/>
      <c r="AH356" s="35"/>
      <c r="AI356" s="35"/>
      <c r="AJ356" s="35">
        <v>353.0</v>
      </c>
      <c r="AK356" s="35">
        <f t="shared" si="1"/>
        <v>0.4432767563</v>
      </c>
    </row>
    <row r="357" ht="12.75" customHeight="1">
      <c r="A357" s="35"/>
      <c r="B357" s="37">
        <v>353.0</v>
      </c>
      <c r="C357" s="38">
        <f t="shared" si="2"/>
        <v>49.62730758</v>
      </c>
      <c r="D357" s="38">
        <f t="shared" si="3"/>
        <v>6.09346717</v>
      </c>
      <c r="E357" s="38">
        <f>'演算'!U357</f>
        <v>211.3864575</v>
      </c>
      <c r="F357" s="38">
        <f t="shared" si="4"/>
        <v>-211.3864575</v>
      </c>
      <c r="G357" s="38">
        <f t="shared" si="5"/>
        <v>519.1479637</v>
      </c>
      <c r="H357" s="38">
        <f t="shared" si="6"/>
        <v>-280.3508616</v>
      </c>
      <c r="I357" s="39">
        <f t="shared" si="7"/>
        <v>590.0095031</v>
      </c>
      <c r="J357" s="38">
        <f t="shared" si="8"/>
        <v>28.3699829</v>
      </c>
      <c r="K357" s="38" t="str">
        <f t="shared" si="9"/>
        <v/>
      </c>
      <c r="L357" s="38">
        <f t="shared" si="10"/>
        <v>2</v>
      </c>
      <c r="M357" s="38">
        <f t="shared" si="11"/>
        <v>388.3699829</v>
      </c>
      <c r="N357" s="39">
        <f t="shared" si="12"/>
        <v>338.3699829</v>
      </c>
      <c r="O357" s="39">
        <f t="shared" si="13"/>
        <v>548.4630983</v>
      </c>
      <c r="P357" s="39">
        <f t="shared" si="14"/>
        <v>217.4843525</v>
      </c>
      <c r="Q357" s="38">
        <f t="shared" si="15"/>
        <v>595.527691</v>
      </c>
      <c r="R357" s="38">
        <f t="shared" si="16"/>
        <v>-73.12160604</v>
      </c>
      <c r="S357" s="40">
        <v>353.0</v>
      </c>
      <c r="T357" s="37">
        <f t="shared" si="24"/>
        <v>38.38645747</v>
      </c>
      <c r="U357" s="37">
        <f t="shared" si="18"/>
        <v>211.3864575</v>
      </c>
      <c r="V357" s="37">
        <f t="shared" si="23"/>
        <v>2.255926993</v>
      </c>
      <c r="W357" s="37">
        <f>'入力・結果'!$I$7/V357</f>
        <v>142956.7539</v>
      </c>
      <c r="X357" s="39">
        <f>(W357/I357*10)*'入力・結果'!$I$8</f>
        <v>1453.774081</v>
      </c>
      <c r="Y357" s="38">
        <f>DEGREES(ACOS(('入力・結果'!$G$3-('入力・結果'!$G$4*COS(RADIANS(S357))))/((('入力・結果'!$G$3^2)+('入力・結果'!$G$4^2)-(2*'入力・結果'!$G$3*'入力・結果'!$G$4*COS(RADIANS(S357))))^(1/2))))</f>
        <v>162.7525928</v>
      </c>
      <c r="Z357" s="38">
        <f>DEGREES(ACOS((('入力・結果'!$G$3^2)+('入力・結果'!$G$4^2)-('入力・結果'!$G$5^2)+('入力・結果'!$G$6^2)-(2*'入力・結果'!$G$3*'入力・結果'!$G$4*COS(RADIANS(S357))))/(2*'入力・結果'!$G$6*(('入力・結果'!$G$3^2)+('入力・結果'!$G$4^2)-(2*'入力・結果'!$G$3*'入力・結果'!$G$4*(COS(RADIANS(S357)))))^(1/2))))</f>
        <v>105.2186949</v>
      </c>
      <c r="AA357" s="38">
        <f>DEGREES(ACOS(('入力・結果'!$G$4-('入力・結果'!$G$3*COS(RADIANS(S357))))/((('入力・結果'!$G$3^2)+('入力・結果'!$G$4^2)-(2*'入力・結果'!$G$3*'入力・結果'!$G$4*COS(RADIANS(S357))))^(1/2))))</f>
        <v>10.24740717</v>
      </c>
      <c r="AB357" s="38">
        <f>DEGREES(ACOS((('入力・結果'!$G$3^2)+('入力・結果'!$G$4^2)+('入力・結果'!$G$5^2)-('入力・結果'!$G$6^2)-(2*'入力・結果'!$G$3*'入力・結果'!$G$4*COS(RADIANS(S357))))/(2*'入力・結果'!$G$5*(('入力・結果'!$G$3^2)+('入力・結果'!$G$4^2)-(2*'入力・結果'!$G$3*'入力・結果'!$G$4*(COS(RADIANS(S357)))))^(1/2))))</f>
        <v>48.63386463</v>
      </c>
      <c r="AC357" s="37">
        <f t="shared" si="19"/>
        <v>-1846.225919</v>
      </c>
      <c r="AD357" s="37">
        <f t="shared" si="20"/>
        <v>0</v>
      </c>
      <c r="AE357" s="37" t="str">
        <f t="shared" si="21"/>
        <v/>
      </c>
      <c r="AF357" s="37" t="str">
        <f t="shared" si="22"/>
        <v/>
      </c>
      <c r="AG357" s="35"/>
      <c r="AH357" s="35"/>
      <c r="AI357" s="35"/>
      <c r="AJ357" s="35">
        <v>354.0</v>
      </c>
      <c r="AK357" s="35">
        <f t="shared" si="1"/>
        <v>0.4354697138</v>
      </c>
    </row>
    <row r="358" ht="12.75" customHeight="1">
      <c r="A358" s="35"/>
      <c r="B358" s="37">
        <v>354.0</v>
      </c>
      <c r="C358" s="38">
        <f t="shared" si="2"/>
        <v>49.72609477</v>
      </c>
      <c r="D358" s="38">
        <f t="shared" si="3"/>
        <v>5.226423163</v>
      </c>
      <c r="E358" s="38">
        <f>'演算'!U358</f>
        <v>213.6828284</v>
      </c>
      <c r="F358" s="38">
        <f t="shared" si="4"/>
        <v>-213.6828284</v>
      </c>
      <c r="G358" s="38">
        <f t="shared" si="5"/>
        <v>507.3922994</v>
      </c>
      <c r="H358" s="38">
        <f t="shared" si="6"/>
        <v>-299.8008628</v>
      </c>
      <c r="I358" s="39">
        <f t="shared" si="7"/>
        <v>589.3449777</v>
      </c>
      <c r="J358" s="38">
        <f t="shared" si="8"/>
        <v>30.57739725</v>
      </c>
      <c r="K358" s="38" t="str">
        <f t="shared" si="9"/>
        <v/>
      </c>
      <c r="L358" s="38">
        <f t="shared" si="10"/>
        <v>2</v>
      </c>
      <c r="M358" s="38">
        <f t="shared" si="11"/>
        <v>390.5773973</v>
      </c>
      <c r="N358" s="39">
        <f t="shared" si="12"/>
        <v>340.5773973</v>
      </c>
      <c r="O358" s="39">
        <f t="shared" si="13"/>
        <v>555.8062683</v>
      </c>
      <c r="P358" s="39">
        <f t="shared" si="14"/>
        <v>195.9767714</v>
      </c>
      <c r="Q358" s="38">
        <f t="shared" si="15"/>
        <v>596.7131372</v>
      </c>
      <c r="R358" s="38">
        <f t="shared" si="16"/>
        <v>-62.71707796</v>
      </c>
      <c r="S358" s="40">
        <v>354.0</v>
      </c>
      <c r="T358" s="37">
        <f t="shared" si="24"/>
        <v>39.68282842</v>
      </c>
      <c r="U358" s="37">
        <f t="shared" si="18"/>
        <v>213.6828284</v>
      </c>
      <c r="V358" s="37">
        <f t="shared" si="23"/>
        <v>2.296370949</v>
      </c>
      <c r="W358" s="37">
        <f>'入力・結果'!$I$7/V358</f>
        <v>140438.9827</v>
      </c>
      <c r="X358" s="39">
        <f>(W358/I358*10)*'入力・結果'!$I$8</f>
        <v>1429.780397</v>
      </c>
      <c r="Y358" s="38">
        <f>DEGREES(ACOS(('入力・結果'!$G$3-('入力・結果'!$G$4*COS(RADIANS(S358))))/((('入力・結果'!$G$3^2)+('入力・結果'!$G$4^2)-(2*'入力・結果'!$G$3*'入力・結果'!$G$4*COS(RADIANS(S358))))^(1/2))))</f>
        <v>165.1604651</v>
      </c>
      <c r="Z358" s="38">
        <f>DEGREES(ACOS((('入力・結果'!$G$3^2)+('入力・結果'!$G$4^2)-('入力・結果'!$G$5^2)+('入力・結果'!$G$6^2)-(2*'入力・結果'!$G$3*'入力・結果'!$G$4*COS(RADIANS(S358))))/(2*'入力・結果'!$G$6*(('入力・結果'!$G$3^2)+('入力・結果'!$G$4^2)-(2*'入力・結果'!$G$3*'入力・結果'!$G$4*(COS(RADIANS(S358)))))^(1/2))))</f>
        <v>105.5759162</v>
      </c>
      <c r="AA358" s="38">
        <f>DEGREES(ACOS(('入力・結果'!$G$4-('入力・結果'!$G$3*COS(RADIANS(S358))))/((('入力・結果'!$G$3^2)+('入力・結果'!$G$4^2)-(2*'入力・結果'!$G$3*'入力・結果'!$G$4*COS(RADIANS(S358))))^(1/2))))</f>
        <v>8.839534893</v>
      </c>
      <c r="AB358" s="38">
        <f>DEGREES(ACOS((('入力・結果'!$G$3^2)+('入力・結果'!$G$4^2)+('入力・結果'!$G$5^2)-('入力・結果'!$G$6^2)-(2*'入力・結果'!$G$3*'入力・結果'!$G$4*COS(RADIANS(S358))))/(2*'入力・結果'!$G$5*(('入力・結果'!$G$3^2)+('入力・結果'!$G$4^2)-(2*'入力・結果'!$G$3*'入力・結果'!$G$4*(COS(RADIANS(S358)))))^(1/2))))</f>
        <v>48.52236331</v>
      </c>
      <c r="AC358" s="37">
        <f t="shared" si="19"/>
        <v>-1870.219603</v>
      </c>
      <c r="AD358" s="37">
        <f t="shared" si="20"/>
        <v>0</v>
      </c>
      <c r="AE358" s="37" t="str">
        <f t="shared" si="21"/>
        <v/>
      </c>
      <c r="AF358" s="37" t="str">
        <f t="shared" si="22"/>
        <v/>
      </c>
      <c r="AG358" s="35"/>
      <c r="AH358" s="35"/>
      <c r="AI358" s="35"/>
      <c r="AJ358" s="35">
        <v>355.0</v>
      </c>
      <c r="AK358" s="35">
        <f t="shared" si="1"/>
        <v>0.4282159292</v>
      </c>
    </row>
    <row r="359" ht="12.75" customHeight="1">
      <c r="A359" s="35"/>
      <c r="B359" s="37">
        <v>355.0</v>
      </c>
      <c r="C359" s="38">
        <f t="shared" si="2"/>
        <v>49.8097349</v>
      </c>
      <c r="D359" s="38">
        <f t="shared" si="3"/>
        <v>4.357787137</v>
      </c>
      <c r="E359" s="38">
        <f>'演算'!U359</f>
        <v>216.0180989</v>
      </c>
      <c r="F359" s="38">
        <f t="shared" si="4"/>
        <v>-216.0180989</v>
      </c>
      <c r="G359" s="38">
        <f t="shared" si="5"/>
        <v>494.6669398</v>
      </c>
      <c r="H359" s="38">
        <f t="shared" si="6"/>
        <v>-319.0646413</v>
      </c>
      <c r="I359" s="39">
        <f t="shared" si="7"/>
        <v>588.6404902</v>
      </c>
      <c r="J359" s="38">
        <f t="shared" si="8"/>
        <v>32.82238131</v>
      </c>
      <c r="K359" s="38" t="str">
        <f t="shared" si="9"/>
        <v/>
      </c>
      <c r="L359" s="38">
        <f t="shared" si="10"/>
        <v>2</v>
      </c>
      <c r="M359" s="38">
        <f t="shared" si="11"/>
        <v>392.8223813</v>
      </c>
      <c r="N359" s="39">
        <f t="shared" si="12"/>
        <v>342.8223813</v>
      </c>
      <c r="O359" s="39">
        <f t="shared" si="13"/>
        <v>562.3834753</v>
      </c>
      <c r="P359" s="39">
        <f t="shared" si="14"/>
        <v>173.8460623</v>
      </c>
      <c r="Q359" s="38">
        <f t="shared" si="15"/>
        <v>597.7168189</v>
      </c>
      <c r="R359" s="38">
        <f t="shared" si="16"/>
        <v>-52.29344565</v>
      </c>
      <c r="S359" s="40">
        <v>355.0</v>
      </c>
      <c r="T359" s="37">
        <f t="shared" si="24"/>
        <v>41.01809885</v>
      </c>
      <c r="U359" s="37">
        <f t="shared" si="18"/>
        <v>216.0180989</v>
      </c>
      <c r="V359" s="37">
        <f t="shared" si="23"/>
        <v>2.335270437</v>
      </c>
      <c r="W359" s="37">
        <f>'入力・結果'!$I$7/V359</f>
        <v>138099.6372</v>
      </c>
      <c r="X359" s="39">
        <f>(W359/I359*10)*'入力・結果'!$I$8</f>
        <v>1407.646665</v>
      </c>
      <c r="Y359" s="38">
        <f>DEGREES(ACOS(('入力・結果'!$G$3-('入力・結果'!$G$4*COS(RADIANS(S359))))/((('入力・結果'!$G$3^2)+('入力・結果'!$G$4^2)-(2*'入力・結果'!$G$3*'入力・結果'!$G$4*COS(RADIANS(S359))))^(1/2))))</f>
        <v>167.5935596</v>
      </c>
      <c r="Z359" s="38">
        <f>DEGREES(ACOS((('入力・結果'!$G$3^2)+('入力・結果'!$G$4^2)-('入力・結果'!$G$5^2)+('入力・結果'!$G$6^2)-(2*'入力・結果'!$G$3*'入力・結果'!$G$4*COS(RADIANS(S359))))/(2*'入力・結果'!$G$6*(('入力・結果'!$G$3^2)+('入力・結果'!$G$4^2)-(2*'入力・結果'!$G$3*'入力・結果'!$G$4*(COS(RADIANS(S359)))))^(1/2))))</f>
        <v>105.8834931</v>
      </c>
      <c r="AA359" s="38">
        <f>DEGREES(ACOS(('入力・結果'!$G$4-('入力・結果'!$G$3*COS(RADIANS(S359))))/((('入力・結果'!$G$3^2)+('入力・結果'!$G$4^2)-(2*'入力・結果'!$G$3*'入力・結果'!$G$4*COS(RADIANS(S359))))^(1/2))))</f>
        <v>7.406440422</v>
      </c>
      <c r="AB359" s="38">
        <f>DEGREES(ACOS((('入力・結果'!$G$3^2)+('入力・結果'!$G$4^2)+('入力・結果'!$G$5^2)-('入力・結果'!$G$6^2)-(2*'入力・結果'!$G$3*'入力・結果'!$G$4*COS(RADIANS(S359))))/(2*'入力・結果'!$G$5*(('入力・結果'!$G$3^2)+('入力・結果'!$G$4^2)-(2*'入力・結果'!$G$3*'入力・結果'!$G$4*(COS(RADIANS(S359)))))^(1/2))))</f>
        <v>48.42453928</v>
      </c>
      <c r="AC359" s="37">
        <f t="shared" si="19"/>
        <v>-1892.353335</v>
      </c>
      <c r="AD359" s="37">
        <f t="shared" si="20"/>
        <v>0</v>
      </c>
      <c r="AE359" s="37" t="str">
        <f t="shared" si="21"/>
        <v/>
      </c>
      <c r="AF359" s="37" t="str">
        <f t="shared" si="22"/>
        <v/>
      </c>
      <c r="AG359" s="35"/>
      <c r="AH359" s="35"/>
      <c r="AI359" s="35"/>
      <c r="AJ359" s="35">
        <v>356.0</v>
      </c>
      <c r="AK359" s="35">
        <f t="shared" si="1"/>
        <v>0.4215598286</v>
      </c>
    </row>
    <row r="360" ht="12.75" customHeight="1">
      <c r="A360" s="35"/>
      <c r="B360" s="37">
        <v>356.0</v>
      </c>
      <c r="C360" s="38">
        <f t="shared" si="2"/>
        <v>49.87820251</v>
      </c>
      <c r="D360" s="38">
        <f t="shared" si="3"/>
        <v>3.487823687</v>
      </c>
      <c r="E360" s="38">
        <f>'演算'!U360</f>
        <v>218.3902414</v>
      </c>
      <c r="F360" s="38">
        <f t="shared" si="4"/>
        <v>-218.3902414</v>
      </c>
      <c r="G360" s="38">
        <f t="shared" si="5"/>
        <v>480.9677844</v>
      </c>
      <c r="H360" s="38">
        <f t="shared" si="6"/>
        <v>-338.0700373</v>
      </c>
      <c r="I360" s="39">
        <f t="shared" si="7"/>
        <v>587.8957048</v>
      </c>
      <c r="J360" s="38">
        <f t="shared" si="8"/>
        <v>35.10320673</v>
      </c>
      <c r="K360" s="38" t="str">
        <f t="shared" si="9"/>
        <v/>
      </c>
      <c r="L360" s="38">
        <f t="shared" si="10"/>
        <v>2</v>
      </c>
      <c r="M360" s="38">
        <f t="shared" si="11"/>
        <v>395.1032067</v>
      </c>
      <c r="N360" s="39">
        <f t="shared" si="12"/>
        <v>345.1032067</v>
      </c>
      <c r="O360" s="39">
        <f t="shared" si="13"/>
        <v>568.1368059</v>
      </c>
      <c r="P360" s="39">
        <f t="shared" si="14"/>
        <v>151.1354674</v>
      </c>
      <c r="Q360" s="38">
        <f t="shared" si="15"/>
        <v>598.5384302</v>
      </c>
      <c r="R360" s="38">
        <f t="shared" si="16"/>
        <v>-41.85388425</v>
      </c>
      <c r="S360" s="40">
        <v>356.0</v>
      </c>
      <c r="T360" s="37">
        <f t="shared" si="24"/>
        <v>42.39024139</v>
      </c>
      <c r="U360" s="37">
        <f t="shared" si="18"/>
        <v>218.3902414</v>
      </c>
      <c r="V360" s="37">
        <f t="shared" si="23"/>
        <v>2.372142534</v>
      </c>
      <c r="W360" s="37">
        <f>'入力・結果'!$I$7/V360</f>
        <v>135953.0447</v>
      </c>
      <c r="X360" s="39">
        <f>(W360/I360*10)*'入力・結果'!$I$8</f>
        <v>1387.522075</v>
      </c>
      <c r="Y360" s="38">
        <f>DEGREES(ACOS(('入力・結果'!$G$3-('入力・結果'!$G$4*COS(RADIANS(S360))))/((('入力・結果'!$G$3^2)+('入力・結果'!$G$4^2)-(2*'入力・結果'!$G$3*'入力・結果'!$G$4*COS(RADIANS(S360))))^(1/2))))</f>
        <v>170.0481996</v>
      </c>
      <c r="Z360" s="38">
        <f>DEGREES(ACOS((('入力・結果'!$G$3^2)+('入力・結果'!$G$4^2)-('入力・結果'!$G$5^2)+('入力・結果'!$G$6^2)-(2*'入力・結果'!$G$3*'入力・結果'!$G$4*COS(RADIANS(S360))))/(2*'入力・結果'!$G$6*(('入力・結果'!$G$3^2)+('入力・結果'!$G$4^2)-(2*'入力・結果'!$G$3*'入力・結果'!$G$4*(COS(RADIANS(S360)))))^(1/2))))</f>
        <v>106.1388892</v>
      </c>
      <c r="AA360" s="38">
        <f>DEGREES(ACOS(('入力・結果'!$G$4-('入力・結果'!$G$3*COS(RADIANS(S360))))/((('入力・結果'!$G$3^2)+('入力・結果'!$G$4^2)-(2*'入力・結果'!$G$3*'入力・結果'!$G$4*COS(RADIANS(S360))))^(1/2))))</f>
        <v>5.951800386</v>
      </c>
      <c r="AB360" s="38">
        <f>DEGREES(ACOS((('入力・結果'!$G$3^2)+('入力・結果'!$G$4^2)+('入力・結果'!$G$5^2)-('入力・結果'!$G$6^2)-(2*'入力・結果'!$G$3*'入力・結果'!$G$4*COS(RADIANS(S360))))/(2*'入力・結果'!$G$5*(('入力・結果'!$G$3^2)+('入力・結果'!$G$4^2)-(2*'入力・結果'!$G$3*'入力・結果'!$G$4*(COS(RADIANS(S360)))))^(1/2))))</f>
        <v>48.34204177</v>
      </c>
      <c r="AC360" s="37">
        <f t="shared" si="19"/>
        <v>-1912.477925</v>
      </c>
      <c r="AD360" s="37">
        <f t="shared" si="20"/>
        <v>0</v>
      </c>
      <c r="AE360" s="37" t="str">
        <f t="shared" si="21"/>
        <v/>
      </c>
      <c r="AF360" s="37" t="str">
        <f t="shared" si="22"/>
        <v/>
      </c>
      <c r="AG360" s="35"/>
      <c r="AH360" s="35"/>
      <c r="AI360" s="35"/>
      <c r="AJ360" s="35">
        <v>357.0</v>
      </c>
      <c r="AK360" s="35">
        <f t="shared" si="1"/>
        <v>0.4155428472</v>
      </c>
    </row>
    <row r="361" ht="12.75" customHeight="1">
      <c r="A361" s="35"/>
      <c r="B361" s="37">
        <v>357.0</v>
      </c>
      <c r="C361" s="38">
        <f t="shared" si="2"/>
        <v>49.93147674</v>
      </c>
      <c r="D361" s="38">
        <f t="shared" si="3"/>
        <v>2.616797812</v>
      </c>
      <c r="E361" s="38">
        <f>'演算'!U361</f>
        <v>220.7967321</v>
      </c>
      <c r="F361" s="38">
        <f t="shared" si="4"/>
        <v>-220.7967321</v>
      </c>
      <c r="G361" s="38">
        <f t="shared" si="5"/>
        <v>466.2992542</v>
      </c>
      <c r="H361" s="38">
        <f t="shared" si="6"/>
        <v>-356.7407871</v>
      </c>
      <c r="I361" s="39">
        <f t="shared" si="7"/>
        <v>587.1107082</v>
      </c>
      <c r="J361" s="38">
        <f t="shared" si="8"/>
        <v>37.4176828</v>
      </c>
      <c r="K361" s="38" t="str">
        <f t="shared" si="9"/>
        <v/>
      </c>
      <c r="L361" s="38">
        <f t="shared" si="10"/>
        <v>2</v>
      </c>
      <c r="M361" s="38">
        <f t="shared" si="11"/>
        <v>397.4176828</v>
      </c>
      <c r="N361" s="39">
        <f t="shared" si="12"/>
        <v>347.4176828</v>
      </c>
      <c r="O361" s="39">
        <f t="shared" si="13"/>
        <v>573.0106806</v>
      </c>
      <c r="P361" s="39">
        <f t="shared" si="14"/>
        <v>127.8973947</v>
      </c>
      <c r="Q361" s="38">
        <f t="shared" si="15"/>
        <v>599.1777209</v>
      </c>
      <c r="R361" s="38">
        <f t="shared" si="16"/>
        <v>-31.40157375</v>
      </c>
      <c r="S361" s="40">
        <v>357.0</v>
      </c>
      <c r="T361" s="37">
        <f t="shared" si="24"/>
        <v>43.79673209</v>
      </c>
      <c r="U361" s="37">
        <f t="shared" si="18"/>
        <v>220.7967321</v>
      </c>
      <c r="V361" s="37">
        <f t="shared" si="23"/>
        <v>2.406490707</v>
      </c>
      <c r="W361" s="37">
        <f>'入力・結果'!$I$7/V361</f>
        <v>134012.5682</v>
      </c>
      <c r="X361" s="39">
        <f>(W361/I361*10)*'入力・結果'!$I$8</f>
        <v>1369.546489</v>
      </c>
      <c r="Y361" s="38">
        <f>DEGREES(ACOS(('入力・結果'!$G$3-('入力・結果'!$G$4*COS(RADIANS(S361))))/((('入力・結果'!$G$3^2)+('入力・結果'!$G$4^2)-(2*'入力・結果'!$G$3*'入力・結果'!$G$4*COS(RADIANS(S361))))^(1/2))))</f>
        <v>172.520433</v>
      </c>
      <c r="Z361" s="38">
        <f>DEGREES(ACOS((('入力・結果'!$G$3^2)+('入力・結果'!$G$4^2)-('入力・結果'!$G$5^2)+('入力・結果'!$G$6^2)-(2*'入力・結果'!$G$3*'入力・結果'!$G$4*COS(RADIANS(S361))))/(2*'入力・結果'!$G$6*(('入力・結果'!$G$3^2)+('入力・結果'!$G$4^2)-(2*'入力・結果'!$G$3*'入力・結果'!$G$4*(COS(RADIANS(S361)))))^(1/2))))</f>
        <v>106.3399229</v>
      </c>
      <c r="AA361" s="38">
        <f>DEGREES(ACOS(('入力・結果'!$G$4-('入力・結果'!$G$3*COS(RADIANS(S361))))/((('入力・結果'!$G$3^2)+('入力・結果'!$G$4^2)-(2*'入力・結果'!$G$3*'入力・結果'!$G$4*COS(RADIANS(S361))))^(1/2))))</f>
        <v>4.479567012</v>
      </c>
      <c r="AB361" s="38">
        <f>DEGREES(ACOS((('入力・結果'!$G$3^2)+('入力・結果'!$G$4^2)+('入力・結果'!$G$5^2)-('入力・結果'!$G$6^2)-(2*'入力・結果'!$G$3*'入力・結果'!$G$4*COS(RADIANS(S361))))/(2*'入力・結果'!$G$5*(('入力・結果'!$G$3^2)+('入力・結果'!$G$4^2)-(2*'入力・結果'!$G$3*'入力・結果'!$G$4*(COS(RADIANS(S361)))))^(1/2))))</f>
        <v>48.27629911</v>
      </c>
      <c r="AC361" s="37">
        <f t="shared" si="19"/>
        <v>-1930.453511</v>
      </c>
      <c r="AD361" s="37">
        <f t="shared" si="20"/>
        <v>0</v>
      </c>
      <c r="AE361" s="37" t="str">
        <f t="shared" si="21"/>
        <v/>
      </c>
      <c r="AF361" s="37" t="str">
        <f t="shared" si="22"/>
        <v/>
      </c>
      <c r="AG361" s="35"/>
      <c r="AH361" s="35"/>
      <c r="AI361" s="35"/>
      <c r="AJ361" s="35">
        <v>358.0</v>
      </c>
      <c r="AK361" s="35">
        <f t="shared" si="1"/>
        <v>0.4102029889</v>
      </c>
    </row>
    <row r="362" ht="12.75" customHeight="1">
      <c r="A362" s="35"/>
      <c r="B362" s="37">
        <v>358.0</v>
      </c>
      <c r="C362" s="38">
        <f t="shared" si="2"/>
        <v>49.96954135</v>
      </c>
      <c r="D362" s="38">
        <f t="shared" si="3"/>
        <v>1.744974835</v>
      </c>
      <c r="E362" s="38">
        <f>'演算'!U362</f>
        <v>223.2345495</v>
      </c>
      <c r="F362" s="38">
        <f t="shared" si="4"/>
        <v>-223.2345495</v>
      </c>
      <c r="G362" s="38">
        <f t="shared" si="5"/>
        <v>450.6751823</v>
      </c>
      <c r="H362" s="38">
        <f t="shared" si="6"/>
        <v>-374.9976287</v>
      </c>
      <c r="I362" s="39">
        <f t="shared" si="7"/>
        <v>586.2860577</v>
      </c>
      <c r="J362" s="38">
        <f t="shared" si="8"/>
        <v>39.76315157</v>
      </c>
      <c r="K362" s="38" t="str">
        <f t="shared" si="9"/>
        <v/>
      </c>
      <c r="L362" s="38">
        <f t="shared" si="10"/>
        <v>2</v>
      </c>
      <c r="M362" s="38">
        <f t="shared" si="11"/>
        <v>399.7631516</v>
      </c>
      <c r="N362" s="39">
        <f t="shared" si="12"/>
        <v>349.7631516</v>
      </c>
      <c r="O362" s="39">
        <f t="shared" si="13"/>
        <v>576.9532728</v>
      </c>
      <c r="P362" s="39">
        <f t="shared" si="14"/>
        <v>104.1933897</v>
      </c>
      <c r="Q362" s="38">
        <f t="shared" si="15"/>
        <v>599.6344962</v>
      </c>
      <c r="R362" s="38">
        <f t="shared" si="16"/>
        <v>-20.93969802</v>
      </c>
      <c r="S362" s="40">
        <v>358.0</v>
      </c>
      <c r="T362" s="37">
        <f t="shared" si="24"/>
        <v>45.23454953</v>
      </c>
      <c r="U362" s="37">
        <f t="shared" si="18"/>
        <v>223.2345495</v>
      </c>
      <c r="V362" s="37">
        <f t="shared" si="23"/>
        <v>2.43781744</v>
      </c>
      <c r="W362" s="37">
        <f>'入力・結果'!$I$7/V362</f>
        <v>132290.4639</v>
      </c>
      <c r="X362" s="39">
        <f>(W362/I362*10)*'入力・結果'!$I$8</f>
        <v>1353.848984</v>
      </c>
      <c r="Y362" s="38">
        <f>DEGREES(ACOS(('入力・結果'!$G$3-('入力・結果'!$G$4*COS(RADIANS(S362))))/((('入力・結果'!$G$3^2)+('入力・結果'!$G$4^2)-(2*'入力・結果'!$G$3*'入力・結果'!$G$4*COS(RADIANS(S362))))^(1/2))))</f>
        <v>175.0060753</v>
      </c>
      <c r="Z362" s="38">
        <f>DEGREES(ACOS((('入力・結果'!$G$3^2)+('入力・結果'!$G$4^2)-('入力・結果'!$G$5^2)+('入力・結果'!$G$6^2)-(2*'入力・結果'!$G$3*'入力・結果'!$G$4*COS(RADIANS(S362))))/(2*'入力・結果'!$G$6*(('入力・結果'!$G$3^2)+('入力・結果'!$G$4^2)-(2*'入力・結果'!$G$3*'入力・結果'!$G$4*(COS(RADIANS(S362)))))^(1/2))))</f>
        <v>106.4848275</v>
      </c>
      <c r="AA362" s="38">
        <f>DEGREES(ACOS(('入力・結果'!$G$4-('入力・結果'!$G$3*COS(RADIANS(S362))))/((('入力・結果'!$G$3^2)+('入力・結果'!$G$4^2)-(2*'入力・結果'!$G$3*'入力・結果'!$G$4*COS(RADIANS(S362))))^(1/2))))</f>
        <v>2.993924669</v>
      </c>
      <c r="AB362" s="38">
        <f>DEGREES(ACOS((('入力・結果'!$G$3^2)+('入力・結果'!$G$4^2)+('入力・結果'!$G$5^2)-('入力・結果'!$G$6^2)-(2*'入力・結果'!$G$3*'入力・結果'!$G$4*COS(RADIANS(S362))))/(2*'入力・結果'!$G$5*(('入力・結果'!$G$3^2)+('入力・結果'!$G$4^2)-(2*'入力・結果'!$G$3*'入力・結果'!$G$4*(COS(RADIANS(S362)))))^(1/2))))</f>
        <v>48.2284742</v>
      </c>
      <c r="AC362" s="37">
        <f t="shared" si="19"/>
        <v>-1946.151016</v>
      </c>
      <c r="AD362" s="37">
        <f t="shared" si="20"/>
        <v>0</v>
      </c>
      <c r="AE362" s="37" t="str">
        <f t="shared" si="21"/>
        <v/>
      </c>
      <c r="AF362" s="37" t="str">
        <f t="shared" si="22"/>
        <v/>
      </c>
      <c r="AG362" s="35"/>
      <c r="AH362" s="35"/>
      <c r="AI362" s="35"/>
      <c r="AJ362" s="35">
        <v>359.0</v>
      </c>
      <c r="AK362" s="35">
        <f t="shared" si="1"/>
        <v>0.4055744813</v>
      </c>
    </row>
    <row r="363" ht="12.75" customHeight="1">
      <c r="A363" s="35"/>
      <c r="B363" s="37">
        <v>359.0</v>
      </c>
      <c r="C363" s="38">
        <f t="shared" si="2"/>
        <v>49.99238476</v>
      </c>
      <c r="D363" s="38">
        <f t="shared" si="3"/>
        <v>0.8726203219</v>
      </c>
      <c r="E363" s="38">
        <f>'演算'!U363</f>
        <v>225.7001879</v>
      </c>
      <c r="F363" s="38">
        <f t="shared" si="4"/>
        <v>-225.7001879</v>
      </c>
      <c r="G363" s="38">
        <f t="shared" si="5"/>
        <v>434.1195009</v>
      </c>
      <c r="H363" s="38">
        <f t="shared" si="6"/>
        <v>-392.7596429</v>
      </c>
      <c r="I363" s="39">
        <f t="shared" si="7"/>
        <v>585.42282</v>
      </c>
      <c r="J363" s="38">
        <f t="shared" si="8"/>
        <v>42.13649573</v>
      </c>
      <c r="K363" s="38" t="str">
        <f t="shared" si="9"/>
        <v/>
      </c>
      <c r="L363" s="38">
        <f t="shared" si="10"/>
        <v>2</v>
      </c>
      <c r="M363" s="38">
        <f t="shared" si="11"/>
        <v>402.1364957</v>
      </c>
      <c r="N363" s="39">
        <f t="shared" si="12"/>
        <v>352.1364957</v>
      </c>
      <c r="O363" s="39">
        <f t="shared" si="13"/>
        <v>579.9179782</v>
      </c>
      <c r="P363" s="39">
        <f t="shared" si="14"/>
        <v>80.09379922</v>
      </c>
      <c r="Q363" s="38">
        <f t="shared" si="15"/>
        <v>599.9086171</v>
      </c>
      <c r="R363" s="38">
        <f t="shared" si="16"/>
        <v>-10.47144386</v>
      </c>
      <c r="S363" s="40">
        <v>359.0</v>
      </c>
      <c r="T363" s="37">
        <f t="shared" si="24"/>
        <v>46.7001879</v>
      </c>
      <c r="U363" s="37">
        <f t="shared" si="18"/>
        <v>225.7001879</v>
      </c>
      <c r="V363" s="37">
        <f t="shared" si="23"/>
        <v>2.465638363</v>
      </c>
      <c r="W363" s="37">
        <f>'入力・結果'!$I$7/V363</f>
        <v>130797.7702</v>
      </c>
      <c r="X363" s="39">
        <f>(W363/I363*10)*'入力・結果'!$I$8</f>
        <v>1340.546686</v>
      </c>
      <c r="Y363" s="38">
        <f>DEGREES(ACOS(('入力・結果'!$G$3-('入力・結果'!$G$4*COS(RADIANS(S363))))/((('入力・結果'!$G$3^2)+('入力・結果'!$G$4^2)-(2*'入力・結果'!$G$3*'入力・結果'!$G$4*COS(RADIANS(S363))))^(1/2))))</f>
        <v>177.500761</v>
      </c>
      <c r="Z363" s="38">
        <f>DEGREES(ACOS((('入力・結果'!$G$3^2)+('入力・結果'!$G$4^2)-('入力・結果'!$G$5^2)+('入力・結果'!$G$6^2)-(2*'入力・結果'!$G$3*'入力・結果'!$G$4*COS(RADIANS(S363))))/(2*'入力・結果'!$G$6*(('入力・結果'!$G$3^2)+('入力・結果'!$G$4^2)-(2*'入力・結果'!$G$3*'入力・結果'!$G$4*(COS(RADIANS(S363)))))^(1/2))))</f>
        <v>106.572302</v>
      </c>
      <c r="AA363" s="38">
        <f>DEGREES(ACOS(('入力・結果'!$G$4-('入力・結果'!$G$3*COS(RADIANS(S363))))/((('入力・結果'!$G$3^2)+('入力・結果'!$G$4^2)-(2*'入力・結果'!$G$3*'入力・結果'!$G$4*COS(RADIANS(S363))))^(1/2))))</f>
        <v>1.49923899</v>
      </c>
      <c r="AB363" s="38">
        <f>DEGREES(ACOS((('入力・結果'!$G$3^2)+('入力・結果'!$G$4^2)+('入力・結果'!$G$5^2)-('入力・結果'!$G$6^2)-(2*'入力・結果'!$G$3*'入力・結果'!$G$4*COS(RADIANS(S363))))/(2*'入力・結果'!$G$5*(('入力・結果'!$G$3^2)+('入力・結果'!$G$4^2)-(2*'入力・結果'!$G$3*'入力・結果'!$G$4*(COS(RADIANS(S363)))))^(1/2))))</f>
        <v>48.19942689</v>
      </c>
      <c r="AC363" s="37">
        <f t="shared" si="19"/>
        <v>-1959.453314</v>
      </c>
      <c r="AD363" s="37">
        <f t="shared" si="20"/>
        <v>0</v>
      </c>
      <c r="AE363" s="37" t="str">
        <f t="shared" si="21"/>
        <v/>
      </c>
      <c r="AF363" s="37" t="str">
        <f t="shared" si="22"/>
        <v/>
      </c>
      <c r="AG363" s="35"/>
      <c r="AH363" s="35"/>
      <c r="AI363" s="35"/>
      <c r="AJ363" s="35">
        <v>360.0</v>
      </c>
      <c r="AK363" s="35">
        <f t="shared" si="1"/>
        <v>0.4016875364</v>
      </c>
    </row>
    <row r="364" ht="12.75" customHeight="1">
      <c r="A364" s="35"/>
      <c r="B364" s="37">
        <v>360.0</v>
      </c>
      <c r="C364" s="38">
        <f t="shared" si="2"/>
        <v>50</v>
      </c>
      <c r="D364" s="38">
        <f t="shared" si="3"/>
        <v>0</v>
      </c>
      <c r="E364" s="38">
        <f>'演算'!U364</f>
        <v>228.1896851</v>
      </c>
      <c r="F364" s="38">
        <f t="shared" si="4"/>
        <v>-228.1896851</v>
      </c>
      <c r="G364" s="38">
        <f t="shared" si="5"/>
        <v>416.6666667</v>
      </c>
      <c r="H364" s="38">
        <f t="shared" si="6"/>
        <v>-409.9457959</v>
      </c>
      <c r="I364" s="39">
        <f t="shared" si="7"/>
        <v>584.5225972</v>
      </c>
      <c r="J364" s="38">
        <f t="shared" si="8"/>
        <v>44.53416013</v>
      </c>
      <c r="K364" s="38" t="str">
        <f t="shared" si="9"/>
        <v/>
      </c>
      <c r="L364" s="38">
        <f t="shared" si="10"/>
        <v>2</v>
      </c>
      <c r="M364" s="38">
        <f t="shared" si="11"/>
        <v>404.5341601</v>
      </c>
      <c r="N364" s="39">
        <f t="shared" si="12"/>
        <v>354.5341601</v>
      </c>
      <c r="O364" s="39">
        <f t="shared" si="13"/>
        <v>581.8648696</v>
      </c>
      <c r="P364" s="39">
        <f t="shared" si="14"/>
        <v>55.6771064</v>
      </c>
      <c r="Q364" s="38">
        <f t="shared" si="15"/>
        <v>600</v>
      </c>
      <c r="R364" s="38">
        <f t="shared" si="16"/>
        <v>0</v>
      </c>
      <c r="S364" s="40">
        <v>360.0</v>
      </c>
      <c r="T364" s="37">
        <f t="shared" si="24"/>
        <v>48.1896851</v>
      </c>
      <c r="U364" s="37">
        <f t="shared" si="18"/>
        <v>228.1896851</v>
      </c>
      <c r="V364" s="37">
        <f t="shared" si="23"/>
        <v>2.489497207</v>
      </c>
      <c r="W364" s="37">
        <f>'入力・結果'!$I$7/V364</f>
        <v>129544.2305</v>
      </c>
      <c r="X364" s="39">
        <f>(W364/I364*10)*'入力・結果'!$I$8</f>
        <v>1329.743942</v>
      </c>
      <c r="Y364" s="38">
        <f>DEGREES(ACOS(('入力・結果'!$G$3-('入力・結果'!$G$4*COS(RADIANS(S364))))/((('入力・結果'!$G$3^2)+('入力・結果'!$G$4^2)-(2*'入力・結果'!$G$3*'入力・結果'!$G$4*COS(RADIANS(S364))))^(1/2))))</f>
        <v>180</v>
      </c>
      <c r="Z364" s="38">
        <f>DEGREES(ACOS((('入力・結果'!$G$3^2)+('入力・結果'!$G$4^2)-('入力・結果'!$G$5^2)+('入力・結果'!$G$6^2)-(2*'入力・結果'!$G$3*'入力・結果'!$G$4*COS(RADIANS(S364))))/(2*'入力・結果'!$G$6*(('入力・結果'!$G$3^2)+('入力・結果'!$G$4^2)-(2*'入力・結果'!$G$3*'入力・結果'!$G$4*(COS(RADIANS(S364)))))^(1/2))))</f>
        <v>106.6015496</v>
      </c>
      <c r="AA364" s="38">
        <f>DEGREES(ACOS(('入力・結果'!$G$4-('入力・結果'!$G$3*COS(RADIANS(S364))))/((('入力・結果'!$G$3^2)+('入力・結果'!$G$4^2)-(2*'入力・結果'!$G$3*'入力・結果'!$G$4*COS(RADIANS(S364))))^(1/2))))</f>
        <v>0</v>
      </c>
      <c r="AB364" s="38">
        <f>DEGREES(ACOS((('入力・結果'!$G$3^2)+('入力・結果'!$G$4^2)+('入力・結果'!$G$5^2)-('入力・結果'!$G$6^2)-(2*'入力・結果'!$G$3*'入力・結果'!$G$4*COS(RADIANS(S364))))/(2*'入力・結果'!$G$5*(('入力・結果'!$G$3^2)+('入力・結果'!$G$4^2)-(2*'入力・結果'!$G$3*'入力・結果'!$G$4*(COS(RADIANS(S364)))))^(1/2))))</f>
        <v>48.1896851</v>
      </c>
      <c r="AC364" s="37">
        <f t="shared" si="19"/>
        <v>-1970.256058</v>
      </c>
      <c r="AD364" s="37">
        <f t="shared" si="20"/>
        <v>0</v>
      </c>
      <c r="AE364" s="37" t="str">
        <f t="shared" si="21"/>
        <v/>
      </c>
      <c r="AF364" s="37" t="str">
        <f t="shared" si="22"/>
        <v/>
      </c>
      <c r="AG364" s="35"/>
      <c r="AH364" s="35"/>
      <c r="AI364" s="35"/>
      <c r="AJ364" s="35"/>
      <c r="AK364" s="35"/>
    </row>
    <row r="365" ht="12.75" customHeight="1">
      <c r="A365" s="35"/>
      <c r="B365" s="35"/>
      <c r="C365" s="35"/>
      <c r="D365" s="35"/>
      <c r="E365" s="35"/>
      <c r="F365" s="35"/>
      <c r="G365" s="35"/>
      <c r="H365" s="35"/>
      <c r="I365" s="35"/>
      <c r="J365" s="35"/>
      <c r="K365" s="35"/>
      <c r="L365" s="35"/>
      <c r="M365" s="35"/>
      <c r="N365" s="35"/>
      <c r="O365" s="35"/>
      <c r="P365" s="35"/>
      <c r="Q365" s="35"/>
      <c r="R365" s="35"/>
      <c r="S365" s="35"/>
      <c r="T365" s="35"/>
      <c r="U365" s="35"/>
      <c r="V365" s="35"/>
      <c r="W365" s="35"/>
      <c r="X365" s="35"/>
      <c r="Y365" s="38">
        <f>DEGREES(ACOS(('入力・結果'!$G$3-('入力・結果'!$G$4*COS(RADIANS(S365))))/((('入力・結果'!$G$3^2)+('入力・結果'!$G$4^2)-(2*'入力・結果'!$G$3*'入力・結果'!$G$4*COS(RADIANS(S365))))^(1/2))))</f>
        <v>180</v>
      </c>
      <c r="Z365" s="38">
        <f>DEGREES(ACOS((('入力・結果'!$G$3^2)+('入力・結果'!$G$4^2)-('入力・結果'!$G$5^2)+('入力・結果'!$G$6^2)-(2*'入力・結果'!$G$3*'入力・結果'!$G$4*COS(RADIANS(S365))))/(2*'入力・結果'!$G$6*(('入力・結果'!$G$3^2)+('入力・結果'!$G$4^2)-(2*'入力・結果'!$G$3*'入力・結果'!$G$4*(COS(RADIANS(S365)))))^(1/2))))</f>
        <v>106.6015496</v>
      </c>
      <c r="AA365" s="38">
        <f>DEGREES(ACOS(('入力・結果'!$G$4-('入力・結果'!$G$3*COS(RADIANS(S365))))/((('入力・結果'!$G$3^2)+('入力・結果'!$G$4^2)-(2*'入力・結果'!$G$3*'入力・結果'!$G$4*COS(RADIANS(S365))))^(1/2))))</f>
        <v>0</v>
      </c>
      <c r="AB365" s="38">
        <f>DEGREES(ACOS((('入力・結果'!$G$3^2)+('入力・結果'!$G$4^2)+('入力・結果'!$G$5^2)-('入力・結果'!$G$6^2)-(2*'入力・結果'!$G$3*'入力・結果'!$G$4*COS(RADIANS(S365))))/(2*'入力・結果'!$G$5*(('入力・結果'!$G$3^2)+('入力・結果'!$G$4^2)-(2*'入力・結果'!$G$3*'入力・結果'!$G$4*(COS(RADIANS(S365)))))^(1/2))))</f>
        <v>48.1896851</v>
      </c>
      <c r="AC365" s="37">
        <f t="shared" si="19"/>
        <v>-3300</v>
      </c>
      <c r="AD365" s="37">
        <f t="shared" si="20"/>
        <v>0</v>
      </c>
      <c r="AE365" s="37" t="str">
        <f t="shared" si="21"/>
        <v/>
      </c>
      <c r="AF365" s="37" t="str">
        <f>IF(AND('入力・結果'!V366=0,AD365&gt;0),"a","")</f>
        <v/>
      </c>
      <c r="AG365" s="35"/>
      <c r="AH365" s="35"/>
      <c r="AI365" s="35"/>
      <c r="AJ365" s="35"/>
      <c r="AK365" s="35"/>
    </row>
    <row r="366" ht="12.75" customHeight="1">
      <c r="A366" s="35"/>
      <c r="B366" s="35"/>
      <c r="C366" s="35"/>
      <c r="D366" s="35"/>
      <c r="E366" s="35"/>
      <c r="F366" s="35"/>
      <c r="G366" s="35"/>
      <c r="H366" s="35"/>
      <c r="I366" s="35"/>
      <c r="J366" s="35"/>
      <c r="K366" s="35"/>
      <c r="L366" s="35"/>
      <c r="M366" s="35"/>
      <c r="N366" s="35"/>
      <c r="O366" s="35"/>
      <c r="P366" s="35"/>
      <c r="Q366" s="35"/>
      <c r="R366" s="35"/>
      <c r="S366" s="35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D366" s="35"/>
      <c r="AE366" s="35"/>
      <c r="AF366" s="35"/>
      <c r="AG366" s="35"/>
      <c r="AH366" s="35"/>
      <c r="AI366" s="35"/>
      <c r="AJ366" s="35"/>
      <c r="AK366" s="35"/>
    </row>
    <row r="367" ht="12.75" customHeight="1">
      <c r="A367" s="35"/>
      <c r="B367" s="35"/>
      <c r="C367" s="35"/>
      <c r="D367" s="35"/>
      <c r="E367" s="35"/>
      <c r="F367" s="35"/>
      <c r="G367" s="35"/>
      <c r="H367" s="35"/>
      <c r="I367" s="35"/>
      <c r="J367" s="35"/>
      <c r="K367" s="35"/>
      <c r="L367" s="35"/>
      <c r="M367" s="35"/>
      <c r="N367" s="35"/>
      <c r="O367" s="35"/>
      <c r="P367" s="35"/>
      <c r="Q367" s="35"/>
      <c r="R367" s="35"/>
      <c r="S367" s="35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D367" s="35"/>
      <c r="AE367" s="35"/>
      <c r="AF367" s="35"/>
      <c r="AG367" s="35"/>
      <c r="AH367" s="35"/>
      <c r="AI367" s="35"/>
      <c r="AJ367" s="35"/>
      <c r="AK367" s="35"/>
    </row>
    <row r="368" ht="12.75" customHeight="1">
      <c r="A368" s="35"/>
      <c r="B368" s="35"/>
      <c r="C368" s="35"/>
      <c r="D368" s="35"/>
      <c r="E368" s="35"/>
      <c r="F368" s="35"/>
      <c r="G368" s="35"/>
      <c r="H368" s="35"/>
      <c r="I368" s="35"/>
      <c r="J368" s="35"/>
      <c r="K368" s="35"/>
      <c r="L368" s="35"/>
      <c r="M368" s="35"/>
      <c r="N368" s="35"/>
      <c r="O368" s="35"/>
      <c r="P368" s="35"/>
      <c r="Q368" s="35"/>
      <c r="R368" s="35"/>
      <c r="S368" s="35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D368" s="35"/>
      <c r="AE368" s="35"/>
      <c r="AF368" s="35"/>
      <c r="AG368" s="35"/>
      <c r="AH368" s="35"/>
      <c r="AI368" s="35"/>
      <c r="AJ368" s="35"/>
      <c r="AK368" s="35"/>
    </row>
    <row r="369" ht="12.75" customHeight="1">
      <c r="A369" s="35"/>
      <c r="B369" s="35"/>
      <c r="C369" s="35"/>
      <c r="D369" s="35"/>
      <c r="E369" s="35"/>
      <c r="F369" s="35"/>
      <c r="G369" s="35"/>
      <c r="H369" s="35"/>
      <c r="I369" s="35"/>
      <c r="J369" s="35"/>
      <c r="K369" s="35"/>
      <c r="L369" s="35"/>
      <c r="M369" s="35"/>
      <c r="N369" s="35"/>
      <c r="O369" s="35"/>
      <c r="P369" s="35"/>
      <c r="Q369" s="35"/>
      <c r="R369" s="35"/>
      <c r="S369" s="35"/>
      <c r="T369" s="35"/>
      <c r="U369" s="35"/>
      <c r="V369" s="35"/>
      <c r="W369" s="35"/>
      <c r="X369" s="35"/>
      <c r="Y369" s="35"/>
      <c r="Z369" s="35"/>
      <c r="AA369" s="35"/>
      <c r="AB369" s="35"/>
      <c r="AC369" s="35"/>
      <c r="AD369" s="35"/>
      <c r="AE369" s="35"/>
      <c r="AF369" s="35"/>
      <c r="AG369" s="35"/>
      <c r="AH369" s="35"/>
      <c r="AI369" s="35"/>
      <c r="AJ369" s="35"/>
      <c r="AK369" s="35"/>
    </row>
    <row r="370" ht="12.75" customHeight="1">
      <c r="A370" s="35"/>
      <c r="B370" s="35"/>
      <c r="C370" s="35"/>
      <c r="D370" s="35"/>
      <c r="E370" s="35"/>
      <c r="F370" s="35"/>
      <c r="G370" s="35"/>
      <c r="H370" s="35"/>
      <c r="I370" s="35"/>
      <c r="J370" s="35"/>
      <c r="K370" s="35"/>
      <c r="L370" s="35"/>
      <c r="M370" s="35"/>
      <c r="N370" s="35"/>
      <c r="O370" s="35"/>
      <c r="P370" s="35"/>
      <c r="Q370" s="35"/>
      <c r="R370" s="35"/>
      <c r="S370" s="35"/>
      <c r="T370" s="35"/>
      <c r="U370" s="35"/>
      <c r="V370" s="35"/>
      <c r="W370" s="35"/>
      <c r="X370" s="35"/>
      <c r="Y370" s="35"/>
      <c r="Z370" s="35"/>
      <c r="AA370" s="35"/>
      <c r="AB370" s="35"/>
      <c r="AC370" s="35"/>
      <c r="AD370" s="35"/>
      <c r="AE370" s="35"/>
      <c r="AF370" s="35"/>
      <c r="AG370" s="35"/>
      <c r="AH370" s="35"/>
      <c r="AI370" s="35"/>
      <c r="AJ370" s="35"/>
      <c r="AK370" s="35"/>
    </row>
    <row r="371" ht="12.75" customHeight="1">
      <c r="A371" s="35"/>
      <c r="B371" s="35"/>
      <c r="C371" s="35"/>
      <c r="D371" s="35"/>
      <c r="E371" s="35"/>
      <c r="F371" s="35"/>
      <c r="G371" s="35"/>
      <c r="H371" s="35"/>
      <c r="I371" s="35"/>
      <c r="J371" s="35"/>
      <c r="K371" s="35"/>
      <c r="L371" s="35"/>
      <c r="M371" s="35"/>
      <c r="N371" s="35"/>
      <c r="O371" s="35"/>
      <c r="P371" s="35"/>
      <c r="Q371" s="35"/>
      <c r="R371" s="35"/>
      <c r="S371" s="35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D371" s="35"/>
      <c r="AE371" s="35"/>
      <c r="AF371" s="35"/>
      <c r="AG371" s="35"/>
      <c r="AH371" s="35"/>
      <c r="AI371" s="35"/>
      <c r="AJ371" s="35"/>
      <c r="AK371" s="35"/>
    </row>
    <row r="372" ht="12.75" customHeight="1">
      <c r="A372" s="35"/>
      <c r="B372" s="35"/>
      <c r="C372" s="35"/>
      <c r="D372" s="35"/>
      <c r="E372" s="35"/>
      <c r="F372" s="35"/>
      <c r="G372" s="35"/>
      <c r="H372" s="35"/>
      <c r="I372" s="35"/>
      <c r="J372" s="35"/>
      <c r="K372" s="35"/>
      <c r="L372" s="35"/>
      <c r="M372" s="35"/>
      <c r="N372" s="35"/>
      <c r="O372" s="35"/>
      <c r="P372" s="35"/>
      <c r="Q372" s="35"/>
      <c r="R372" s="35"/>
      <c r="S372" s="35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D372" s="35"/>
      <c r="AE372" s="35"/>
      <c r="AF372" s="35"/>
      <c r="AG372" s="35"/>
      <c r="AH372" s="35"/>
      <c r="AI372" s="35"/>
      <c r="AJ372" s="35"/>
      <c r="AK372" s="35"/>
    </row>
    <row r="373" ht="12.75" customHeight="1">
      <c r="A373" s="35"/>
      <c r="B373" s="35"/>
      <c r="C373" s="35"/>
      <c r="D373" s="35"/>
      <c r="E373" s="35"/>
      <c r="F373" s="35"/>
      <c r="G373" s="35"/>
      <c r="H373" s="35"/>
      <c r="I373" s="35"/>
      <c r="J373" s="35"/>
      <c r="K373" s="35"/>
      <c r="L373" s="35"/>
      <c r="M373" s="35"/>
      <c r="N373" s="35"/>
      <c r="O373" s="35"/>
      <c r="P373" s="35"/>
      <c r="Q373" s="35"/>
      <c r="R373" s="35"/>
      <c r="S373" s="35"/>
      <c r="T373" s="35"/>
      <c r="U373" s="35"/>
      <c r="V373" s="35"/>
      <c r="W373" s="35"/>
      <c r="X373" s="35"/>
      <c r="Y373" s="35"/>
      <c r="Z373" s="35"/>
      <c r="AA373" s="35"/>
      <c r="AB373" s="35"/>
      <c r="AC373" s="35"/>
      <c r="AD373" s="35"/>
      <c r="AE373" s="35"/>
      <c r="AF373" s="35"/>
      <c r="AG373" s="35"/>
      <c r="AH373" s="35"/>
      <c r="AI373" s="35"/>
      <c r="AJ373" s="35"/>
      <c r="AK373" s="35"/>
    </row>
    <row r="374" ht="12.75" customHeight="1">
      <c r="A374" s="35"/>
      <c r="B374" s="35"/>
      <c r="C374" s="35"/>
      <c r="D374" s="35"/>
      <c r="E374" s="35"/>
      <c r="F374" s="35"/>
      <c r="G374" s="35"/>
      <c r="H374" s="35"/>
      <c r="I374" s="35"/>
      <c r="J374" s="35"/>
      <c r="K374" s="35"/>
      <c r="L374" s="35"/>
      <c r="M374" s="35"/>
      <c r="N374" s="35"/>
      <c r="O374" s="35"/>
      <c r="P374" s="35"/>
      <c r="Q374" s="35"/>
      <c r="R374" s="35"/>
      <c r="S374" s="35"/>
      <c r="T374" s="35"/>
      <c r="U374" s="35"/>
      <c r="V374" s="35"/>
      <c r="W374" s="35"/>
      <c r="X374" s="35"/>
      <c r="Y374" s="35"/>
      <c r="Z374" s="35"/>
      <c r="AA374" s="35"/>
      <c r="AB374" s="35"/>
      <c r="AC374" s="35"/>
      <c r="AD374" s="35"/>
      <c r="AE374" s="35"/>
      <c r="AF374" s="35"/>
      <c r="AG374" s="35"/>
      <c r="AH374" s="35"/>
      <c r="AI374" s="35"/>
      <c r="AJ374" s="35"/>
      <c r="AK374" s="35"/>
    </row>
    <row r="375" ht="12.75" customHeight="1">
      <c r="A375" s="35"/>
      <c r="B375" s="35"/>
      <c r="C375" s="35"/>
      <c r="D375" s="35"/>
      <c r="E375" s="35"/>
      <c r="F375" s="35"/>
      <c r="G375" s="35"/>
      <c r="H375" s="35"/>
      <c r="I375" s="35"/>
      <c r="J375" s="35"/>
      <c r="K375" s="35"/>
      <c r="L375" s="35"/>
      <c r="M375" s="35"/>
      <c r="N375" s="35"/>
      <c r="O375" s="35"/>
      <c r="P375" s="35"/>
      <c r="Q375" s="35"/>
      <c r="R375" s="35"/>
      <c r="S375" s="35"/>
      <c r="T375" s="35"/>
      <c r="U375" s="35"/>
      <c r="V375" s="35"/>
      <c r="W375" s="35"/>
      <c r="X375" s="35"/>
      <c r="Y375" s="35"/>
      <c r="Z375" s="35"/>
      <c r="AA375" s="35"/>
      <c r="AB375" s="35"/>
      <c r="AC375" s="35"/>
      <c r="AD375" s="35"/>
      <c r="AE375" s="35"/>
      <c r="AF375" s="35"/>
      <c r="AG375" s="35"/>
      <c r="AH375" s="35"/>
      <c r="AI375" s="35"/>
      <c r="AJ375" s="35"/>
      <c r="AK375" s="35"/>
    </row>
    <row r="376" ht="12.75" customHeight="1">
      <c r="A376" s="35"/>
      <c r="B376" s="35"/>
      <c r="C376" s="35"/>
      <c r="D376" s="35"/>
      <c r="E376" s="35"/>
      <c r="F376" s="35"/>
      <c r="G376" s="35"/>
      <c r="H376" s="35"/>
      <c r="I376" s="35"/>
      <c r="J376" s="35"/>
      <c r="K376" s="35"/>
      <c r="L376" s="35"/>
      <c r="M376" s="35"/>
      <c r="N376" s="35"/>
      <c r="O376" s="35"/>
      <c r="P376" s="35"/>
      <c r="Q376" s="35"/>
      <c r="R376" s="35"/>
      <c r="S376" s="35"/>
      <c r="T376" s="35"/>
      <c r="U376" s="35"/>
      <c r="V376" s="35"/>
      <c r="W376" s="35"/>
      <c r="X376" s="35"/>
      <c r="Y376" s="35"/>
      <c r="Z376" s="35"/>
      <c r="AA376" s="35"/>
      <c r="AB376" s="35"/>
      <c r="AC376" s="35"/>
      <c r="AD376" s="35"/>
      <c r="AE376" s="35"/>
      <c r="AF376" s="35"/>
      <c r="AG376" s="35"/>
      <c r="AH376" s="35"/>
      <c r="AI376" s="35"/>
      <c r="AJ376" s="35"/>
      <c r="AK376" s="35"/>
    </row>
    <row r="377" ht="12.75" customHeight="1">
      <c r="A377" s="35"/>
      <c r="B377" s="35"/>
      <c r="C377" s="35"/>
      <c r="D377" s="35"/>
      <c r="E377" s="35"/>
      <c r="F377" s="35"/>
      <c r="G377" s="35"/>
      <c r="H377" s="35"/>
      <c r="I377" s="35"/>
      <c r="J377" s="35"/>
      <c r="K377" s="35"/>
      <c r="L377" s="35"/>
      <c r="M377" s="35"/>
      <c r="N377" s="35"/>
      <c r="O377" s="35"/>
      <c r="P377" s="35"/>
      <c r="Q377" s="35"/>
      <c r="R377" s="35"/>
      <c r="S377" s="35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D377" s="35"/>
      <c r="AE377" s="35"/>
      <c r="AF377" s="35"/>
      <c r="AG377" s="35"/>
      <c r="AH377" s="35"/>
      <c r="AI377" s="35"/>
      <c r="AJ377" s="35"/>
      <c r="AK377" s="35"/>
    </row>
    <row r="378" ht="12.75" customHeight="1">
      <c r="A378" s="35"/>
      <c r="B378" s="35"/>
      <c r="C378" s="35"/>
      <c r="D378" s="35"/>
      <c r="E378" s="35"/>
      <c r="F378" s="35"/>
      <c r="G378" s="35"/>
      <c r="H378" s="35"/>
      <c r="I378" s="35"/>
      <c r="J378" s="35"/>
      <c r="K378" s="35"/>
      <c r="L378" s="35"/>
      <c r="M378" s="35"/>
      <c r="N378" s="35"/>
      <c r="O378" s="35"/>
      <c r="P378" s="35"/>
      <c r="Q378" s="35"/>
      <c r="R378" s="35"/>
      <c r="S378" s="35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D378" s="35"/>
      <c r="AE378" s="35"/>
      <c r="AF378" s="35"/>
      <c r="AG378" s="35"/>
      <c r="AH378" s="35"/>
      <c r="AI378" s="35"/>
      <c r="AJ378" s="35"/>
      <c r="AK378" s="35"/>
    </row>
    <row r="379" ht="12.75" customHeight="1">
      <c r="A379" s="35"/>
      <c r="B379" s="35"/>
      <c r="C379" s="35"/>
      <c r="D379" s="35"/>
      <c r="E379" s="35"/>
      <c r="F379" s="35"/>
      <c r="G379" s="35"/>
      <c r="H379" s="35"/>
      <c r="I379" s="35"/>
      <c r="J379" s="35"/>
      <c r="K379" s="35"/>
      <c r="L379" s="35"/>
      <c r="M379" s="35"/>
      <c r="N379" s="35"/>
      <c r="O379" s="35"/>
      <c r="P379" s="35"/>
      <c r="Q379" s="35"/>
      <c r="R379" s="35"/>
      <c r="S379" s="35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D379" s="35"/>
      <c r="AE379" s="35"/>
      <c r="AF379" s="35"/>
      <c r="AG379" s="35"/>
      <c r="AH379" s="35"/>
      <c r="AI379" s="35"/>
      <c r="AJ379" s="35"/>
      <c r="AK379" s="35"/>
    </row>
    <row r="380" ht="12.75" customHeight="1">
      <c r="A380" s="35"/>
      <c r="B380" s="35"/>
      <c r="C380" s="35"/>
      <c r="D380" s="35"/>
      <c r="E380" s="35"/>
      <c r="F380" s="35"/>
      <c r="G380" s="35"/>
      <c r="H380" s="35"/>
      <c r="I380" s="35"/>
      <c r="J380" s="35"/>
      <c r="K380" s="35"/>
      <c r="L380" s="35"/>
      <c r="M380" s="35"/>
      <c r="N380" s="35"/>
      <c r="O380" s="35"/>
      <c r="P380" s="35"/>
      <c r="Q380" s="35"/>
      <c r="R380" s="35"/>
      <c r="S380" s="35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D380" s="35"/>
      <c r="AE380" s="35"/>
      <c r="AF380" s="35"/>
      <c r="AG380" s="35"/>
      <c r="AH380" s="35"/>
      <c r="AI380" s="35"/>
      <c r="AJ380" s="35"/>
      <c r="AK380" s="35"/>
    </row>
    <row r="381" ht="12.75" customHeight="1">
      <c r="A381" s="35"/>
      <c r="B381" s="35"/>
      <c r="C381" s="35"/>
      <c r="D381" s="35"/>
      <c r="E381" s="35"/>
      <c r="F381" s="35"/>
      <c r="G381" s="35"/>
      <c r="H381" s="35"/>
      <c r="I381" s="35"/>
      <c r="J381" s="35"/>
      <c r="K381" s="35"/>
      <c r="L381" s="35"/>
      <c r="M381" s="35"/>
      <c r="N381" s="35"/>
      <c r="O381" s="35"/>
      <c r="P381" s="35"/>
      <c r="Q381" s="35"/>
      <c r="R381" s="35"/>
      <c r="S381" s="35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D381" s="35"/>
      <c r="AE381" s="35"/>
      <c r="AF381" s="35"/>
      <c r="AG381" s="35"/>
      <c r="AH381" s="35"/>
      <c r="AI381" s="35"/>
      <c r="AJ381" s="35"/>
      <c r="AK381" s="35"/>
    </row>
    <row r="382" ht="12.75" customHeight="1">
      <c r="A382" s="35"/>
      <c r="B382" s="35"/>
      <c r="C382" s="35"/>
      <c r="D382" s="35"/>
      <c r="E382" s="35"/>
      <c r="F382" s="35"/>
      <c r="G382" s="35"/>
      <c r="H382" s="35"/>
      <c r="I382" s="35"/>
      <c r="J382" s="35"/>
      <c r="K382" s="35"/>
      <c r="L382" s="35"/>
      <c r="M382" s="35"/>
      <c r="N382" s="35"/>
      <c r="O382" s="35"/>
      <c r="P382" s="35"/>
      <c r="Q382" s="35"/>
      <c r="R382" s="35"/>
      <c r="S382" s="35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D382" s="35"/>
      <c r="AE382" s="35"/>
      <c r="AF382" s="35"/>
      <c r="AG382" s="35"/>
      <c r="AH382" s="35"/>
      <c r="AI382" s="35"/>
      <c r="AJ382" s="35"/>
      <c r="AK382" s="35"/>
    </row>
    <row r="383" ht="12.75" customHeight="1">
      <c r="A383" s="35"/>
      <c r="B383" s="35"/>
      <c r="C383" s="35"/>
      <c r="D383" s="35"/>
      <c r="E383" s="35"/>
      <c r="F383" s="35"/>
      <c r="G383" s="35"/>
      <c r="H383" s="35"/>
      <c r="I383" s="35"/>
      <c r="J383" s="35"/>
      <c r="K383" s="35"/>
      <c r="L383" s="35"/>
      <c r="M383" s="35"/>
      <c r="N383" s="35"/>
      <c r="O383" s="35"/>
      <c r="P383" s="35"/>
      <c r="Q383" s="35"/>
      <c r="R383" s="35"/>
      <c r="S383" s="35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D383" s="35"/>
      <c r="AE383" s="35"/>
      <c r="AF383" s="35"/>
      <c r="AG383" s="35"/>
      <c r="AH383" s="35"/>
      <c r="AI383" s="35"/>
      <c r="AJ383" s="35"/>
      <c r="AK383" s="35"/>
    </row>
    <row r="384" ht="12.75" customHeight="1">
      <c r="A384" s="35"/>
      <c r="B384" s="35"/>
      <c r="C384" s="35"/>
      <c r="D384" s="35"/>
      <c r="E384" s="35"/>
      <c r="F384" s="35"/>
      <c r="G384" s="35"/>
      <c r="H384" s="35"/>
      <c r="I384" s="35"/>
      <c r="J384" s="35"/>
      <c r="K384" s="35"/>
      <c r="L384" s="35"/>
      <c r="M384" s="35"/>
      <c r="N384" s="35"/>
      <c r="O384" s="35"/>
      <c r="P384" s="35"/>
      <c r="Q384" s="35"/>
      <c r="R384" s="35"/>
      <c r="S384" s="35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D384" s="35"/>
      <c r="AE384" s="35"/>
      <c r="AF384" s="35"/>
      <c r="AG384" s="35"/>
      <c r="AH384" s="35"/>
      <c r="AI384" s="35"/>
      <c r="AJ384" s="35"/>
      <c r="AK384" s="35"/>
    </row>
    <row r="385" ht="12.75" customHeight="1">
      <c r="A385" s="35"/>
      <c r="B385" s="35"/>
      <c r="C385" s="35"/>
      <c r="D385" s="35"/>
      <c r="E385" s="35"/>
      <c r="F385" s="35"/>
      <c r="G385" s="35"/>
      <c r="H385" s="35"/>
      <c r="I385" s="35"/>
      <c r="J385" s="35"/>
      <c r="K385" s="35"/>
      <c r="L385" s="35"/>
      <c r="M385" s="35"/>
      <c r="N385" s="35"/>
      <c r="O385" s="35"/>
      <c r="P385" s="35"/>
      <c r="Q385" s="35"/>
      <c r="R385" s="35"/>
      <c r="S385" s="35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D385" s="35"/>
      <c r="AE385" s="35"/>
      <c r="AF385" s="35"/>
      <c r="AG385" s="35"/>
      <c r="AH385" s="35"/>
      <c r="AI385" s="35"/>
      <c r="AJ385" s="35"/>
      <c r="AK385" s="35"/>
    </row>
    <row r="386" ht="12.75" customHeight="1">
      <c r="A386" s="35"/>
      <c r="B386" s="35"/>
      <c r="C386" s="35"/>
      <c r="D386" s="35"/>
      <c r="E386" s="35"/>
      <c r="F386" s="35"/>
      <c r="G386" s="35"/>
      <c r="H386" s="35"/>
      <c r="I386" s="35"/>
      <c r="J386" s="35"/>
      <c r="K386" s="35"/>
      <c r="L386" s="35"/>
      <c r="M386" s="35"/>
      <c r="N386" s="35"/>
      <c r="O386" s="35"/>
      <c r="P386" s="35"/>
      <c r="Q386" s="35"/>
      <c r="R386" s="35"/>
      <c r="S386" s="35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D386" s="35"/>
      <c r="AE386" s="35"/>
      <c r="AF386" s="35"/>
      <c r="AG386" s="35"/>
      <c r="AH386" s="35"/>
      <c r="AI386" s="35"/>
      <c r="AJ386" s="35"/>
      <c r="AK386" s="35"/>
    </row>
    <row r="387" ht="12.75" customHeight="1">
      <c r="A387" s="35"/>
      <c r="B387" s="35"/>
      <c r="C387" s="35"/>
      <c r="D387" s="35"/>
      <c r="E387" s="35"/>
      <c r="F387" s="35"/>
      <c r="G387" s="35"/>
      <c r="H387" s="35"/>
      <c r="I387" s="35"/>
      <c r="J387" s="35"/>
      <c r="K387" s="35"/>
      <c r="L387" s="35"/>
      <c r="M387" s="35"/>
      <c r="N387" s="35"/>
      <c r="O387" s="35"/>
      <c r="P387" s="35"/>
      <c r="Q387" s="35"/>
      <c r="R387" s="35"/>
      <c r="S387" s="35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D387" s="35"/>
      <c r="AE387" s="35"/>
      <c r="AF387" s="35"/>
      <c r="AG387" s="35"/>
      <c r="AH387" s="35"/>
      <c r="AI387" s="35"/>
      <c r="AJ387" s="35"/>
      <c r="AK387" s="35"/>
    </row>
    <row r="388" ht="12.75" customHeight="1">
      <c r="A388" s="35"/>
      <c r="B388" s="35"/>
      <c r="C388" s="35"/>
      <c r="D388" s="35"/>
      <c r="E388" s="35"/>
      <c r="F388" s="35"/>
      <c r="G388" s="35"/>
      <c r="H388" s="35"/>
      <c r="I388" s="35"/>
      <c r="J388" s="35"/>
      <c r="K388" s="35"/>
      <c r="L388" s="35"/>
      <c r="M388" s="35"/>
      <c r="N388" s="35"/>
      <c r="O388" s="35"/>
      <c r="P388" s="35"/>
      <c r="Q388" s="35"/>
      <c r="R388" s="35"/>
      <c r="S388" s="35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D388" s="35"/>
      <c r="AE388" s="35"/>
      <c r="AF388" s="35"/>
      <c r="AG388" s="35"/>
      <c r="AH388" s="35"/>
      <c r="AI388" s="35"/>
      <c r="AJ388" s="35"/>
      <c r="AK388" s="35"/>
    </row>
    <row r="389" ht="12.75" customHeight="1">
      <c r="A389" s="35"/>
      <c r="B389" s="35"/>
      <c r="C389" s="35"/>
      <c r="D389" s="35"/>
      <c r="E389" s="35"/>
      <c r="F389" s="35"/>
      <c r="G389" s="35"/>
      <c r="H389" s="35"/>
      <c r="I389" s="35"/>
      <c r="J389" s="35"/>
      <c r="K389" s="35"/>
      <c r="L389" s="35"/>
      <c r="M389" s="35"/>
      <c r="N389" s="35"/>
      <c r="O389" s="35"/>
      <c r="P389" s="35"/>
      <c r="Q389" s="35"/>
      <c r="R389" s="35"/>
      <c r="S389" s="35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D389" s="35"/>
      <c r="AE389" s="35"/>
      <c r="AF389" s="35"/>
      <c r="AG389" s="35"/>
      <c r="AH389" s="35"/>
      <c r="AI389" s="35"/>
      <c r="AJ389" s="35"/>
      <c r="AK389" s="35"/>
    </row>
    <row r="390" ht="12.75" customHeight="1">
      <c r="A390" s="35"/>
      <c r="B390" s="35"/>
      <c r="C390" s="35"/>
      <c r="D390" s="35"/>
      <c r="E390" s="35"/>
      <c r="F390" s="35"/>
      <c r="G390" s="35"/>
      <c r="H390" s="35"/>
      <c r="I390" s="35"/>
      <c r="J390" s="35"/>
      <c r="K390" s="35"/>
      <c r="L390" s="35"/>
      <c r="M390" s="35"/>
      <c r="N390" s="35"/>
      <c r="O390" s="35"/>
      <c r="P390" s="35"/>
      <c r="Q390" s="35"/>
      <c r="R390" s="35"/>
      <c r="S390" s="35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D390" s="35"/>
      <c r="AE390" s="35"/>
      <c r="AF390" s="35"/>
      <c r="AG390" s="35"/>
      <c r="AH390" s="35"/>
      <c r="AI390" s="35"/>
      <c r="AJ390" s="35"/>
      <c r="AK390" s="35"/>
    </row>
    <row r="391" ht="12.75" customHeight="1">
      <c r="A391" s="35"/>
      <c r="B391" s="35"/>
      <c r="C391" s="35"/>
      <c r="D391" s="35"/>
      <c r="E391" s="35"/>
      <c r="F391" s="35"/>
      <c r="G391" s="35"/>
      <c r="H391" s="35"/>
      <c r="I391" s="35"/>
      <c r="J391" s="35"/>
      <c r="K391" s="35"/>
      <c r="L391" s="35"/>
      <c r="M391" s="35"/>
      <c r="N391" s="35"/>
      <c r="O391" s="35"/>
      <c r="P391" s="35"/>
      <c r="Q391" s="35"/>
      <c r="R391" s="35"/>
      <c r="S391" s="35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D391" s="35"/>
      <c r="AE391" s="35"/>
      <c r="AF391" s="35"/>
      <c r="AG391" s="35"/>
      <c r="AH391" s="35"/>
      <c r="AI391" s="35"/>
      <c r="AJ391" s="35"/>
      <c r="AK391" s="35"/>
    </row>
    <row r="392" ht="12.75" customHeight="1">
      <c r="A392" s="35"/>
      <c r="B392" s="35"/>
      <c r="C392" s="35"/>
      <c r="D392" s="35"/>
      <c r="E392" s="35"/>
      <c r="F392" s="35"/>
      <c r="G392" s="35"/>
      <c r="H392" s="35"/>
      <c r="I392" s="35"/>
      <c r="J392" s="35"/>
      <c r="K392" s="35"/>
      <c r="L392" s="35"/>
      <c r="M392" s="35"/>
      <c r="N392" s="35"/>
      <c r="O392" s="35"/>
      <c r="P392" s="35"/>
      <c r="Q392" s="35"/>
      <c r="R392" s="35"/>
      <c r="S392" s="35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D392" s="35"/>
      <c r="AE392" s="35"/>
      <c r="AF392" s="35"/>
      <c r="AG392" s="35"/>
      <c r="AH392" s="35"/>
      <c r="AI392" s="35"/>
      <c r="AJ392" s="35"/>
      <c r="AK392" s="35"/>
    </row>
    <row r="393" ht="12.75" customHeight="1">
      <c r="A393" s="35"/>
      <c r="B393" s="35"/>
      <c r="C393" s="35"/>
      <c r="D393" s="35"/>
      <c r="E393" s="35"/>
      <c r="F393" s="35"/>
      <c r="G393" s="35"/>
      <c r="H393" s="35"/>
      <c r="I393" s="35"/>
      <c r="J393" s="35"/>
      <c r="K393" s="35"/>
      <c r="L393" s="35"/>
      <c r="M393" s="35"/>
      <c r="N393" s="35"/>
      <c r="O393" s="35"/>
      <c r="P393" s="35"/>
      <c r="Q393" s="35"/>
      <c r="R393" s="35"/>
      <c r="S393" s="35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D393" s="35"/>
      <c r="AE393" s="35"/>
      <c r="AF393" s="35"/>
      <c r="AG393" s="35"/>
      <c r="AH393" s="35"/>
      <c r="AI393" s="35"/>
      <c r="AJ393" s="35"/>
      <c r="AK393" s="35"/>
    </row>
    <row r="394" ht="12.75" customHeight="1">
      <c r="A394" s="35"/>
      <c r="B394" s="35"/>
      <c r="C394" s="35"/>
      <c r="D394" s="35"/>
      <c r="E394" s="35"/>
      <c r="F394" s="35"/>
      <c r="G394" s="35"/>
      <c r="H394" s="35"/>
      <c r="I394" s="35"/>
      <c r="J394" s="35"/>
      <c r="K394" s="35"/>
      <c r="L394" s="35"/>
      <c r="M394" s="35"/>
      <c r="N394" s="35"/>
      <c r="O394" s="35"/>
      <c r="P394" s="35"/>
      <c r="Q394" s="35"/>
      <c r="R394" s="35"/>
      <c r="S394" s="35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D394" s="35"/>
      <c r="AE394" s="35"/>
      <c r="AF394" s="35"/>
      <c r="AG394" s="35"/>
      <c r="AH394" s="35"/>
      <c r="AI394" s="35"/>
      <c r="AJ394" s="35"/>
      <c r="AK394" s="35"/>
    </row>
    <row r="395" ht="12.75" customHeight="1">
      <c r="A395" s="35"/>
      <c r="B395" s="35"/>
      <c r="C395" s="35"/>
      <c r="D395" s="35"/>
      <c r="E395" s="35"/>
      <c r="F395" s="35"/>
      <c r="G395" s="35"/>
      <c r="H395" s="35"/>
      <c r="I395" s="35"/>
      <c r="J395" s="35"/>
      <c r="K395" s="35"/>
      <c r="L395" s="35"/>
      <c r="M395" s="35"/>
      <c r="N395" s="35"/>
      <c r="O395" s="35"/>
      <c r="P395" s="35"/>
      <c r="Q395" s="35"/>
      <c r="R395" s="35"/>
      <c r="S395" s="35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D395" s="35"/>
      <c r="AE395" s="35"/>
      <c r="AF395" s="35"/>
      <c r="AG395" s="35"/>
      <c r="AH395" s="35"/>
      <c r="AI395" s="35"/>
      <c r="AJ395" s="35"/>
      <c r="AK395" s="35"/>
    </row>
    <row r="396" ht="12.75" customHeight="1">
      <c r="A396" s="35"/>
      <c r="B396" s="35"/>
      <c r="C396" s="35"/>
      <c r="D396" s="35"/>
      <c r="E396" s="35"/>
      <c r="F396" s="35"/>
      <c r="G396" s="35"/>
      <c r="H396" s="35"/>
      <c r="I396" s="35"/>
      <c r="J396" s="35"/>
      <c r="K396" s="35"/>
      <c r="L396" s="35"/>
      <c r="M396" s="35"/>
      <c r="N396" s="35"/>
      <c r="O396" s="35"/>
      <c r="P396" s="35"/>
      <c r="Q396" s="35"/>
      <c r="R396" s="35"/>
      <c r="S396" s="35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D396" s="35"/>
      <c r="AE396" s="35"/>
      <c r="AF396" s="35"/>
      <c r="AG396" s="35"/>
      <c r="AH396" s="35"/>
      <c r="AI396" s="35"/>
      <c r="AJ396" s="35"/>
      <c r="AK396" s="35"/>
    </row>
    <row r="397" ht="12.75" customHeight="1">
      <c r="A397" s="35"/>
      <c r="B397" s="35"/>
      <c r="C397" s="35"/>
      <c r="D397" s="35"/>
      <c r="E397" s="35"/>
      <c r="F397" s="35"/>
      <c r="G397" s="35"/>
      <c r="H397" s="35"/>
      <c r="I397" s="35"/>
      <c r="J397" s="35"/>
      <c r="K397" s="35"/>
      <c r="L397" s="35"/>
      <c r="M397" s="35"/>
      <c r="N397" s="35"/>
      <c r="O397" s="35"/>
      <c r="P397" s="35"/>
      <c r="Q397" s="35"/>
      <c r="R397" s="35"/>
      <c r="S397" s="35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D397" s="35"/>
      <c r="AE397" s="35"/>
      <c r="AF397" s="35"/>
      <c r="AG397" s="35"/>
      <c r="AH397" s="35"/>
      <c r="AI397" s="35"/>
      <c r="AJ397" s="35"/>
      <c r="AK397" s="35"/>
    </row>
    <row r="398" ht="12.75" customHeight="1">
      <c r="A398" s="35"/>
      <c r="B398" s="35"/>
      <c r="C398" s="35"/>
      <c r="D398" s="35"/>
      <c r="E398" s="35"/>
      <c r="F398" s="35"/>
      <c r="G398" s="35"/>
      <c r="H398" s="35"/>
      <c r="I398" s="35"/>
      <c r="J398" s="35"/>
      <c r="K398" s="35"/>
      <c r="L398" s="35"/>
      <c r="M398" s="35"/>
      <c r="N398" s="35"/>
      <c r="O398" s="35"/>
      <c r="P398" s="35"/>
      <c r="Q398" s="35"/>
      <c r="R398" s="35"/>
      <c r="S398" s="35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D398" s="35"/>
      <c r="AE398" s="35"/>
      <c r="AF398" s="35"/>
      <c r="AG398" s="35"/>
      <c r="AH398" s="35"/>
      <c r="AI398" s="35"/>
      <c r="AJ398" s="35"/>
      <c r="AK398" s="35"/>
    </row>
    <row r="399" ht="12.75" customHeight="1">
      <c r="A399" s="35"/>
      <c r="B399" s="35"/>
      <c r="C399" s="35"/>
      <c r="D399" s="35"/>
      <c r="E399" s="35"/>
      <c r="F399" s="35"/>
      <c r="G399" s="35"/>
      <c r="H399" s="35"/>
      <c r="I399" s="35"/>
      <c r="J399" s="35"/>
      <c r="K399" s="35"/>
      <c r="L399" s="35"/>
      <c r="M399" s="35"/>
      <c r="N399" s="35"/>
      <c r="O399" s="35"/>
      <c r="P399" s="35"/>
      <c r="Q399" s="35"/>
      <c r="R399" s="35"/>
      <c r="S399" s="35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D399" s="35"/>
      <c r="AE399" s="35"/>
      <c r="AF399" s="35"/>
      <c r="AG399" s="35"/>
      <c r="AH399" s="35"/>
      <c r="AI399" s="35"/>
      <c r="AJ399" s="35"/>
      <c r="AK399" s="35"/>
    </row>
    <row r="400" ht="12.75" customHeight="1">
      <c r="A400" s="35"/>
      <c r="B400" s="35"/>
      <c r="C400" s="35"/>
      <c r="D400" s="35"/>
      <c r="E400" s="35"/>
      <c r="F400" s="35"/>
      <c r="G400" s="35"/>
      <c r="H400" s="35"/>
      <c r="I400" s="35"/>
      <c r="J400" s="35"/>
      <c r="K400" s="35"/>
      <c r="L400" s="35"/>
      <c r="M400" s="35"/>
      <c r="N400" s="35"/>
      <c r="O400" s="35"/>
      <c r="P400" s="35"/>
      <c r="Q400" s="35"/>
      <c r="R400" s="35"/>
      <c r="S400" s="35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D400" s="35"/>
      <c r="AE400" s="35"/>
      <c r="AF400" s="35"/>
      <c r="AG400" s="35"/>
      <c r="AH400" s="35"/>
      <c r="AI400" s="35"/>
      <c r="AJ400" s="35"/>
      <c r="AK400" s="35"/>
    </row>
    <row r="401" ht="12.75" customHeight="1">
      <c r="A401" s="35"/>
      <c r="B401" s="35"/>
      <c r="C401" s="35"/>
      <c r="D401" s="35"/>
      <c r="E401" s="35"/>
      <c r="F401" s="35"/>
      <c r="G401" s="35"/>
      <c r="H401" s="35"/>
      <c r="I401" s="35"/>
      <c r="J401" s="35"/>
      <c r="K401" s="35"/>
      <c r="L401" s="35"/>
      <c r="M401" s="35"/>
      <c r="N401" s="35"/>
      <c r="O401" s="35"/>
      <c r="P401" s="35"/>
      <c r="Q401" s="35"/>
      <c r="R401" s="35"/>
      <c r="S401" s="35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D401" s="35"/>
      <c r="AE401" s="35"/>
      <c r="AF401" s="35"/>
      <c r="AG401" s="35"/>
      <c r="AH401" s="35"/>
      <c r="AI401" s="35"/>
      <c r="AJ401" s="35"/>
      <c r="AK401" s="35"/>
    </row>
    <row r="402" ht="12.75" customHeight="1">
      <c r="A402" s="35"/>
      <c r="B402" s="35"/>
      <c r="C402" s="35"/>
      <c r="D402" s="35"/>
      <c r="E402" s="35"/>
      <c r="F402" s="35"/>
      <c r="G402" s="35"/>
      <c r="H402" s="35"/>
      <c r="I402" s="35"/>
      <c r="J402" s="35"/>
      <c r="K402" s="35"/>
      <c r="L402" s="35"/>
      <c r="M402" s="35"/>
      <c r="N402" s="35"/>
      <c r="O402" s="35"/>
      <c r="P402" s="35"/>
      <c r="Q402" s="35"/>
      <c r="R402" s="35"/>
      <c r="S402" s="35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D402" s="35"/>
      <c r="AE402" s="35"/>
      <c r="AF402" s="35"/>
      <c r="AG402" s="35"/>
      <c r="AH402" s="35"/>
      <c r="AI402" s="35"/>
      <c r="AJ402" s="35"/>
      <c r="AK402" s="35"/>
    </row>
    <row r="403" ht="12.75" customHeight="1">
      <c r="A403" s="35"/>
      <c r="B403" s="35"/>
      <c r="C403" s="35"/>
      <c r="D403" s="35"/>
      <c r="E403" s="35"/>
      <c r="F403" s="35"/>
      <c r="G403" s="35"/>
      <c r="H403" s="35"/>
      <c r="I403" s="35"/>
      <c r="J403" s="35"/>
      <c r="K403" s="35"/>
      <c r="L403" s="35"/>
      <c r="M403" s="35"/>
      <c r="N403" s="35"/>
      <c r="O403" s="35"/>
      <c r="P403" s="35"/>
      <c r="Q403" s="35"/>
      <c r="R403" s="35"/>
      <c r="S403" s="35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D403" s="35"/>
      <c r="AE403" s="35"/>
      <c r="AF403" s="35"/>
      <c r="AG403" s="35"/>
      <c r="AH403" s="35"/>
      <c r="AI403" s="35"/>
      <c r="AJ403" s="35"/>
      <c r="AK403" s="35"/>
    </row>
    <row r="404" ht="12.75" customHeight="1">
      <c r="A404" s="35"/>
      <c r="B404" s="35"/>
      <c r="C404" s="35"/>
      <c r="D404" s="35"/>
      <c r="E404" s="35"/>
      <c r="F404" s="35"/>
      <c r="G404" s="35"/>
      <c r="H404" s="35"/>
      <c r="I404" s="35"/>
      <c r="J404" s="35"/>
      <c r="K404" s="35"/>
      <c r="L404" s="35"/>
      <c r="M404" s="35"/>
      <c r="N404" s="35"/>
      <c r="O404" s="35"/>
      <c r="P404" s="35"/>
      <c r="Q404" s="35"/>
      <c r="R404" s="35"/>
      <c r="S404" s="35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D404" s="35"/>
      <c r="AE404" s="35"/>
      <c r="AF404" s="35"/>
      <c r="AG404" s="35"/>
      <c r="AH404" s="35"/>
      <c r="AI404" s="35"/>
      <c r="AJ404" s="35"/>
      <c r="AK404" s="35"/>
    </row>
    <row r="405" ht="12.75" customHeight="1">
      <c r="A405" s="35"/>
      <c r="B405" s="35"/>
      <c r="C405" s="35"/>
      <c r="D405" s="35"/>
      <c r="E405" s="35"/>
      <c r="F405" s="35"/>
      <c r="G405" s="35"/>
      <c r="H405" s="35"/>
      <c r="I405" s="35"/>
      <c r="J405" s="35"/>
      <c r="K405" s="35"/>
      <c r="L405" s="35"/>
      <c r="M405" s="35"/>
      <c r="N405" s="35"/>
      <c r="O405" s="35"/>
      <c r="P405" s="35"/>
      <c r="Q405" s="35"/>
      <c r="R405" s="35"/>
      <c r="S405" s="35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D405" s="35"/>
      <c r="AE405" s="35"/>
      <c r="AF405" s="35"/>
      <c r="AG405" s="35"/>
      <c r="AH405" s="35"/>
      <c r="AI405" s="35"/>
      <c r="AJ405" s="35"/>
      <c r="AK405" s="35"/>
    </row>
    <row r="406" ht="12.75" customHeight="1">
      <c r="A406" s="35"/>
      <c r="B406" s="35"/>
      <c r="C406" s="35"/>
      <c r="D406" s="35"/>
      <c r="E406" s="35"/>
      <c r="F406" s="35"/>
      <c r="G406" s="35"/>
      <c r="H406" s="35"/>
      <c r="I406" s="35"/>
      <c r="J406" s="35"/>
      <c r="K406" s="35"/>
      <c r="L406" s="35"/>
      <c r="M406" s="35"/>
      <c r="N406" s="35"/>
      <c r="O406" s="35"/>
      <c r="P406" s="35"/>
      <c r="Q406" s="35"/>
      <c r="R406" s="35"/>
      <c r="S406" s="35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D406" s="35"/>
      <c r="AE406" s="35"/>
      <c r="AF406" s="35"/>
      <c r="AG406" s="35"/>
      <c r="AH406" s="35"/>
      <c r="AI406" s="35"/>
      <c r="AJ406" s="35"/>
      <c r="AK406" s="35"/>
    </row>
    <row r="407" ht="12.75" customHeight="1">
      <c r="A407" s="35"/>
      <c r="B407" s="35"/>
      <c r="C407" s="35"/>
      <c r="D407" s="35"/>
      <c r="E407" s="35"/>
      <c r="F407" s="35"/>
      <c r="G407" s="35"/>
      <c r="H407" s="35"/>
      <c r="I407" s="35"/>
      <c r="J407" s="35"/>
      <c r="K407" s="35"/>
      <c r="L407" s="35"/>
      <c r="M407" s="35"/>
      <c r="N407" s="35"/>
      <c r="O407" s="35"/>
      <c r="P407" s="35"/>
      <c r="Q407" s="35"/>
      <c r="R407" s="35"/>
      <c r="S407" s="35"/>
      <c r="T407" s="35"/>
      <c r="U407" s="35"/>
      <c r="V407" s="35"/>
      <c r="W407" s="35"/>
      <c r="X407" s="35"/>
      <c r="Y407" s="35"/>
      <c r="Z407" s="35"/>
      <c r="AA407" s="35"/>
      <c r="AB407" s="35"/>
      <c r="AC407" s="35"/>
      <c r="AD407" s="35"/>
      <c r="AE407" s="35"/>
      <c r="AF407" s="35"/>
      <c r="AG407" s="35"/>
      <c r="AH407" s="35"/>
      <c r="AI407" s="35"/>
      <c r="AJ407" s="35"/>
      <c r="AK407" s="35"/>
    </row>
    <row r="408" ht="12.75" customHeight="1">
      <c r="A408" s="35"/>
      <c r="B408" s="35"/>
      <c r="C408" s="35"/>
      <c r="D408" s="35"/>
      <c r="E408" s="35"/>
      <c r="F408" s="35"/>
      <c r="G408" s="35"/>
      <c r="H408" s="35"/>
      <c r="I408" s="35"/>
      <c r="J408" s="35"/>
      <c r="K408" s="35"/>
      <c r="L408" s="35"/>
      <c r="M408" s="35"/>
      <c r="N408" s="35"/>
      <c r="O408" s="35"/>
      <c r="P408" s="35"/>
      <c r="Q408" s="35"/>
      <c r="R408" s="35"/>
      <c r="S408" s="35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D408" s="35"/>
      <c r="AE408" s="35"/>
      <c r="AF408" s="35"/>
      <c r="AG408" s="35"/>
      <c r="AH408" s="35"/>
      <c r="AI408" s="35"/>
      <c r="AJ408" s="35"/>
      <c r="AK408" s="35"/>
    </row>
    <row r="409" ht="12.75" customHeight="1">
      <c r="A409" s="35"/>
      <c r="B409" s="35"/>
      <c r="C409" s="35"/>
      <c r="D409" s="35"/>
      <c r="E409" s="35"/>
      <c r="F409" s="35"/>
      <c r="G409" s="35"/>
      <c r="H409" s="35"/>
      <c r="I409" s="35"/>
      <c r="J409" s="35"/>
      <c r="K409" s="35"/>
      <c r="L409" s="35"/>
      <c r="M409" s="35"/>
      <c r="N409" s="35"/>
      <c r="O409" s="35"/>
      <c r="P409" s="35"/>
      <c r="Q409" s="35"/>
      <c r="R409" s="35"/>
      <c r="S409" s="35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D409" s="35"/>
      <c r="AE409" s="35"/>
      <c r="AF409" s="35"/>
      <c r="AG409" s="35"/>
      <c r="AH409" s="35"/>
      <c r="AI409" s="35"/>
      <c r="AJ409" s="35"/>
      <c r="AK409" s="35"/>
    </row>
    <row r="410" ht="12.75" customHeight="1">
      <c r="A410" s="35"/>
      <c r="B410" s="35"/>
      <c r="C410" s="35"/>
      <c r="D410" s="35"/>
      <c r="E410" s="35"/>
      <c r="F410" s="35"/>
      <c r="G410" s="35"/>
      <c r="H410" s="35"/>
      <c r="I410" s="35"/>
      <c r="J410" s="35"/>
      <c r="K410" s="35"/>
      <c r="L410" s="35"/>
      <c r="M410" s="35"/>
      <c r="N410" s="35"/>
      <c r="O410" s="35"/>
      <c r="P410" s="35"/>
      <c r="Q410" s="35"/>
      <c r="R410" s="35"/>
      <c r="S410" s="35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D410" s="35"/>
      <c r="AE410" s="35"/>
      <c r="AF410" s="35"/>
      <c r="AG410" s="35"/>
      <c r="AH410" s="35"/>
      <c r="AI410" s="35"/>
      <c r="AJ410" s="35"/>
      <c r="AK410" s="35"/>
    </row>
    <row r="411" ht="12.75" customHeight="1">
      <c r="A411" s="35"/>
      <c r="B411" s="35"/>
      <c r="C411" s="35"/>
      <c r="D411" s="35"/>
      <c r="E411" s="35"/>
      <c r="F411" s="35"/>
      <c r="G411" s="35"/>
      <c r="H411" s="35"/>
      <c r="I411" s="35"/>
      <c r="J411" s="35"/>
      <c r="K411" s="35"/>
      <c r="L411" s="35"/>
      <c r="M411" s="35"/>
      <c r="N411" s="35"/>
      <c r="O411" s="35"/>
      <c r="P411" s="35"/>
      <c r="Q411" s="35"/>
      <c r="R411" s="35"/>
      <c r="S411" s="35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D411" s="35"/>
      <c r="AE411" s="35"/>
      <c r="AF411" s="35"/>
      <c r="AG411" s="35"/>
      <c r="AH411" s="35"/>
      <c r="AI411" s="35"/>
      <c r="AJ411" s="35"/>
      <c r="AK411" s="35"/>
    </row>
    <row r="412" ht="12.75" customHeight="1">
      <c r="A412" s="35"/>
      <c r="B412" s="35"/>
      <c r="C412" s="35"/>
      <c r="D412" s="35"/>
      <c r="E412" s="35"/>
      <c r="F412" s="35"/>
      <c r="G412" s="35"/>
      <c r="H412" s="35"/>
      <c r="I412" s="35"/>
      <c r="J412" s="35"/>
      <c r="K412" s="35"/>
      <c r="L412" s="35"/>
      <c r="M412" s="35"/>
      <c r="N412" s="35"/>
      <c r="O412" s="35"/>
      <c r="P412" s="35"/>
      <c r="Q412" s="35"/>
      <c r="R412" s="35"/>
      <c r="S412" s="35"/>
      <c r="T412" s="35"/>
      <c r="U412" s="35"/>
      <c r="V412" s="35"/>
      <c r="W412" s="35"/>
      <c r="X412" s="35"/>
      <c r="Y412" s="35"/>
      <c r="Z412" s="35"/>
      <c r="AA412" s="35"/>
      <c r="AB412" s="35"/>
      <c r="AC412" s="35"/>
      <c r="AD412" s="35"/>
      <c r="AE412" s="35"/>
      <c r="AF412" s="35"/>
      <c r="AG412" s="35"/>
      <c r="AH412" s="35"/>
      <c r="AI412" s="35"/>
      <c r="AJ412" s="35"/>
      <c r="AK412" s="35"/>
    </row>
    <row r="413" ht="12.75" customHeight="1">
      <c r="A413" s="35"/>
      <c r="B413" s="35"/>
      <c r="C413" s="35"/>
      <c r="D413" s="35"/>
      <c r="E413" s="35"/>
      <c r="F413" s="35"/>
      <c r="G413" s="35"/>
      <c r="H413" s="35"/>
      <c r="I413" s="35"/>
      <c r="J413" s="35"/>
      <c r="K413" s="35"/>
      <c r="L413" s="35"/>
      <c r="M413" s="35"/>
      <c r="N413" s="35"/>
      <c r="O413" s="35"/>
      <c r="P413" s="35"/>
      <c r="Q413" s="35"/>
      <c r="R413" s="35"/>
      <c r="S413" s="35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D413" s="35"/>
      <c r="AE413" s="35"/>
      <c r="AF413" s="35"/>
      <c r="AG413" s="35"/>
      <c r="AH413" s="35"/>
      <c r="AI413" s="35"/>
      <c r="AJ413" s="35"/>
      <c r="AK413" s="35"/>
    </row>
    <row r="414" ht="12.75" customHeight="1">
      <c r="A414" s="35"/>
      <c r="B414" s="35"/>
      <c r="C414" s="35"/>
      <c r="D414" s="35"/>
      <c r="E414" s="35"/>
      <c r="F414" s="35"/>
      <c r="G414" s="35"/>
      <c r="H414" s="35"/>
      <c r="I414" s="35"/>
      <c r="J414" s="35"/>
      <c r="K414" s="35"/>
      <c r="L414" s="35"/>
      <c r="M414" s="35"/>
      <c r="N414" s="35"/>
      <c r="O414" s="35"/>
      <c r="P414" s="35"/>
      <c r="Q414" s="35"/>
      <c r="R414" s="35"/>
      <c r="S414" s="35"/>
      <c r="T414" s="35"/>
      <c r="U414" s="35"/>
      <c r="V414" s="35"/>
      <c r="W414" s="35"/>
      <c r="X414" s="35"/>
      <c r="Y414" s="35"/>
      <c r="Z414" s="35"/>
      <c r="AA414" s="35"/>
      <c r="AB414" s="35"/>
      <c r="AC414" s="35"/>
      <c r="AD414" s="35"/>
      <c r="AE414" s="35"/>
      <c r="AF414" s="35"/>
      <c r="AG414" s="35"/>
      <c r="AH414" s="35"/>
      <c r="AI414" s="35"/>
      <c r="AJ414" s="35"/>
      <c r="AK414" s="35"/>
    </row>
    <row r="415" ht="12.75" customHeight="1">
      <c r="A415" s="35"/>
      <c r="B415" s="35"/>
      <c r="C415" s="35"/>
      <c r="D415" s="35"/>
      <c r="E415" s="35"/>
      <c r="F415" s="35"/>
      <c r="G415" s="35"/>
      <c r="H415" s="35"/>
      <c r="I415" s="35"/>
      <c r="J415" s="35"/>
      <c r="K415" s="35"/>
      <c r="L415" s="35"/>
      <c r="M415" s="35"/>
      <c r="N415" s="35"/>
      <c r="O415" s="35"/>
      <c r="P415" s="35"/>
      <c r="Q415" s="35"/>
      <c r="R415" s="35"/>
      <c r="S415" s="35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D415" s="35"/>
      <c r="AE415" s="35"/>
      <c r="AF415" s="35"/>
      <c r="AG415" s="35"/>
      <c r="AH415" s="35"/>
      <c r="AI415" s="35"/>
      <c r="AJ415" s="35"/>
      <c r="AK415" s="35"/>
    </row>
    <row r="416" ht="12.75" customHeight="1">
      <c r="A416" s="35"/>
      <c r="B416" s="35"/>
      <c r="C416" s="35"/>
      <c r="D416" s="35"/>
      <c r="E416" s="35"/>
      <c r="F416" s="35"/>
      <c r="G416" s="35"/>
      <c r="H416" s="35"/>
      <c r="I416" s="35"/>
      <c r="J416" s="35"/>
      <c r="K416" s="35"/>
      <c r="L416" s="35"/>
      <c r="M416" s="35"/>
      <c r="N416" s="35"/>
      <c r="O416" s="35"/>
      <c r="P416" s="35"/>
      <c r="Q416" s="35"/>
      <c r="R416" s="35"/>
      <c r="S416" s="35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D416" s="35"/>
      <c r="AE416" s="35"/>
      <c r="AF416" s="35"/>
      <c r="AG416" s="35"/>
      <c r="AH416" s="35"/>
      <c r="AI416" s="35"/>
      <c r="AJ416" s="35"/>
      <c r="AK416" s="35"/>
    </row>
    <row r="417" ht="12.75" customHeight="1">
      <c r="A417" s="35"/>
      <c r="B417" s="35"/>
      <c r="C417" s="35"/>
      <c r="D417" s="35"/>
      <c r="E417" s="35"/>
      <c r="F417" s="35"/>
      <c r="G417" s="35"/>
      <c r="H417" s="35"/>
      <c r="I417" s="35"/>
      <c r="J417" s="35"/>
      <c r="K417" s="35"/>
      <c r="L417" s="35"/>
      <c r="M417" s="35"/>
      <c r="N417" s="35"/>
      <c r="O417" s="35"/>
      <c r="P417" s="35"/>
      <c r="Q417" s="35"/>
      <c r="R417" s="35"/>
      <c r="S417" s="35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D417" s="35"/>
      <c r="AE417" s="35"/>
      <c r="AF417" s="35"/>
      <c r="AG417" s="35"/>
      <c r="AH417" s="35"/>
      <c r="AI417" s="35"/>
      <c r="AJ417" s="35"/>
      <c r="AK417" s="35"/>
    </row>
    <row r="418" ht="12.75" customHeight="1">
      <c r="A418" s="35"/>
      <c r="B418" s="35"/>
      <c r="C418" s="35"/>
      <c r="D418" s="35"/>
      <c r="E418" s="35"/>
      <c r="F418" s="35"/>
      <c r="G418" s="35"/>
      <c r="H418" s="35"/>
      <c r="I418" s="35"/>
      <c r="J418" s="35"/>
      <c r="K418" s="35"/>
      <c r="L418" s="35"/>
      <c r="M418" s="35"/>
      <c r="N418" s="35"/>
      <c r="O418" s="35"/>
      <c r="P418" s="35"/>
      <c r="Q418" s="35"/>
      <c r="R418" s="35"/>
      <c r="S418" s="35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D418" s="35"/>
      <c r="AE418" s="35"/>
      <c r="AF418" s="35"/>
      <c r="AG418" s="35"/>
      <c r="AH418" s="35"/>
      <c r="AI418" s="35"/>
      <c r="AJ418" s="35"/>
      <c r="AK418" s="35"/>
    </row>
    <row r="419" ht="12.75" customHeight="1">
      <c r="A419" s="35"/>
      <c r="B419" s="35"/>
      <c r="C419" s="35"/>
      <c r="D419" s="35"/>
      <c r="E419" s="35"/>
      <c r="F419" s="35"/>
      <c r="G419" s="35"/>
      <c r="H419" s="35"/>
      <c r="I419" s="35"/>
      <c r="J419" s="35"/>
      <c r="K419" s="35"/>
      <c r="L419" s="35"/>
      <c r="M419" s="35"/>
      <c r="N419" s="35"/>
      <c r="O419" s="35"/>
      <c r="P419" s="35"/>
      <c r="Q419" s="35"/>
      <c r="R419" s="35"/>
      <c r="S419" s="35"/>
      <c r="T419" s="35"/>
      <c r="U419" s="35"/>
      <c r="V419" s="35"/>
      <c r="W419" s="35"/>
      <c r="X419" s="35"/>
      <c r="Y419" s="35"/>
      <c r="Z419" s="35"/>
      <c r="AA419" s="35"/>
      <c r="AB419" s="35"/>
      <c r="AC419" s="35"/>
      <c r="AD419" s="35"/>
      <c r="AE419" s="35"/>
      <c r="AF419" s="35"/>
      <c r="AG419" s="35"/>
      <c r="AH419" s="35"/>
      <c r="AI419" s="35"/>
      <c r="AJ419" s="35"/>
      <c r="AK419" s="35"/>
    </row>
    <row r="420" ht="12.75" customHeight="1">
      <c r="A420" s="35"/>
      <c r="B420" s="35"/>
      <c r="C420" s="35"/>
      <c r="D420" s="35"/>
      <c r="E420" s="35"/>
      <c r="F420" s="35"/>
      <c r="G420" s="35"/>
      <c r="H420" s="35"/>
      <c r="I420" s="35"/>
      <c r="J420" s="35"/>
      <c r="K420" s="35"/>
      <c r="L420" s="35"/>
      <c r="M420" s="35"/>
      <c r="N420" s="35"/>
      <c r="O420" s="35"/>
      <c r="P420" s="35"/>
      <c r="Q420" s="35"/>
      <c r="R420" s="35"/>
      <c r="S420" s="35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D420" s="35"/>
      <c r="AE420" s="35"/>
      <c r="AF420" s="35"/>
      <c r="AG420" s="35"/>
      <c r="AH420" s="35"/>
      <c r="AI420" s="35"/>
      <c r="AJ420" s="35"/>
      <c r="AK420" s="35"/>
    </row>
    <row r="421" ht="12.75" customHeight="1">
      <c r="A421" s="35"/>
      <c r="B421" s="35"/>
      <c r="C421" s="35"/>
      <c r="D421" s="35"/>
      <c r="E421" s="35"/>
      <c r="F421" s="35"/>
      <c r="G421" s="35"/>
      <c r="H421" s="35"/>
      <c r="I421" s="35"/>
      <c r="J421" s="35"/>
      <c r="K421" s="35"/>
      <c r="L421" s="35"/>
      <c r="M421" s="35"/>
      <c r="N421" s="35"/>
      <c r="O421" s="35"/>
      <c r="P421" s="35"/>
      <c r="Q421" s="35"/>
      <c r="R421" s="35"/>
      <c r="S421" s="35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D421" s="35"/>
      <c r="AE421" s="35"/>
      <c r="AF421" s="35"/>
      <c r="AG421" s="35"/>
      <c r="AH421" s="35"/>
      <c r="AI421" s="35"/>
      <c r="AJ421" s="35"/>
      <c r="AK421" s="35"/>
    </row>
    <row r="422" ht="12.75" customHeight="1">
      <c r="A422" s="35"/>
      <c r="B422" s="35"/>
      <c r="C422" s="35"/>
      <c r="D422" s="35"/>
      <c r="E422" s="35"/>
      <c r="F422" s="35"/>
      <c r="G422" s="35"/>
      <c r="H422" s="35"/>
      <c r="I422" s="35"/>
      <c r="J422" s="35"/>
      <c r="K422" s="35"/>
      <c r="L422" s="35"/>
      <c r="M422" s="35"/>
      <c r="N422" s="35"/>
      <c r="O422" s="35"/>
      <c r="P422" s="35"/>
      <c r="Q422" s="35"/>
      <c r="R422" s="35"/>
      <c r="S422" s="35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D422" s="35"/>
      <c r="AE422" s="35"/>
      <c r="AF422" s="35"/>
      <c r="AG422" s="35"/>
      <c r="AH422" s="35"/>
      <c r="AI422" s="35"/>
      <c r="AJ422" s="35"/>
      <c r="AK422" s="35"/>
    </row>
    <row r="423" ht="12.75" customHeight="1">
      <c r="A423" s="35"/>
      <c r="B423" s="35"/>
      <c r="C423" s="35"/>
      <c r="D423" s="35"/>
      <c r="E423" s="35"/>
      <c r="F423" s="35"/>
      <c r="G423" s="35"/>
      <c r="H423" s="35"/>
      <c r="I423" s="35"/>
      <c r="J423" s="35"/>
      <c r="K423" s="35"/>
      <c r="L423" s="35"/>
      <c r="M423" s="35"/>
      <c r="N423" s="35"/>
      <c r="O423" s="35"/>
      <c r="P423" s="35"/>
      <c r="Q423" s="35"/>
      <c r="R423" s="35"/>
      <c r="S423" s="35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D423" s="35"/>
      <c r="AE423" s="35"/>
      <c r="AF423" s="35"/>
      <c r="AG423" s="35"/>
      <c r="AH423" s="35"/>
      <c r="AI423" s="35"/>
      <c r="AJ423" s="35"/>
      <c r="AK423" s="35"/>
    </row>
    <row r="424" ht="12.75" customHeight="1">
      <c r="A424" s="35"/>
      <c r="B424" s="35"/>
      <c r="C424" s="35"/>
      <c r="D424" s="35"/>
      <c r="E424" s="35"/>
      <c r="F424" s="35"/>
      <c r="G424" s="35"/>
      <c r="H424" s="35"/>
      <c r="I424" s="35"/>
      <c r="J424" s="35"/>
      <c r="K424" s="35"/>
      <c r="L424" s="35"/>
      <c r="M424" s="35"/>
      <c r="N424" s="35"/>
      <c r="O424" s="35"/>
      <c r="P424" s="35"/>
      <c r="Q424" s="35"/>
      <c r="R424" s="35"/>
      <c r="S424" s="35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D424" s="35"/>
      <c r="AE424" s="35"/>
      <c r="AF424" s="35"/>
      <c r="AG424" s="35"/>
      <c r="AH424" s="35"/>
      <c r="AI424" s="35"/>
      <c r="AJ424" s="35"/>
      <c r="AK424" s="35"/>
    </row>
    <row r="425" ht="12.75" customHeight="1">
      <c r="A425" s="35"/>
      <c r="B425" s="35"/>
      <c r="C425" s="35"/>
      <c r="D425" s="35"/>
      <c r="E425" s="35"/>
      <c r="F425" s="35"/>
      <c r="G425" s="35"/>
      <c r="H425" s="35"/>
      <c r="I425" s="35"/>
      <c r="J425" s="35"/>
      <c r="K425" s="35"/>
      <c r="L425" s="35"/>
      <c r="M425" s="35"/>
      <c r="N425" s="35"/>
      <c r="O425" s="35"/>
      <c r="P425" s="35"/>
      <c r="Q425" s="35"/>
      <c r="R425" s="35"/>
      <c r="S425" s="35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D425" s="35"/>
      <c r="AE425" s="35"/>
      <c r="AF425" s="35"/>
      <c r="AG425" s="35"/>
      <c r="AH425" s="35"/>
      <c r="AI425" s="35"/>
      <c r="AJ425" s="35"/>
      <c r="AK425" s="35"/>
    </row>
    <row r="426" ht="12.75" customHeight="1">
      <c r="A426" s="35"/>
      <c r="B426" s="35"/>
      <c r="C426" s="35"/>
      <c r="D426" s="35"/>
      <c r="E426" s="35"/>
      <c r="F426" s="35"/>
      <c r="G426" s="35"/>
      <c r="H426" s="35"/>
      <c r="I426" s="35"/>
      <c r="J426" s="35"/>
      <c r="K426" s="35"/>
      <c r="L426" s="35"/>
      <c r="M426" s="35"/>
      <c r="N426" s="35"/>
      <c r="O426" s="35"/>
      <c r="P426" s="35"/>
      <c r="Q426" s="35"/>
      <c r="R426" s="35"/>
      <c r="S426" s="35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D426" s="35"/>
      <c r="AE426" s="35"/>
      <c r="AF426" s="35"/>
      <c r="AG426" s="35"/>
      <c r="AH426" s="35"/>
      <c r="AI426" s="35"/>
      <c r="AJ426" s="35"/>
      <c r="AK426" s="35"/>
    </row>
    <row r="427" ht="12.75" customHeight="1">
      <c r="A427" s="35"/>
      <c r="B427" s="35"/>
      <c r="C427" s="35"/>
      <c r="D427" s="35"/>
      <c r="E427" s="35"/>
      <c r="F427" s="35"/>
      <c r="G427" s="35"/>
      <c r="H427" s="35"/>
      <c r="I427" s="35"/>
      <c r="J427" s="35"/>
      <c r="K427" s="35"/>
      <c r="L427" s="35"/>
      <c r="M427" s="35"/>
      <c r="N427" s="35"/>
      <c r="O427" s="35"/>
      <c r="P427" s="35"/>
      <c r="Q427" s="35"/>
      <c r="R427" s="35"/>
      <c r="S427" s="35"/>
      <c r="T427" s="35"/>
      <c r="U427" s="35"/>
      <c r="V427" s="35"/>
      <c r="W427" s="35"/>
      <c r="X427" s="35"/>
      <c r="Y427" s="35"/>
      <c r="Z427" s="35"/>
      <c r="AA427" s="35"/>
      <c r="AB427" s="35"/>
      <c r="AC427" s="35"/>
      <c r="AD427" s="35"/>
      <c r="AE427" s="35"/>
      <c r="AF427" s="35"/>
      <c r="AG427" s="35"/>
      <c r="AH427" s="35"/>
      <c r="AI427" s="35"/>
      <c r="AJ427" s="35"/>
      <c r="AK427" s="35"/>
    </row>
    <row r="428" ht="12.75" customHeight="1">
      <c r="A428" s="35"/>
      <c r="B428" s="35"/>
      <c r="C428" s="35"/>
      <c r="D428" s="35"/>
      <c r="E428" s="35"/>
      <c r="F428" s="35"/>
      <c r="G428" s="35"/>
      <c r="H428" s="35"/>
      <c r="I428" s="35"/>
      <c r="J428" s="35"/>
      <c r="K428" s="35"/>
      <c r="L428" s="35"/>
      <c r="M428" s="35"/>
      <c r="N428" s="35"/>
      <c r="O428" s="35"/>
      <c r="P428" s="35"/>
      <c r="Q428" s="35"/>
      <c r="R428" s="35"/>
      <c r="S428" s="35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D428" s="35"/>
      <c r="AE428" s="35"/>
      <c r="AF428" s="35"/>
      <c r="AG428" s="35"/>
      <c r="AH428" s="35"/>
      <c r="AI428" s="35"/>
      <c r="AJ428" s="35"/>
      <c r="AK428" s="35"/>
    </row>
    <row r="429" ht="12.75" customHeight="1">
      <c r="A429" s="35"/>
      <c r="B429" s="35"/>
      <c r="C429" s="35"/>
      <c r="D429" s="35"/>
      <c r="E429" s="35"/>
      <c r="F429" s="35"/>
      <c r="G429" s="35"/>
      <c r="H429" s="35"/>
      <c r="I429" s="35"/>
      <c r="J429" s="35"/>
      <c r="K429" s="35"/>
      <c r="L429" s="35"/>
      <c r="M429" s="35"/>
      <c r="N429" s="35"/>
      <c r="O429" s="35"/>
      <c r="P429" s="35"/>
      <c r="Q429" s="35"/>
      <c r="R429" s="35"/>
      <c r="S429" s="35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D429" s="35"/>
      <c r="AE429" s="35"/>
      <c r="AF429" s="35"/>
      <c r="AG429" s="35"/>
      <c r="AH429" s="35"/>
      <c r="AI429" s="35"/>
      <c r="AJ429" s="35"/>
      <c r="AK429" s="35"/>
    </row>
    <row r="430" ht="12.75" customHeight="1">
      <c r="A430" s="35"/>
      <c r="B430" s="35"/>
      <c r="C430" s="35"/>
      <c r="D430" s="35"/>
      <c r="E430" s="35"/>
      <c r="F430" s="35"/>
      <c r="G430" s="35"/>
      <c r="H430" s="35"/>
      <c r="I430" s="35"/>
      <c r="J430" s="35"/>
      <c r="K430" s="35"/>
      <c r="L430" s="35"/>
      <c r="M430" s="35"/>
      <c r="N430" s="35"/>
      <c r="O430" s="35"/>
      <c r="P430" s="35"/>
      <c r="Q430" s="35"/>
      <c r="R430" s="35"/>
      <c r="S430" s="35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D430" s="35"/>
      <c r="AE430" s="35"/>
      <c r="AF430" s="35"/>
      <c r="AG430" s="35"/>
      <c r="AH430" s="35"/>
      <c r="AI430" s="35"/>
      <c r="AJ430" s="35"/>
      <c r="AK430" s="35"/>
    </row>
    <row r="431" ht="12.75" customHeight="1">
      <c r="A431" s="35"/>
      <c r="B431" s="35"/>
      <c r="C431" s="35"/>
      <c r="D431" s="35"/>
      <c r="E431" s="35"/>
      <c r="F431" s="35"/>
      <c r="G431" s="35"/>
      <c r="H431" s="35"/>
      <c r="I431" s="35"/>
      <c r="J431" s="35"/>
      <c r="K431" s="35"/>
      <c r="L431" s="35"/>
      <c r="M431" s="35"/>
      <c r="N431" s="35"/>
      <c r="O431" s="35"/>
      <c r="P431" s="35"/>
      <c r="Q431" s="35"/>
      <c r="R431" s="35"/>
      <c r="S431" s="35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D431" s="35"/>
      <c r="AE431" s="35"/>
      <c r="AF431" s="35"/>
      <c r="AG431" s="35"/>
      <c r="AH431" s="35"/>
      <c r="AI431" s="35"/>
      <c r="AJ431" s="35"/>
      <c r="AK431" s="35"/>
    </row>
    <row r="432" ht="12.75" customHeight="1">
      <c r="A432" s="35"/>
      <c r="B432" s="35"/>
      <c r="C432" s="35"/>
      <c r="D432" s="35"/>
      <c r="E432" s="35"/>
      <c r="F432" s="35"/>
      <c r="G432" s="35"/>
      <c r="H432" s="35"/>
      <c r="I432" s="35"/>
      <c r="J432" s="35"/>
      <c r="K432" s="35"/>
      <c r="L432" s="35"/>
      <c r="M432" s="35"/>
      <c r="N432" s="35"/>
      <c r="O432" s="35"/>
      <c r="P432" s="35"/>
      <c r="Q432" s="35"/>
      <c r="R432" s="35"/>
      <c r="S432" s="35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D432" s="35"/>
      <c r="AE432" s="35"/>
      <c r="AF432" s="35"/>
      <c r="AG432" s="35"/>
      <c r="AH432" s="35"/>
      <c r="AI432" s="35"/>
      <c r="AJ432" s="35"/>
      <c r="AK432" s="35"/>
    </row>
    <row r="433" ht="12.75" customHeight="1">
      <c r="A433" s="35"/>
      <c r="B433" s="35"/>
      <c r="C433" s="35"/>
      <c r="D433" s="35"/>
      <c r="E433" s="35"/>
      <c r="F433" s="35"/>
      <c r="G433" s="35"/>
      <c r="H433" s="35"/>
      <c r="I433" s="35"/>
      <c r="J433" s="35"/>
      <c r="K433" s="35"/>
      <c r="L433" s="35"/>
      <c r="M433" s="35"/>
      <c r="N433" s="35"/>
      <c r="O433" s="35"/>
      <c r="P433" s="35"/>
      <c r="Q433" s="35"/>
      <c r="R433" s="35"/>
      <c r="S433" s="35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D433" s="35"/>
      <c r="AE433" s="35"/>
      <c r="AF433" s="35"/>
      <c r="AG433" s="35"/>
      <c r="AH433" s="35"/>
      <c r="AI433" s="35"/>
      <c r="AJ433" s="35"/>
      <c r="AK433" s="35"/>
    </row>
    <row r="434" ht="12.75" customHeight="1">
      <c r="A434" s="35"/>
      <c r="B434" s="35"/>
      <c r="C434" s="35"/>
      <c r="D434" s="35"/>
      <c r="E434" s="35"/>
      <c r="F434" s="35"/>
      <c r="G434" s="35"/>
      <c r="H434" s="35"/>
      <c r="I434" s="35"/>
      <c r="J434" s="35"/>
      <c r="K434" s="35"/>
      <c r="L434" s="35"/>
      <c r="M434" s="35"/>
      <c r="N434" s="35"/>
      <c r="O434" s="35"/>
      <c r="P434" s="35"/>
      <c r="Q434" s="35"/>
      <c r="R434" s="35"/>
      <c r="S434" s="35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D434" s="35"/>
      <c r="AE434" s="35"/>
      <c r="AF434" s="35"/>
      <c r="AG434" s="35"/>
      <c r="AH434" s="35"/>
      <c r="AI434" s="35"/>
      <c r="AJ434" s="35"/>
      <c r="AK434" s="35"/>
    </row>
    <row r="435" ht="12.75" customHeight="1">
      <c r="A435" s="35"/>
      <c r="B435" s="35"/>
      <c r="C435" s="35"/>
      <c r="D435" s="35"/>
      <c r="E435" s="35"/>
      <c r="F435" s="35"/>
      <c r="G435" s="35"/>
      <c r="H435" s="35"/>
      <c r="I435" s="35"/>
      <c r="J435" s="35"/>
      <c r="K435" s="35"/>
      <c r="L435" s="35"/>
      <c r="M435" s="35"/>
      <c r="N435" s="35"/>
      <c r="O435" s="35"/>
      <c r="P435" s="35"/>
      <c r="Q435" s="35"/>
      <c r="R435" s="35"/>
      <c r="S435" s="35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D435" s="35"/>
      <c r="AE435" s="35"/>
      <c r="AF435" s="35"/>
      <c r="AG435" s="35"/>
      <c r="AH435" s="35"/>
      <c r="AI435" s="35"/>
      <c r="AJ435" s="35"/>
      <c r="AK435" s="35"/>
    </row>
    <row r="436" ht="12.75" customHeight="1">
      <c r="A436" s="35"/>
      <c r="B436" s="35"/>
      <c r="C436" s="35"/>
      <c r="D436" s="35"/>
      <c r="E436" s="35"/>
      <c r="F436" s="35"/>
      <c r="G436" s="35"/>
      <c r="H436" s="35"/>
      <c r="I436" s="35"/>
      <c r="J436" s="35"/>
      <c r="K436" s="35"/>
      <c r="L436" s="35"/>
      <c r="M436" s="35"/>
      <c r="N436" s="35"/>
      <c r="O436" s="35"/>
      <c r="P436" s="35"/>
      <c r="Q436" s="35"/>
      <c r="R436" s="35"/>
      <c r="S436" s="35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D436" s="35"/>
      <c r="AE436" s="35"/>
      <c r="AF436" s="35"/>
      <c r="AG436" s="35"/>
      <c r="AH436" s="35"/>
      <c r="AI436" s="35"/>
      <c r="AJ436" s="35"/>
      <c r="AK436" s="35"/>
    </row>
    <row r="437" ht="12.75" customHeight="1">
      <c r="A437" s="35"/>
      <c r="B437" s="35"/>
      <c r="C437" s="35"/>
      <c r="D437" s="35"/>
      <c r="E437" s="35"/>
      <c r="F437" s="35"/>
      <c r="G437" s="35"/>
      <c r="H437" s="35"/>
      <c r="I437" s="35"/>
      <c r="J437" s="35"/>
      <c r="K437" s="35"/>
      <c r="L437" s="35"/>
      <c r="M437" s="35"/>
      <c r="N437" s="35"/>
      <c r="O437" s="35"/>
      <c r="P437" s="35"/>
      <c r="Q437" s="35"/>
      <c r="R437" s="35"/>
      <c r="S437" s="35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D437" s="35"/>
      <c r="AE437" s="35"/>
      <c r="AF437" s="35"/>
      <c r="AG437" s="35"/>
      <c r="AH437" s="35"/>
      <c r="AI437" s="35"/>
      <c r="AJ437" s="35"/>
      <c r="AK437" s="35"/>
    </row>
    <row r="438" ht="12.75" customHeight="1">
      <c r="A438" s="35"/>
      <c r="B438" s="35"/>
      <c r="C438" s="35"/>
      <c r="D438" s="35"/>
      <c r="E438" s="35"/>
      <c r="F438" s="35"/>
      <c r="G438" s="35"/>
      <c r="H438" s="35"/>
      <c r="I438" s="35"/>
      <c r="J438" s="35"/>
      <c r="K438" s="35"/>
      <c r="L438" s="35"/>
      <c r="M438" s="35"/>
      <c r="N438" s="35"/>
      <c r="O438" s="35"/>
      <c r="P438" s="35"/>
      <c r="Q438" s="35"/>
      <c r="R438" s="35"/>
      <c r="S438" s="35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D438" s="35"/>
      <c r="AE438" s="35"/>
      <c r="AF438" s="35"/>
      <c r="AG438" s="35"/>
      <c r="AH438" s="35"/>
      <c r="AI438" s="35"/>
      <c r="AJ438" s="35"/>
      <c r="AK438" s="35"/>
    </row>
    <row r="439" ht="12.75" customHeight="1">
      <c r="A439" s="35"/>
      <c r="B439" s="35"/>
      <c r="C439" s="35"/>
      <c r="D439" s="35"/>
      <c r="E439" s="35"/>
      <c r="F439" s="35"/>
      <c r="G439" s="35"/>
      <c r="H439" s="35"/>
      <c r="I439" s="35"/>
      <c r="J439" s="35"/>
      <c r="K439" s="35"/>
      <c r="L439" s="35"/>
      <c r="M439" s="35"/>
      <c r="N439" s="35"/>
      <c r="O439" s="35"/>
      <c r="P439" s="35"/>
      <c r="Q439" s="35"/>
      <c r="R439" s="35"/>
      <c r="S439" s="35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D439" s="35"/>
      <c r="AE439" s="35"/>
      <c r="AF439" s="35"/>
      <c r="AG439" s="35"/>
      <c r="AH439" s="35"/>
      <c r="AI439" s="35"/>
      <c r="AJ439" s="35"/>
      <c r="AK439" s="35"/>
    </row>
    <row r="440" ht="12.75" customHeight="1">
      <c r="A440" s="35"/>
      <c r="B440" s="35"/>
      <c r="C440" s="35"/>
      <c r="D440" s="35"/>
      <c r="E440" s="35"/>
      <c r="F440" s="35"/>
      <c r="G440" s="35"/>
      <c r="H440" s="35"/>
      <c r="I440" s="35"/>
      <c r="J440" s="35"/>
      <c r="K440" s="35"/>
      <c r="L440" s="35"/>
      <c r="M440" s="35"/>
      <c r="N440" s="35"/>
      <c r="O440" s="35"/>
      <c r="P440" s="35"/>
      <c r="Q440" s="35"/>
      <c r="R440" s="35"/>
      <c r="S440" s="35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D440" s="35"/>
      <c r="AE440" s="35"/>
      <c r="AF440" s="35"/>
      <c r="AG440" s="35"/>
      <c r="AH440" s="35"/>
      <c r="AI440" s="35"/>
      <c r="AJ440" s="35"/>
      <c r="AK440" s="35"/>
    </row>
    <row r="441" ht="12.75" customHeight="1">
      <c r="A441" s="35"/>
      <c r="B441" s="35"/>
      <c r="C441" s="35"/>
      <c r="D441" s="35"/>
      <c r="E441" s="35"/>
      <c r="F441" s="35"/>
      <c r="G441" s="35"/>
      <c r="H441" s="35"/>
      <c r="I441" s="35"/>
      <c r="J441" s="35"/>
      <c r="K441" s="35"/>
      <c r="L441" s="35"/>
      <c r="M441" s="35"/>
      <c r="N441" s="35"/>
      <c r="O441" s="35"/>
      <c r="P441" s="35"/>
      <c r="Q441" s="35"/>
      <c r="R441" s="35"/>
      <c r="S441" s="35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D441" s="35"/>
      <c r="AE441" s="35"/>
      <c r="AF441" s="35"/>
      <c r="AG441" s="35"/>
      <c r="AH441" s="35"/>
      <c r="AI441" s="35"/>
      <c r="AJ441" s="35"/>
      <c r="AK441" s="35"/>
    </row>
    <row r="442" ht="12.75" customHeight="1">
      <c r="A442" s="35"/>
      <c r="B442" s="35"/>
      <c r="C442" s="35"/>
      <c r="D442" s="35"/>
      <c r="E442" s="35"/>
      <c r="F442" s="35"/>
      <c r="G442" s="35"/>
      <c r="H442" s="35"/>
      <c r="I442" s="35"/>
      <c r="J442" s="35"/>
      <c r="K442" s="35"/>
      <c r="L442" s="35"/>
      <c r="M442" s="35"/>
      <c r="N442" s="35"/>
      <c r="O442" s="35"/>
      <c r="P442" s="35"/>
      <c r="Q442" s="35"/>
      <c r="R442" s="35"/>
      <c r="S442" s="35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D442" s="35"/>
      <c r="AE442" s="35"/>
      <c r="AF442" s="35"/>
      <c r="AG442" s="35"/>
      <c r="AH442" s="35"/>
      <c r="AI442" s="35"/>
      <c r="AJ442" s="35"/>
      <c r="AK442" s="35"/>
    </row>
    <row r="443" ht="12.75" customHeight="1">
      <c r="A443" s="35"/>
      <c r="B443" s="35"/>
      <c r="C443" s="35"/>
      <c r="D443" s="35"/>
      <c r="E443" s="35"/>
      <c r="F443" s="35"/>
      <c r="G443" s="35"/>
      <c r="H443" s="35"/>
      <c r="I443" s="35"/>
      <c r="J443" s="35"/>
      <c r="K443" s="35"/>
      <c r="L443" s="35"/>
      <c r="M443" s="35"/>
      <c r="N443" s="35"/>
      <c r="O443" s="35"/>
      <c r="P443" s="35"/>
      <c r="Q443" s="35"/>
      <c r="R443" s="35"/>
      <c r="S443" s="35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D443" s="35"/>
      <c r="AE443" s="35"/>
      <c r="AF443" s="35"/>
      <c r="AG443" s="35"/>
      <c r="AH443" s="35"/>
      <c r="AI443" s="35"/>
      <c r="AJ443" s="35"/>
      <c r="AK443" s="35"/>
    </row>
    <row r="444" ht="12.75" customHeight="1">
      <c r="A444" s="35"/>
      <c r="B444" s="35"/>
      <c r="C444" s="35"/>
      <c r="D444" s="35"/>
      <c r="E444" s="35"/>
      <c r="F444" s="35"/>
      <c r="G444" s="35"/>
      <c r="H444" s="35"/>
      <c r="I444" s="35"/>
      <c r="J444" s="35"/>
      <c r="K444" s="35"/>
      <c r="L444" s="35"/>
      <c r="M444" s="35"/>
      <c r="N444" s="35"/>
      <c r="O444" s="35"/>
      <c r="P444" s="35"/>
      <c r="Q444" s="35"/>
      <c r="R444" s="35"/>
      <c r="S444" s="35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D444" s="35"/>
      <c r="AE444" s="35"/>
      <c r="AF444" s="35"/>
      <c r="AG444" s="35"/>
      <c r="AH444" s="35"/>
      <c r="AI444" s="35"/>
      <c r="AJ444" s="35"/>
      <c r="AK444" s="35"/>
    </row>
    <row r="445" ht="12.75" customHeight="1">
      <c r="A445" s="35"/>
      <c r="B445" s="35"/>
      <c r="C445" s="35"/>
      <c r="D445" s="35"/>
      <c r="E445" s="35"/>
      <c r="F445" s="35"/>
      <c r="G445" s="35"/>
      <c r="H445" s="35"/>
      <c r="I445" s="35"/>
      <c r="J445" s="35"/>
      <c r="K445" s="35"/>
      <c r="L445" s="35"/>
      <c r="M445" s="35"/>
      <c r="N445" s="35"/>
      <c r="O445" s="35"/>
      <c r="P445" s="35"/>
      <c r="Q445" s="35"/>
      <c r="R445" s="35"/>
      <c r="S445" s="35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D445" s="35"/>
      <c r="AE445" s="35"/>
      <c r="AF445" s="35"/>
      <c r="AG445" s="35"/>
      <c r="AH445" s="35"/>
      <c r="AI445" s="35"/>
      <c r="AJ445" s="35"/>
      <c r="AK445" s="35"/>
    </row>
    <row r="446" ht="12.75" customHeight="1">
      <c r="A446" s="35"/>
      <c r="B446" s="35"/>
      <c r="C446" s="35"/>
      <c r="D446" s="35"/>
      <c r="E446" s="35"/>
      <c r="F446" s="35"/>
      <c r="G446" s="35"/>
      <c r="H446" s="35"/>
      <c r="I446" s="35"/>
      <c r="J446" s="35"/>
      <c r="K446" s="35"/>
      <c r="L446" s="35"/>
      <c r="M446" s="35"/>
      <c r="N446" s="35"/>
      <c r="O446" s="35"/>
      <c r="P446" s="35"/>
      <c r="Q446" s="35"/>
      <c r="R446" s="35"/>
      <c r="S446" s="35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D446" s="35"/>
      <c r="AE446" s="35"/>
      <c r="AF446" s="35"/>
      <c r="AG446" s="35"/>
      <c r="AH446" s="35"/>
      <c r="AI446" s="35"/>
      <c r="AJ446" s="35"/>
      <c r="AK446" s="35"/>
    </row>
    <row r="447" ht="12.75" customHeight="1">
      <c r="A447" s="35"/>
      <c r="B447" s="35"/>
      <c r="C447" s="35"/>
      <c r="D447" s="35"/>
      <c r="E447" s="35"/>
      <c r="F447" s="35"/>
      <c r="G447" s="35"/>
      <c r="H447" s="35"/>
      <c r="I447" s="35"/>
      <c r="J447" s="35"/>
      <c r="K447" s="35"/>
      <c r="L447" s="35"/>
      <c r="M447" s="35"/>
      <c r="N447" s="35"/>
      <c r="O447" s="35"/>
      <c r="P447" s="35"/>
      <c r="Q447" s="35"/>
      <c r="R447" s="35"/>
      <c r="S447" s="35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D447" s="35"/>
      <c r="AE447" s="35"/>
      <c r="AF447" s="35"/>
      <c r="AG447" s="35"/>
      <c r="AH447" s="35"/>
      <c r="AI447" s="35"/>
      <c r="AJ447" s="35"/>
      <c r="AK447" s="35"/>
    </row>
    <row r="448" ht="12.75" customHeight="1">
      <c r="A448" s="35"/>
      <c r="B448" s="35"/>
      <c r="C448" s="35"/>
      <c r="D448" s="35"/>
      <c r="E448" s="35"/>
      <c r="F448" s="35"/>
      <c r="G448" s="35"/>
      <c r="H448" s="35"/>
      <c r="I448" s="35"/>
      <c r="J448" s="35"/>
      <c r="K448" s="35"/>
      <c r="L448" s="35"/>
      <c r="M448" s="35"/>
      <c r="N448" s="35"/>
      <c r="O448" s="35"/>
      <c r="P448" s="35"/>
      <c r="Q448" s="35"/>
      <c r="R448" s="35"/>
      <c r="S448" s="35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D448" s="35"/>
      <c r="AE448" s="35"/>
      <c r="AF448" s="35"/>
      <c r="AG448" s="35"/>
      <c r="AH448" s="35"/>
      <c r="AI448" s="35"/>
      <c r="AJ448" s="35"/>
      <c r="AK448" s="35"/>
    </row>
    <row r="449" ht="12.75" customHeight="1">
      <c r="A449" s="35"/>
      <c r="B449" s="35"/>
      <c r="C449" s="35"/>
      <c r="D449" s="35"/>
      <c r="E449" s="35"/>
      <c r="F449" s="35"/>
      <c r="G449" s="35"/>
      <c r="H449" s="35"/>
      <c r="I449" s="35"/>
      <c r="J449" s="35"/>
      <c r="K449" s="35"/>
      <c r="L449" s="35"/>
      <c r="M449" s="35"/>
      <c r="N449" s="35"/>
      <c r="O449" s="35"/>
      <c r="P449" s="35"/>
      <c r="Q449" s="35"/>
      <c r="R449" s="35"/>
      <c r="S449" s="35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D449" s="35"/>
      <c r="AE449" s="35"/>
      <c r="AF449" s="35"/>
      <c r="AG449" s="35"/>
      <c r="AH449" s="35"/>
      <c r="AI449" s="35"/>
      <c r="AJ449" s="35"/>
      <c r="AK449" s="35"/>
    </row>
    <row r="450" ht="12.75" customHeight="1">
      <c r="A450" s="35"/>
      <c r="B450" s="35"/>
      <c r="C450" s="35"/>
      <c r="D450" s="35"/>
      <c r="E450" s="35"/>
      <c r="F450" s="35"/>
      <c r="G450" s="35"/>
      <c r="H450" s="35"/>
      <c r="I450" s="35"/>
      <c r="J450" s="35"/>
      <c r="K450" s="35"/>
      <c r="L450" s="35"/>
      <c r="M450" s="35"/>
      <c r="N450" s="35"/>
      <c r="O450" s="35"/>
      <c r="P450" s="35"/>
      <c r="Q450" s="35"/>
      <c r="R450" s="35"/>
      <c r="S450" s="35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D450" s="35"/>
      <c r="AE450" s="35"/>
      <c r="AF450" s="35"/>
      <c r="AG450" s="35"/>
      <c r="AH450" s="35"/>
      <c r="AI450" s="35"/>
      <c r="AJ450" s="35"/>
      <c r="AK450" s="35"/>
    </row>
    <row r="451" ht="12.75" customHeight="1">
      <c r="A451" s="35"/>
      <c r="B451" s="35"/>
      <c r="C451" s="35"/>
      <c r="D451" s="35"/>
      <c r="E451" s="35"/>
      <c r="F451" s="35"/>
      <c r="G451" s="35"/>
      <c r="H451" s="35"/>
      <c r="I451" s="35"/>
      <c r="J451" s="35"/>
      <c r="K451" s="35"/>
      <c r="L451" s="35"/>
      <c r="M451" s="35"/>
      <c r="N451" s="35"/>
      <c r="O451" s="35"/>
      <c r="P451" s="35"/>
      <c r="Q451" s="35"/>
      <c r="R451" s="35"/>
      <c r="S451" s="35"/>
      <c r="T451" s="35"/>
      <c r="U451" s="35"/>
      <c r="V451" s="35"/>
      <c r="W451" s="35"/>
      <c r="X451" s="35"/>
      <c r="Y451" s="35"/>
      <c r="Z451" s="35"/>
      <c r="AA451" s="35"/>
      <c r="AB451" s="35"/>
      <c r="AC451" s="35"/>
      <c r="AD451" s="35"/>
      <c r="AE451" s="35"/>
      <c r="AF451" s="35"/>
      <c r="AG451" s="35"/>
      <c r="AH451" s="35"/>
      <c r="AI451" s="35"/>
      <c r="AJ451" s="35"/>
      <c r="AK451" s="35"/>
    </row>
    <row r="452" ht="12.75" customHeight="1">
      <c r="A452" s="35"/>
      <c r="B452" s="35"/>
      <c r="C452" s="35"/>
      <c r="D452" s="35"/>
      <c r="E452" s="35"/>
      <c r="F452" s="35"/>
      <c r="G452" s="35"/>
      <c r="H452" s="35"/>
      <c r="I452" s="35"/>
      <c r="J452" s="35"/>
      <c r="K452" s="35"/>
      <c r="L452" s="35"/>
      <c r="M452" s="35"/>
      <c r="N452" s="35"/>
      <c r="O452" s="35"/>
      <c r="P452" s="35"/>
      <c r="Q452" s="35"/>
      <c r="R452" s="35"/>
      <c r="S452" s="35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D452" s="35"/>
      <c r="AE452" s="35"/>
      <c r="AF452" s="35"/>
      <c r="AG452" s="35"/>
      <c r="AH452" s="35"/>
      <c r="AI452" s="35"/>
      <c r="AJ452" s="35"/>
      <c r="AK452" s="35"/>
    </row>
    <row r="453" ht="12.75" customHeight="1">
      <c r="A453" s="35"/>
      <c r="B453" s="35"/>
      <c r="C453" s="35"/>
      <c r="D453" s="35"/>
      <c r="E453" s="35"/>
      <c r="F453" s="35"/>
      <c r="G453" s="35"/>
      <c r="H453" s="35"/>
      <c r="I453" s="35"/>
      <c r="J453" s="35"/>
      <c r="K453" s="35"/>
      <c r="L453" s="35"/>
      <c r="M453" s="35"/>
      <c r="N453" s="35"/>
      <c r="O453" s="35"/>
      <c r="P453" s="35"/>
      <c r="Q453" s="35"/>
      <c r="R453" s="35"/>
      <c r="S453" s="35"/>
      <c r="T453" s="35"/>
      <c r="U453" s="35"/>
      <c r="V453" s="35"/>
      <c r="W453" s="35"/>
      <c r="X453" s="35"/>
      <c r="Y453" s="35"/>
      <c r="Z453" s="35"/>
      <c r="AA453" s="35"/>
      <c r="AB453" s="35"/>
      <c r="AC453" s="35"/>
      <c r="AD453" s="35"/>
      <c r="AE453" s="35"/>
      <c r="AF453" s="35"/>
      <c r="AG453" s="35"/>
      <c r="AH453" s="35"/>
      <c r="AI453" s="35"/>
      <c r="AJ453" s="35"/>
      <c r="AK453" s="35"/>
    </row>
    <row r="454" ht="12.75" customHeight="1">
      <c r="A454" s="35"/>
      <c r="B454" s="35"/>
      <c r="C454" s="35"/>
      <c r="D454" s="35"/>
      <c r="E454" s="35"/>
      <c r="F454" s="35"/>
      <c r="G454" s="35"/>
      <c r="H454" s="35"/>
      <c r="I454" s="35"/>
      <c r="J454" s="35"/>
      <c r="K454" s="35"/>
      <c r="L454" s="35"/>
      <c r="M454" s="35"/>
      <c r="N454" s="35"/>
      <c r="O454" s="35"/>
      <c r="P454" s="35"/>
      <c r="Q454" s="35"/>
      <c r="R454" s="35"/>
      <c r="S454" s="35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D454" s="35"/>
      <c r="AE454" s="35"/>
      <c r="AF454" s="35"/>
      <c r="AG454" s="35"/>
      <c r="AH454" s="35"/>
      <c r="AI454" s="35"/>
      <c r="AJ454" s="35"/>
      <c r="AK454" s="35"/>
    </row>
    <row r="455" ht="12.75" customHeight="1">
      <c r="A455" s="35"/>
      <c r="B455" s="35"/>
      <c r="C455" s="35"/>
      <c r="D455" s="35"/>
      <c r="E455" s="35"/>
      <c r="F455" s="35"/>
      <c r="G455" s="35"/>
      <c r="H455" s="35"/>
      <c r="I455" s="35"/>
      <c r="J455" s="35"/>
      <c r="K455" s="35"/>
      <c r="L455" s="35"/>
      <c r="M455" s="35"/>
      <c r="N455" s="35"/>
      <c r="O455" s="35"/>
      <c r="P455" s="35"/>
      <c r="Q455" s="35"/>
      <c r="R455" s="35"/>
      <c r="S455" s="35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D455" s="35"/>
      <c r="AE455" s="35"/>
      <c r="AF455" s="35"/>
      <c r="AG455" s="35"/>
      <c r="AH455" s="35"/>
      <c r="AI455" s="35"/>
      <c r="AJ455" s="35"/>
      <c r="AK455" s="35"/>
    </row>
    <row r="456" ht="12.75" customHeight="1">
      <c r="A456" s="35"/>
      <c r="B456" s="35"/>
      <c r="C456" s="35"/>
      <c r="D456" s="35"/>
      <c r="E456" s="35"/>
      <c r="F456" s="35"/>
      <c r="G456" s="35"/>
      <c r="H456" s="35"/>
      <c r="I456" s="35"/>
      <c r="J456" s="35"/>
      <c r="K456" s="35"/>
      <c r="L456" s="35"/>
      <c r="M456" s="35"/>
      <c r="N456" s="35"/>
      <c r="O456" s="35"/>
      <c r="P456" s="35"/>
      <c r="Q456" s="35"/>
      <c r="R456" s="35"/>
      <c r="S456" s="35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D456" s="35"/>
      <c r="AE456" s="35"/>
      <c r="AF456" s="35"/>
      <c r="AG456" s="35"/>
      <c r="AH456" s="35"/>
      <c r="AI456" s="35"/>
      <c r="AJ456" s="35"/>
      <c r="AK456" s="35"/>
    </row>
    <row r="457" ht="12.75" customHeight="1">
      <c r="A457" s="35"/>
      <c r="B457" s="35"/>
      <c r="C457" s="35"/>
      <c r="D457" s="35"/>
      <c r="E457" s="35"/>
      <c r="F457" s="35"/>
      <c r="G457" s="35"/>
      <c r="H457" s="35"/>
      <c r="I457" s="35"/>
      <c r="J457" s="35"/>
      <c r="K457" s="35"/>
      <c r="L457" s="35"/>
      <c r="M457" s="35"/>
      <c r="N457" s="35"/>
      <c r="O457" s="35"/>
      <c r="P457" s="35"/>
      <c r="Q457" s="35"/>
      <c r="R457" s="35"/>
      <c r="S457" s="35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D457" s="35"/>
      <c r="AE457" s="35"/>
      <c r="AF457" s="35"/>
      <c r="AG457" s="35"/>
      <c r="AH457" s="35"/>
      <c r="AI457" s="35"/>
      <c r="AJ457" s="35"/>
      <c r="AK457" s="35"/>
    </row>
    <row r="458" ht="12.75" customHeight="1">
      <c r="A458" s="35"/>
      <c r="B458" s="35"/>
      <c r="C458" s="35"/>
      <c r="D458" s="35"/>
      <c r="E458" s="35"/>
      <c r="F458" s="35"/>
      <c r="G458" s="35"/>
      <c r="H458" s="35"/>
      <c r="I458" s="35"/>
      <c r="J458" s="35"/>
      <c r="K458" s="35"/>
      <c r="L458" s="35"/>
      <c r="M458" s="35"/>
      <c r="N458" s="35"/>
      <c r="O458" s="35"/>
      <c r="P458" s="35"/>
      <c r="Q458" s="35"/>
      <c r="R458" s="35"/>
      <c r="S458" s="35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D458" s="35"/>
      <c r="AE458" s="35"/>
      <c r="AF458" s="35"/>
      <c r="AG458" s="35"/>
      <c r="AH458" s="35"/>
      <c r="AI458" s="35"/>
      <c r="AJ458" s="35"/>
      <c r="AK458" s="35"/>
    </row>
    <row r="459" ht="12.75" customHeight="1">
      <c r="A459" s="35"/>
      <c r="B459" s="35"/>
      <c r="C459" s="35"/>
      <c r="D459" s="35"/>
      <c r="E459" s="35"/>
      <c r="F459" s="35"/>
      <c r="G459" s="35"/>
      <c r="H459" s="35"/>
      <c r="I459" s="35"/>
      <c r="J459" s="35"/>
      <c r="K459" s="35"/>
      <c r="L459" s="35"/>
      <c r="M459" s="35"/>
      <c r="N459" s="35"/>
      <c r="O459" s="35"/>
      <c r="P459" s="35"/>
      <c r="Q459" s="35"/>
      <c r="R459" s="35"/>
      <c r="S459" s="35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D459" s="35"/>
      <c r="AE459" s="35"/>
      <c r="AF459" s="35"/>
      <c r="AG459" s="35"/>
      <c r="AH459" s="35"/>
      <c r="AI459" s="35"/>
      <c r="AJ459" s="35"/>
      <c r="AK459" s="35"/>
    </row>
    <row r="460" ht="12.75" customHeight="1">
      <c r="A460" s="35"/>
      <c r="B460" s="35"/>
      <c r="C460" s="35"/>
      <c r="D460" s="35"/>
      <c r="E460" s="35"/>
      <c r="F460" s="35"/>
      <c r="G460" s="35"/>
      <c r="H460" s="35"/>
      <c r="I460" s="35"/>
      <c r="J460" s="35"/>
      <c r="K460" s="35"/>
      <c r="L460" s="35"/>
      <c r="M460" s="35"/>
      <c r="N460" s="35"/>
      <c r="O460" s="35"/>
      <c r="P460" s="35"/>
      <c r="Q460" s="35"/>
      <c r="R460" s="35"/>
      <c r="S460" s="35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D460" s="35"/>
      <c r="AE460" s="35"/>
      <c r="AF460" s="35"/>
      <c r="AG460" s="35"/>
      <c r="AH460" s="35"/>
      <c r="AI460" s="35"/>
      <c r="AJ460" s="35"/>
      <c r="AK460" s="35"/>
    </row>
    <row r="461" ht="12.75" customHeight="1">
      <c r="A461" s="35"/>
      <c r="B461" s="35"/>
      <c r="C461" s="35"/>
      <c r="D461" s="35"/>
      <c r="E461" s="35"/>
      <c r="F461" s="35"/>
      <c r="G461" s="35"/>
      <c r="H461" s="35"/>
      <c r="I461" s="35"/>
      <c r="J461" s="35"/>
      <c r="K461" s="35"/>
      <c r="L461" s="35"/>
      <c r="M461" s="35"/>
      <c r="N461" s="35"/>
      <c r="O461" s="35"/>
      <c r="P461" s="35"/>
      <c r="Q461" s="35"/>
      <c r="R461" s="35"/>
      <c r="S461" s="35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D461" s="35"/>
      <c r="AE461" s="35"/>
      <c r="AF461" s="35"/>
      <c r="AG461" s="35"/>
      <c r="AH461" s="35"/>
      <c r="AI461" s="35"/>
      <c r="AJ461" s="35"/>
      <c r="AK461" s="35"/>
    </row>
    <row r="462" ht="12.75" customHeight="1">
      <c r="A462" s="35"/>
      <c r="B462" s="35"/>
      <c r="C462" s="35"/>
      <c r="D462" s="35"/>
      <c r="E462" s="35"/>
      <c r="F462" s="35"/>
      <c r="G462" s="35"/>
      <c r="H462" s="35"/>
      <c r="I462" s="35"/>
      <c r="J462" s="35"/>
      <c r="K462" s="35"/>
      <c r="L462" s="35"/>
      <c r="M462" s="35"/>
      <c r="N462" s="35"/>
      <c r="O462" s="35"/>
      <c r="P462" s="35"/>
      <c r="Q462" s="35"/>
      <c r="R462" s="35"/>
      <c r="S462" s="35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D462" s="35"/>
      <c r="AE462" s="35"/>
      <c r="AF462" s="35"/>
      <c r="AG462" s="35"/>
      <c r="AH462" s="35"/>
      <c r="AI462" s="35"/>
      <c r="AJ462" s="35"/>
      <c r="AK462" s="35"/>
    </row>
    <row r="463" ht="12.75" customHeight="1">
      <c r="A463" s="35"/>
      <c r="B463" s="35"/>
      <c r="C463" s="35"/>
      <c r="D463" s="35"/>
      <c r="E463" s="35"/>
      <c r="F463" s="35"/>
      <c r="G463" s="35"/>
      <c r="H463" s="35"/>
      <c r="I463" s="35"/>
      <c r="J463" s="35"/>
      <c r="K463" s="35"/>
      <c r="L463" s="35"/>
      <c r="M463" s="35"/>
      <c r="N463" s="35"/>
      <c r="O463" s="35"/>
      <c r="P463" s="35"/>
      <c r="Q463" s="35"/>
      <c r="R463" s="35"/>
      <c r="S463" s="35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D463" s="35"/>
      <c r="AE463" s="35"/>
      <c r="AF463" s="35"/>
      <c r="AG463" s="35"/>
      <c r="AH463" s="35"/>
      <c r="AI463" s="35"/>
      <c r="AJ463" s="35"/>
      <c r="AK463" s="35"/>
    </row>
    <row r="464" ht="12.75" customHeight="1">
      <c r="A464" s="35"/>
      <c r="B464" s="35"/>
      <c r="C464" s="35"/>
      <c r="D464" s="35"/>
      <c r="E464" s="35"/>
      <c r="F464" s="35"/>
      <c r="G464" s="35"/>
      <c r="H464" s="35"/>
      <c r="I464" s="35"/>
      <c r="J464" s="35"/>
      <c r="K464" s="35"/>
      <c r="L464" s="35"/>
      <c r="M464" s="35"/>
      <c r="N464" s="35"/>
      <c r="O464" s="35"/>
      <c r="P464" s="35"/>
      <c r="Q464" s="35"/>
      <c r="R464" s="35"/>
      <c r="S464" s="35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D464" s="35"/>
      <c r="AE464" s="35"/>
      <c r="AF464" s="35"/>
      <c r="AG464" s="35"/>
      <c r="AH464" s="35"/>
      <c r="AI464" s="35"/>
      <c r="AJ464" s="35"/>
      <c r="AK464" s="35"/>
    </row>
    <row r="465" ht="12.75" customHeight="1">
      <c r="A465" s="35"/>
      <c r="B465" s="35"/>
      <c r="C465" s="35"/>
      <c r="D465" s="35"/>
      <c r="E465" s="35"/>
      <c r="F465" s="35"/>
      <c r="G465" s="35"/>
      <c r="H465" s="35"/>
      <c r="I465" s="35"/>
      <c r="J465" s="35"/>
      <c r="K465" s="35"/>
      <c r="L465" s="35"/>
      <c r="M465" s="35"/>
      <c r="N465" s="35"/>
      <c r="O465" s="35"/>
      <c r="P465" s="35"/>
      <c r="Q465" s="35"/>
      <c r="R465" s="35"/>
      <c r="S465" s="35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D465" s="35"/>
      <c r="AE465" s="35"/>
      <c r="AF465" s="35"/>
      <c r="AG465" s="35"/>
      <c r="AH465" s="35"/>
      <c r="AI465" s="35"/>
      <c r="AJ465" s="35"/>
      <c r="AK465" s="35"/>
    </row>
    <row r="466" ht="12.75" customHeight="1">
      <c r="A466" s="35"/>
      <c r="B466" s="35"/>
      <c r="C466" s="35"/>
      <c r="D466" s="35"/>
      <c r="E466" s="35"/>
      <c r="F466" s="35"/>
      <c r="G466" s="35"/>
      <c r="H466" s="35"/>
      <c r="I466" s="35"/>
      <c r="J466" s="35"/>
      <c r="K466" s="35"/>
      <c r="L466" s="35"/>
      <c r="M466" s="35"/>
      <c r="N466" s="35"/>
      <c r="O466" s="35"/>
      <c r="P466" s="35"/>
      <c r="Q466" s="35"/>
      <c r="R466" s="35"/>
      <c r="S466" s="35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D466" s="35"/>
      <c r="AE466" s="35"/>
      <c r="AF466" s="35"/>
      <c r="AG466" s="35"/>
      <c r="AH466" s="35"/>
      <c r="AI466" s="35"/>
      <c r="AJ466" s="35"/>
      <c r="AK466" s="35"/>
    </row>
    <row r="467" ht="12.75" customHeight="1">
      <c r="A467" s="35"/>
      <c r="B467" s="35"/>
      <c r="C467" s="35"/>
      <c r="D467" s="35"/>
      <c r="E467" s="35"/>
      <c r="F467" s="35"/>
      <c r="G467" s="35"/>
      <c r="H467" s="35"/>
      <c r="I467" s="35"/>
      <c r="J467" s="35"/>
      <c r="K467" s="35"/>
      <c r="L467" s="35"/>
      <c r="M467" s="35"/>
      <c r="N467" s="35"/>
      <c r="O467" s="35"/>
      <c r="P467" s="35"/>
      <c r="Q467" s="35"/>
      <c r="R467" s="35"/>
      <c r="S467" s="35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D467" s="35"/>
      <c r="AE467" s="35"/>
      <c r="AF467" s="35"/>
      <c r="AG467" s="35"/>
      <c r="AH467" s="35"/>
      <c r="AI467" s="35"/>
      <c r="AJ467" s="35"/>
      <c r="AK467" s="35"/>
    </row>
    <row r="468" ht="12.75" customHeight="1">
      <c r="A468" s="35"/>
      <c r="B468" s="35"/>
      <c r="C468" s="35"/>
      <c r="D468" s="35"/>
      <c r="E468" s="35"/>
      <c r="F468" s="35"/>
      <c r="G468" s="35"/>
      <c r="H468" s="35"/>
      <c r="I468" s="35"/>
      <c r="J468" s="35"/>
      <c r="K468" s="35"/>
      <c r="L468" s="35"/>
      <c r="M468" s="35"/>
      <c r="N468" s="35"/>
      <c r="O468" s="35"/>
      <c r="P468" s="35"/>
      <c r="Q468" s="35"/>
      <c r="R468" s="35"/>
      <c r="S468" s="35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D468" s="35"/>
      <c r="AE468" s="35"/>
      <c r="AF468" s="35"/>
      <c r="AG468" s="35"/>
      <c r="AH468" s="35"/>
      <c r="AI468" s="35"/>
      <c r="AJ468" s="35"/>
      <c r="AK468" s="35"/>
    </row>
    <row r="469" ht="12.75" customHeight="1">
      <c r="A469" s="35"/>
      <c r="B469" s="35"/>
      <c r="C469" s="35"/>
      <c r="D469" s="35"/>
      <c r="E469" s="35"/>
      <c r="F469" s="35"/>
      <c r="G469" s="35"/>
      <c r="H469" s="35"/>
      <c r="I469" s="35"/>
      <c r="J469" s="35"/>
      <c r="K469" s="35"/>
      <c r="L469" s="35"/>
      <c r="M469" s="35"/>
      <c r="N469" s="35"/>
      <c r="O469" s="35"/>
      <c r="P469" s="35"/>
      <c r="Q469" s="35"/>
      <c r="R469" s="35"/>
      <c r="S469" s="35"/>
      <c r="T469" s="35"/>
      <c r="U469" s="35"/>
      <c r="V469" s="35"/>
      <c r="W469" s="35"/>
      <c r="X469" s="35"/>
      <c r="Y469" s="35"/>
      <c r="Z469" s="35"/>
      <c r="AA469" s="35"/>
      <c r="AB469" s="35"/>
      <c r="AC469" s="35"/>
      <c r="AD469" s="35"/>
      <c r="AE469" s="35"/>
      <c r="AF469" s="35"/>
      <c r="AG469" s="35"/>
      <c r="AH469" s="35"/>
      <c r="AI469" s="35"/>
      <c r="AJ469" s="35"/>
      <c r="AK469" s="35"/>
    </row>
    <row r="470" ht="12.75" customHeight="1">
      <c r="A470" s="35"/>
      <c r="B470" s="35"/>
      <c r="C470" s="35"/>
      <c r="D470" s="35"/>
      <c r="E470" s="35"/>
      <c r="F470" s="35"/>
      <c r="G470" s="35"/>
      <c r="H470" s="35"/>
      <c r="I470" s="35"/>
      <c r="J470" s="35"/>
      <c r="K470" s="35"/>
      <c r="L470" s="35"/>
      <c r="M470" s="35"/>
      <c r="N470" s="35"/>
      <c r="O470" s="35"/>
      <c r="P470" s="35"/>
      <c r="Q470" s="35"/>
      <c r="R470" s="35"/>
      <c r="S470" s="35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D470" s="35"/>
      <c r="AE470" s="35"/>
      <c r="AF470" s="35"/>
      <c r="AG470" s="35"/>
      <c r="AH470" s="35"/>
      <c r="AI470" s="35"/>
      <c r="AJ470" s="35"/>
      <c r="AK470" s="35"/>
    </row>
    <row r="471" ht="12.75" customHeight="1">
      <c r="A471" s="35"/>
      <c r="B471" s="35"/>
      <c r="C471" s="35"/>
      <c r="D471" s="35"/>
      <c r="E471" s="35"/>
      <c r="F471" s="35"/>
      <c r="G471" s="35"/>
      <c r="H471" s="35"/>
      <c r="I471" s="35"/>
      <c r="J471" s="35"/>
      <c r="K471" s="35"/>
      <c r="L471" s="35"/>
      <c r="M471" s="35"/>
      <c r="N471" s="35"/>
      <c r="O471" s="35"/>
      <c r="P471" s="35"/>
      <c r="Q471" s="35"/>
      <c r="R471" s="35"/>
      <c r="S471" s="35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D471" s="35"/>
      <c r="AE471" s="35"/>
      <c r="AF471" s="35"/>
      <c r="AG471" s="35"/>
      <c r="AH471" s="35"/>
      <c r="AI471" s="35"/>
      <c r="AJ471" s="35"/>
      <c r="AK471" s="35"/>
    </row>
    <row r="472" ht="12.75" customHeight="1">
      <c r="A472" s="35"/>
      <c r="B472" s="35"/>
      <c r="C472" s="35"/>
      <c r="D472" s="35"/>
      <c r="E472" s="35"/>
      <c r="F472" s="35"/>
      <c r="G472" s="35"/>
      <c r="H472" s="35"/>
      <c r="I472" s="35"/>
      <c r="J472" s="35"/>
      <c r="K472" s="35"/>
      <c r="L472" s="35"/>
      <c r="M472" s="35"/>
      <c r="N472" s="35"/>
      <c r="O472" s="35"/>
      <c r="P472" s="35"/>
      <c r="Q472" s="35"/>
      <c r="R472" s="35"/>
      <c r="S472" s="35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D472" s="35"/>
      <c r="AE472" s="35"/>
      <c r="AF472" s="35"/>
      <c r="AG472" s="35"/>
      <c r="AH472" s="35"/>
      <c r="AI472" s="35"/>
      <c r="AJ472" s="35"/>
      <c r="AK472" s="35"/>
    </row>
    <row r="473" ht="12.75" customHeight="1">
      <c r="A473" s="35"/>
      <c r="B473" s="35"/>
      <c r="C473" s="35"/>
      <c r="D473" s="35"/>
      <c r="E473" s="35"/>
      <c r="F473" s="35"/>
      <c r="G473" s="35"/>
      <c r="H473" s="35"/>
      <c r="I473" s="35"/>
      <c r="J473" s="35"/>
      <c r="K473" s="35"/>
      <c r="L473" s="35"/>
      <c r="M473" s="35"/>
      <c r="N473" s="35"/>
      <c r="O473" s="35"/>
      <c r="P473" s="35"/>
      <c r="Q473" s="35"/>
      <c r="R473" s="35"/>
      <c r="S473" s="35"/>
      <c r="T473" s="35"/>
      <c r="U473" s="35"/>
      <c r="V473" s="35"/>
      <c r="W473" s="35"/>
      <c r="X473" s="35"/>
      <c r="Y473" s="35"/>
      <c r="Z473" s="35"/>
      <c r="AA473" s="35"/>
      <c r="AB473" s="35"/>
      <c r="AC473" s="35"/>
      <c r="AD473" s="35"/>
      <c r="AE473" s="35"/>
      <c r="AF473" s="35"/>
      <c r="AG473" s="35"/>
      <c r="AH473" s="35"/>
      <c r="AI473" s="35"/>
      <c r="AJ473" s="35"/>
      <c r="AK473" s="35"/>
    </row>
    <row r="474" ht="12.75" customHeight="1">
      <c r="A474" s="35"/>
      <c r="B474" s="35"/>
      <c r="C474" s="35"/>
      <c r="D474" s="35"/>
      <c r="E474" s="35"/>
      <c r="F474" s="35"/>
      <c r="G474" s="35"/>
      <c r="H474" s="35"/>
      <c r="I474" s="35"/>
      <c r="J474" s="35"/>
      <c r="K474" s="35"/>
      <c r="L474" s="35"/>
      <c r="M474" s="35"/>
      <c r="N474" s="35"/>
      <c r="O474" s="35"/>
      <c r="P474" s="35"/>
      <c r="Q474" s="35"/>
      <c r="R474" s="35"/>
      <c r="S474" s="35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D474" s="35"/>
      <c r="AE474" s="35"/>
      <c r="AF474" s="35"/>
      <c r="AG474" s="35"/>
      <c r="AH474" s="35"/>
      <c r="AI474" s="35"/>
      <c r="AJ474" s="35"/>
      <c r="AK474" s="35"/>
    </row>
    <row r="475" ht="12.75" customHeight="1">
      <c r="A475" s="35"/>
      <c r="B475" s="35"/>
      <c r="C475" s="35"/>
      <c r="D475" s="35"/>
      <c r="E475" s="35"/>
      <c r="F475" s="35"/>
      <c r="G475" s="35"/>
      <c r="H475" s="35"/>
      <c r="I475" s="35"/>
      <c r="J475" s="35"/>
      <c r="K475" s="35"/>
      <c r="L475" s="35"/>
      <c r="M475" s="35"/>
      <c r="N475" s="35"/>
      <c r="O475" s="35"/>
      <c r="P475" s="35"/>
      <c r="Q475" s="35"/>
      <c r="R475" s="35"/>
      <c r="S475" s="35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D475" s="35"/>
      <c r="AE475" s="35"/>
      <c r="AF475" s="35"/>
      <c r="AG475" s="35"/>
      <c r="AH475" s="35"/>
      <c r="AI475" s="35"/>
      <c r="AJ475" s="35"/>
      <c r="AK475" s="35"/>
    </row>
    <row r="476" ht="12.75" customHeight="1">
      <c r="A476" s="35"/>
      <c r="B476" s="35"/>
      <c r="C476" s="35"/>
      <c r="D476" s="35"/>
      <c r="E476" s="35"/>
      <c r="F476" s="35"/>
      <c r="G476" s="35"/>
      <c r="H476" s="35"/>
      <c r="I476" s="35"/>
      <c r="J476" s="35"/>
      <c r="K476" s="35"/>
      <c r="L476" s="35"/>
      <c r="M476" s="35"/>
      <c r="N476" s="35"/>
      <c r="O476" s="35"/>
      <c r="P476" s="35"/>
      <c r="Q476" s="35"/>
      <c r="R476" s="35"/>
      <c r="S476" s="35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D476" s="35"/>
      <c r="AE476" s="35"/>
      <c r="AF476" s="35"/>
      <c r="AG476" s="35"/>
      <c r="AH476" s="35"/>
      <c r="AI476" s="35"/>
      <c r="AJ476" s="35"/>
      <c r="AK476" s="35"/>
    </row>
    <row r="477" ht="12.75" customHeight="1">
      <c r="A477" s="35"/>
      <c r="B477" s="35"/>
      <c r="C477" s="35"/>
      <c r="D477" s="35"/>
      <c r="E477" s="35"/>
      <c r="F477" s="35"/>
      <c r="G477" s="35"/>
      <c r="H477" s="35"/>
      <c r="I477" s="35"/>
      <c r="J477" s="35"/>
      <c r="K477" s="35"/>
      <c r="L477" s="35"/>
      <c r="M477" s="35"/>
      <c r="N477" s="35"/>
      <c r="O477" s="35"/>
      <c r="P477" s="35"/>
      <c r="Q477" s="35"/>
      <c r="R477" s="35"/>
      <c r="S477" s="35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D477" s="35"/>
      <c r="AE477" s="35"/>
      <c r="AF477" s="35"/>
      <c r="AG477" s="35"/>
      <c r="AH477" s="35"/>
      <c r="AI477" s="35"/>
      <c r="AJ477" s="35"/>
      <c r="AK477" s="35"/>
    </row>
    <row r="478" ht="12.75" customHeight="1">
      <c r="A478" s="35"/>
      <c r="B478" s="35"/>
      <c r="C478" s="35"/>
      <c r="D478" s="35"/>
      <c r="E478" s="35"/>
      <c r="F478" s="35"/>
      <c r="G478" s="35"/>
      <c r="H478" s="35"/>
      <c r="I478" s="35"/>
      <c r="J478" s="35"/>
      <c r="K478" s="35"/>
      <c r="L478" s="35"/>
      <c r="M478" s="35"/>
      <c r="N478" s="35"/>
      <c r="O478" s="35"/>
      <c r="P478" s="35"/>
      <c r="Q478" s="35"/>
      <c r="R478" s="35"/>
      <c r="S478" s="35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D478" s="35"/>
      <c r="AE478" s="35"/>
      <c r="AF478" s="35"/>
      <c r="AG478" s="35"/>
      <c r="AH478" s="35"/>
      <c r="AI478" s="35"/>
      <c r="AJ478" s="35"/>
      <c r="AK478" s="35"/>
    </row>
    <row r="479" ht="12.75" customHeight="1">
      <c r="A479" s="35"/>
      <c r="B479" s="35"/>
      <c r="C479" s="35"/>
      <c r="D479" s="35"/>
      <c r="E479" s="35"/>
      <c r="F479" s="35"/>
      <c r="G479" s="35"/>
      <c r="H479" s="35"/>
      <c r="I479" s="35"/>
      <c r="J479" s="35"/>
      <c r="K479" s="35"/>
      <c r="L479" s="35"/>
      <c r="M479" s="35"/>
      <c r="N479" s="35"/>
      <c r="O479" s="35"/>
      <c r="P479" s="35"/>
      <c r="Q479" s="35"/>
      <c r="R479" s="35"/>
      <c r="S479" s="35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D479" s="35"/>
      <c r="AE479" s="35"/>
      <c r="AF479" s="35"/>
      <c r="AG479" s="35"/>
      <c r="AH479" s="35"/>
      <c r="AI479" s="35"/>
      <c r="AJ479" s="35"/>
      <c r="AK479" s="35"/>
    </row>
    <row r="480" ht="12.75" customHeight="1">
      <c r="A480" s="35"/>
      <c r="B480" s="35"/>
      <c r="C480" s="35"/>
      <c r="D480" s="35"/>
      <c r="E480" s="35"/>
      <c r="F480" s="35"/>
      <c r="G480" s="35"/>
      <c r="H480" s="35"/>
      <c r="I480" s="35"/>
      <c r="J480" s="35"/>
      <c r="K480" s="35"/>
      <c r="L480" s="35"/>
      <c r="M480" s="35"/>
      <c r="N480" s="35"/>
      <c r="O480" s="35"/>
      <c r="P480" s="35"/>
      <c r="Q480" s="35"/>
      <c r="R480" s="35"/>
      <c r="S480" s="35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D480" s="35"/>
      <c r="AE480" s="35"/>
      <c r="AF480" s="35"/>
      <c r="AG480" s="35"/>
      <c r="AH480" s="35"/>
      <c r="AI480" s="35"/>
      <c r="AJ480" s="35"/>
      <c r="AK480" s="35"/>
    </row>
    <row r="481" ht="12.75" customHeight="1">
      <c r="A481" s="35"/>
      <c r="B481" s="35"/>
      <c r="C481" s="35"/>
      <c r="D481" s="35"/>
      <c r="E481" s="35"/>
      <c r="F481" s="35"/>
      <c r="G481" s="35"/>
      <c r="H481" s="35"/>
      <c r="I481" s="35"/>
      <c r="J481" s="35"/>
      <c r="K481" s="35"/>
      <c r="L481" s="35"/>
      <c r="M481" s="35"/>
      <c r="N481" s="35"/>
      <c r="O481" s="35"/>
      <c r="P481" s="35"/>
      <c r="Q481" s="35"/>
      <c r="R481" s="35"/>
      <c r="S481" s="35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D481" s="35"/>
      <c r="AE481" s="35"/>
      <c r="AF481" s="35"/>
      <c r="AG481" s="35"/>
      <c r="AH481" s="35"/>
      <c r="AI481" s="35"/>
      <c r="AJ481" s="35"/>
      <c r="AK481" s="35"/>
    </row>
    <row r="482" ht="12.75" customHeight="1">
      <c r="A482" s="35"/>
      <c r="B482" s="35"/>
      <c r="C482" s="35"/>
      <c r="D482" s="35"/>
      <c r="E482" s="35"/>
      <c r="F482" s="35"/>
      <c r="G482" s="35"/>
      <c r="H482" s="35"/>
      <c r="I482" s="35"/>
      <c r="J482" s="35"/>
      <c r="K482" s="35"/>
      <c r="L482" s="35"/>
      <c r="M482" s="35"/>
      <c r="N482" s="35"/>
      <c r="O482" s="35"/>
      <c r="P482" s="35"/>
      <c r="Q482" s="35"/>
      <c r="R482" s="35"/>
      <c r="S482" s="35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D482" s="35"/>
      <c r="AE482" s="35"/>
      <c r="AF482" s="35"/>
      <c r="AG482" s="35"/>
      <c r="AH482" s="35"/>
      <c r="AI482" s="35"/>
      <c r="AJ482" s="35"/>
      <c r="AK482" s="35"/>
    </row>
    <row r="483" ht="12.75" customHeight="1">
      <c r="A483" s="35"/>
      <c r="B483" s="35"/>
      <c r="C483" s="35"/>
      <c r="D483" s="35"/>
      <c r="E483" s="35"/>
      <c r="F483" s="35"/>
      <c r="G483" s="35"/>
      <c r="H483" s="35"/>
      <c r="I483" s="35"/>
      <c r="J483" s="35"/>
      <c r="K483" s="35"/>
      <c r="L483" s="35"/>
      <c r="M483" s="35"/>
      <c r="N483" s="35"/>
      <c r="O483" s="35"/>
      <c r="P483" s="35"/>
      <c r="Q483" s="35"/>
      <c r="R483" s="35"/>
      <c r="S483" s="35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D483" s="35"/>
      <c r="AE483" s="35"/>
      <c r="AF483" s="35"/>
      <c r="AG483" s="35"/>
      <c r="AH483" s="35"/>
      <c r="AI483" s="35"/>
      <c r="AJ483" s="35"/>
      <c r="AK483" s="35"/>
    </row>
    <row r="484" ht="12.75" customHeight="1">
      <c r="A484" s="35"/>
      <c r="B484" s="35"/>
      <c r="C484" s="35"/>
      <c r="D484" s="35"/>
      <c r="E484" s="35"/>
      <c r="F484" s="35"/>
      <c r="G484" s="35"/>
      <c r="H484" s="35"/>
      <c r="I484" s="35"/>
      <c r="J484" s="35"/>
      <c r="K484" s="35"/>
      <c r="L484" s="35"/>
      <c r="M484" s="35"/>
      <c r="N484" s="35"/>
      <c r="O484" s="35"/>
      <c r="P484" s="35"/>
      <c r="Q484" s="35"/>
      <c r="R484" s="35"/>
      <c r="S484" s="35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D484" s="35"/>
      <c r="AE484" s="35"/>
      <c r="AF484" s="35"/>
      <c r="AG484" s="35"/>
      <c r="AH484" s="35"/>
      <c r="AI484" s="35"/>
      <c r="AJ484" s="35"/>
      <c r="AK484" s="35"/>
    </row>
    <row r="485" ht="12.75" customHeight="1">
      <c r="A485" s="35"/>
      <c r="B485" s="35"/>
      <c r="C485" s="35"/>
      <c r="D485" s="35"/>
      <c r="E485" s="35"/>
      <c r="F485" s="35"/>
      <c r="G485" s="35"/>
      <c r="H485" s="35"/>
      <c r="I485" s="35"/>
      <c r="J485" s="35"/>
      <c r="K485" s="35"/>
      <c r="L485" s="35"/>
      <c r="M485" s="35"/>
      <c r="N485" s="35"/>
      <c r="O485" s="35"/>
      <c r="P485" s="35"/>
      <c r="Q485" s="35"/>
      <c r="R485" s="35"/>
      <c r="S485" s="35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D485" s="35"/>
      <c r="AE485" s="35"/>
      <c r="AF485" s="35"/>
      <c r="AG485" s="35"/>
      <c r="AH485" s="35"/>
      <c r="AI485" s="35"/>
      <c r="AJ485" s="35"/>
      <c r="AK485" s="35"/>
    </row>
    <row r="486" ht="12.75" customHeight="1">
      <c r="A486" s="35"/>
      <c r="B486" s="35"/>
      <c r="C486" s="35"/>
      <c r="D486" s="35"/>
      <c r="E486" s="35"/>
      <c r="F486" s="35"/>
      <c r="G486" s="35"/>
      <c r="H486" s="35"/>
      <c r="I486" s="35"/>
      <c r="J486" s="35"/>
      <c r="K486" s="35"/>
      <c r="L486" s="35"/>
      <c r="M486" s="35"/>
      <c r="N486" s="35"/>
      <c r="O486" s="35"/>
      <c r="P486" s="35"/>
      <c r="Q486" s="35"/>
      <c r="R486" s="35"/>
      <c r="S486" s="35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D486" s="35"/>
      <c r="AE486" s="35"/>
      <c r="AF486" s="35"/>
      <c r="AG486" s="35"/>
      <c r="AH486" s="35"/>
      <c r="AI486" s="35"/>
      <c r="AJ486" s="35"/>
      <c r="AK486" s="35"/>
    </row>
    <row r="487" ht="12.75" customHeight="1">
      <c r="A487" s="35"/>
      <c r="B487" s="35"/>
      <c r="C487" s="35"/>
      <c r="D487" s="35"/>
      <c r="E487" s="35"/>
      <c r="F487" s="35"/>
      <c r="G487" s="35"/>
      <c r="H487" s="35"/>
      <c r="I487" s="35"/>
      <c r="J487" s="35"/>
      <c r="K487" s="35"/>
      <c r="L487" s="35"/>
      <c r="M487" s="35"/>
      <c r="N487" s="35"/>
      <c r="O487" s="35"/>
      <c r="P487" s="35"/>
      <c r="Q487" s="35"/>
      <c r="R487" s="35"/>
      <c r="S487" s="35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D487" s="35"/>
      <c r="AE487" s="35"/>
      <c r="AF487" s="35"/>
      <c r="AG487" s="35"/>
      <c r="AH487" s="35"/>
      <c r="AI487" s="35"/>
      <c r="AJ487" s="35"/>
      <c r="AK487" s="35"/>
    </row>
    <row r="488" ht="12.75" customHeight="1">
      <c r="A488" s="35"/>
      <c r="B488" s="35"/>
      <c r="C488" s="35"/>
      <c r="D488" s="35"/>
      <c r="E488" s="35"/>
      <c r="F488" s="35"/>
      <c r="G488" s="35"/>
      <c r="H488" s="35"/>
      <c r="I488" s="35"/>
      <c r="J488" s="35"/>
      <c r="K488" s="35"/>
      <c r="L488" s="35"/>
      <c r="M488" s="35"/>
      <c r="N488" s="35"/>
      <c r="O488" s="35"/>
      <c r="P488" s="35"/>
      <c r="Q488" s="35"/>
      <c r="R488" s="35"/>
      <c r="S488" s="35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D488" s="35"/>
      <c r="AE488" s="35"/>
      <c r="AF488" s="35"/>
      <c r="AG488" s="35"/>
      <c r="AH488" s="35"/>
      <c r="AI488" s="35"/>
      <c r="AJ488" s="35"/>
      <c r="AK488" s="35"/>
    </row>
    <row r="489" ht="12.75" customHeight="1">
      <c r="A489" s="35"/>
      <c r="B489" s="35"/>
      <c r="C489" s="35"/>
      <c r="D489" s="35"/>
      <c r="E489" s="35"/>
      <c r="F489" s="35"/>
      <c r="G489" s="35"/>
      <c r="H489" s="35"/>
      <c r="I489" s="35"/>
      <c r="J489" s="35"/>
      <c r="K489" s="35"/>
      <c r="L489" s="35"/>
      <c r="M489" s="35"/>
      <c r="N489" s="35"/>
      <c r="O489" s="35"/>
      <c r="P489" s="35"/>
      <c r="Q489" s="35"/>
      <c r="R489" s="35"/>
      <c r="S489" s="35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D489" s="35"/>
      <c r="AE489" s="35"/>
      <c r="AF489" s="35"/>
      <c r="AG489" s="35"/>
      <c r="AH489" s="35"/>
      <c r="AI489" s="35"/>
      <c r="AJ489" s="35"/>
      <c r="AK489" s="35"/>
    </row>
    <row r="490" ht="12.75" customHeight="1">
      <c r="A490" s="35"/>
      <c r="B490" s="35"/>
      <c r="C490" s="35"/>
      <c r="D490" s="35"/>
      <c r="E490" s="35"/>
      <c r="F490" s="35"/>
      <c r="G490" s="35"/>
      <c r="H490" s="35"/>
      <c r="I490" s="35"/>
      <c r="J490" s="35"/>
      <c r="K490" s="35"/>
      <c r="L490" s="35"/>
      <c r="M490" s="35"/>
      <c r="N490" s="35"/>
      <c r="O490" s="35"/>
      <c r="P490" s="35"/>
      <c r="Q490" s="35"/>
      <c r="R490" s="35"/>
      <c r="S490" s="35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D490" s="35"/>
      <c r="AE490" s="35"/>
      <c r="AF490" s="35"/>
      <c r="AG490" s="35"/>
      <c r="AH490" s="35"/>
      <c r="AI490" s="35"/>
      <c r="AJ490" s="35"/>
      <c r="AK490" s="35"/>
    </row>
    <row r="491" ht="12.75" customHeight="1">
      <c r="A491" s="35"/>
      <c r="B491" s="35"/>
      <c r="C491" s="35"/>
      <c r="D491" s="35"/>
      <c r="E491" s="35"/>
      <c r="F491" s="35"/>
      <c r="G491" s="35"/>
      <c r="H491" s="35"/>
      <c r="I491" s="35"/>
      <c r="J491" s="35"/>
      <c r="K491" s="35"/>
      <c r="L491" s="35"/>
      <c r="M491" s="35"/>
      <c r="N491" s="35"/>
      <c r="O491" s="35"/>
      <c r="P491" s="35"/>
      <c r="Q491" s="35"/>
      <c r="R491" s="35"/>
      <c r="S491" s="35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D491" s="35"/>
      <c r="AE491" s="35"/>
      <c r="AF491" s="35"/>
      <c r="AG491" s="35"/>
      <c r="AH491" s="35"/>
      <c r="AI491" s="35"/>
      <c r="AJ491" s="35"/>
      <c r="AK491" s="35"/>
    </row>
    <row r="492" ht="12.75" customHeight="1">
      <c r="A492" s="35"/>
      <c r="B492" s="35"/>
      <c r="C492" s="35"/>
      <c r="D492" s="35"/>
      <c r="E492" s="35"/>
      <c r="F492" s="35"/>
      <c r="G492" s="35"/>
      <c r="H492" s="35"/>
      <c r="I492" s="35"/>
      <c r="J492" s="35"/>
      <c r="K492" s="35"/>
      <c r="L492" s="35"/>
      <c r="M492" s="35"/>
      <c r="N492" s="35"/>
      <c r="O492" s="35"/>
      <c r="P492" s="35"/>
      <c r="Q492" s="35"/>
      <c r="R492" s="35"/>
      <c r="S492" s="35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D492" s="35"/>
      <c r="AE492" s="35"/>
      <c r="AF492" s="35"/>
      <c r="AG492" s="35"/>
      <c r="AH492" s="35"/>
      <c r="AI492" s="35"/>
      <c r="AJ492" s="35"/>
      <c r="AK492" s="35"/>
    </row>
    <row r="493" ht="12.75" customHeight="1">
      <c r="A493" s="35"/>
      <c r="B493" s="35"/>
      <c r="C493" s="35"/>
      <c r="D493" s="35"/>
      <c r="E493" s="35"/>
      <c r="F493" s="35"/>
      <c r="G493" s="35"/>
      <c r="H493" s="35"/>
      <c r="I493" s="35"/>
      <c r="J493" s="35"/>
      <c r="K493" s="35"/>
      <c r="L493" s="35"/>
      <c r="M493" s="35"/>
      <c r="N493" s="35"/>
      <c r="O493" s="35"/>
      <c r="P493" s="35"/>
      <c r="Q493" s="35"/>
      <c r="R493" s="35"/>
      <c r="S493" s="35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D493" s="35"/>
      <c r="AE493" s="35"/>
      <c r="AF493" s="35"/>
      <c r="AG493" s="35"/>
      <c r="AH493" s="35"/>
      <c r="AI493" s="35"/>
      <c r="AJ493" s="35"/>
      <c r="AK493" s="35"/>
    </row>
    <row r="494" ht="12.75" customHeight="1">
      <c r="A494" s="35"/>
      <c r="B494" s="35"/>
      <c r="C494" s="35"/>
      <c r="D494" s="35"/>
      <c r="E494" s="35"/>
      <c r="F494" s="35"/>
      <c r="G494" s="35"/>
      <c r="H494" s="35"/>
      <c r="I494" s="35"/>
      <c r="J494" s="35"/>
      <c r="K494" s="35"/>
      <c r="L494" s="35"/>
      <c r="M494" s="35"/>
      <c r="N494" s="35"/>
      <c r="O494" s="35"/>
      <c r="P494" s="35"/>
      <c r="Q494" s="35"/>
      <c r="R494" s="35"/>
      <c r="S494" s="35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D494" s="35"/>
      <c r="AE494" s="35"/>
      <c r="AF494" s="35"/>
      <c r="AG494" s="35"/>
      <c r="AH494" s="35"/>
      <c r="AI494" s="35"/>
      <c r="AJ494" s="35"/>
      <c r="AK494" s="35"/>
    </row>
    <row r="495" ht="12.75" customHeight="1">
      <c r="A495" s="35"/>
      <c r="B495" s="35"/>
      <c r="C495" s="35"/>
      <c r="D495" s="35"/>
      <c r="E495" s="35"/>
      <c r="F495" s="35"/>
      <c r="G495" s="35"/>
      <c r="H495" s="35"/>
      <c r="I495" s="35"/>
      <c r="J495" s="35"/>
      <c r="K495" s="35"/>
      <c r="L495" s="35"/>
      <c r="M495" s="35"/>
      <c r="N495" s="35"/>
      <c r="O495" s="35"/>
      <c r="P495" s="35"/>
      <c r="Q495" s="35"/>
      <c r="R495" s="35"/>
      <c r="S495" s="35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D495" s="35"/>
      <c r="AE495" s="35"/>
      <c r="AF495" s="35"/>
      <c r="AG495" s="35"/>
      <c r="AH495" s="35"/>
      <c r="AI495" s="35"/>
      <c r="AJ495" s="35"/>
      <c r="AK495" s="35"/>
    </row>
    <row r="496" ht="12.75" customHeight="1">
      <c r="A496" s="35"/>
      <c r="B496" s="35"/>
      <c r="C496" s="35"/>
      <c r="D496" s="35"/>
      <c r="E496" s="35"/>
      <c r="F496" s="35"/>
      <c r="G496" s="35"/>
      <c r="H496" s="35"/>
      <c r="I496" s="35"/>
      <c r="J496" s="35"/>
      <c r="K496" s="35"/>
      <c r="L496" s="35"/>
      <c r="M496" s="35"/>
      <c r="N496" s="35"/>
      <c r="O496" s="35"/>
      <c r="P496" s="35"/>
      <c r="Q496" s="35"/>
      <c r="R496" s="35"/>
      <c r="S496" s="35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D496" s="35"/>
      <c r="AE496" s="35"/>
      <c r="AF496" s="35"/>
      <c r="AG496" s="35"/>
      <c r="AH496" s="35"/>
      <c r="AI496" s="35"/>
      <c r="AJ496" s="35"/>
      <c r="AK496" s="35"/>
    </row>
    <row r="497" ht="12.75" customHeight="1">
      <c r="A497" s="35"/>
      <c r="B497" s="35"/>
      <c r="C497" s="35"/>
      <c r="D497" s="35"/>
      <c r="E497" s="35"/>
      <c r="F497" s="35"/>
      <c r="G497" s="35"/>
      <c r="H497" s="35"/>
      <c r="I497" s="35"/>
      <c r="J497" s="35"/>
      <c r="K497" s="35"/>
      <c r="L497" s="35"/>
      <c r="M497" s="35"/>
      <c r="N497" s="35"/>
      <c r="O497" s="35"/>
      <c r="P497" s="35"/>
      <c r="Q497" s="35"/>
      <c r="R497" s="35"/>
      <c r="S497" s="35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D497" s="35"/>
      <c r="AE497" s="35"/>
      <c r="AF497" s="35"/>
      <c r="AG497" s="35"/>
      <c r="AH497" s="35"/>
      <c r="AI497" s="35"/>
      <c r="AJ497" s="35"/>
      <c r="AK497" s="35"/>
    </row>
    <row r="498" ht="12.75" customHeight="1">
      <c r="A498" s="35"/>
      <c r="B498" s="35"/>
      <c r="C498" s="35"/>
      <c r="D498" s="35"/>
      <c r="E498" s="35"/>
      <c r="F498" s="35"/>
      <c r="G498" s="35"/>
      <c r="H498" s="35"/>
      <c r="I498" s="35"/>
      <c r="J498" s="35"/>
      <c r="K498" s="35"/>
      <c r="L498" s="35"/>
      <c r="M498" s="35"/>
      <c r="N498" s="35"/>
      <c r="O498" s="35"/>
      <c r="P498" s="35"/>
      <c r="Q498" s="35"/>
      <c r="R498" s="35"/>
      <c r="S498" s="35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D498" s="35"/>
      <c r="AE498" s="35"/>
      <c r="AF498" s="35"/>
      <c r="AG498" s="35"/>
      <c r="AH498" s="35"/>
      <c r="AI498" s="35"/>
      <c r="AJ498" s="35"/>
      <c r="AK498" s="35"/>
    </row>
    <row r="499" ht="12.75" customHeight="1">
      <c r="A499" s="35"/>
      <c r="B499" s="35"/>
      <c r="C499" s="35"/>
      <c r="D499" s="35"/>
      <c r="E499" s="35"/>
      <c r="F499" s="35"/>
      <c r="G499" s="35"/>
      <c r="H499" s="35"/>
      <c r="I499" s="35"/>
      <c r="J499" s="35"/>
      <c r="K499" s="35"/>
      <c r="L499" s="35"/>
      <c r="M499" s="35"/>
      <c r="N499" s="35"/>
      <c r="O499" s="35"/>
      <c r="P499" s="35"/>
      <c r="Q499" s="35"/>
      <c r="R499" s="35"/>
      <c r="S499" s="35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D499" s="35"/>
      <c r="AE499" s="35"/>
      <c r="AF499" s="35"/>
      <c r="AG499" s="35"/>
      <c r="AH499" s="35"/>
      <c r="AI499" s="35"/>
      <c r="AJ499" s="35"/>
      <c r="AK499" s="35"/>
    </row>
    <row r="500" ht="12.75" customHeight="1">
      <c r="A500" s="35"/>
      <c r="B500" s="35"/>
      <c r="C500" s="35"/>
      <c r="D500" s="35"/>
      <c r="E500" s="35"/>
      <c r="F500" s="35"/>
      <c r="G500" s="35"/>
      <c r="H500" s="35"/>
      <c r="I500" s="35"/>
      <c r="J500" s="35"/>
      <c r="K500" s="35"/>
      <c r="L500" s="35"/>
      <c r="M500" s="35"/>
      <c r="N500" s="35"/>
      <c r="O500" s="35"/>
      <c r="P500" s="35"/>
      <c r="Q500" s="35"/>
      <c r="R500" s="35"/>
      <c r="S500" s="35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D500" s="35"/>
      <c r="AE500" s="35"/>
      <c r="AF500" s="35"/>
      <c r="AG500" s="35"/>
      <c r="AH500" s="35"/>
      <c r="AI500" s="35"/>
      <c r="AJ500" s="35"/>
      <c r="AK500" s="35"/>
    </row>
    <row r="501" ht="12.75" customHeight="1">
      <c r="A501" s="35"/>
      <c r="B501" s="35"/>
      <c r="C501" s="35"/>
      <c r="D501" s="35"/>
      <c r="E501" s="35"/>
      <c r="F501" s="35"/>
      <c r="G501" s="35"/>
      <c r="H501" s="35"/>
      <c r="I501" s="35"/>
      <c r="J501" s="35"/>
      <c r="K501" s="35"/>
      <c r="L501" s="35"/>
      <c r="M501" s="35"/>
      <c r="N501" s="35"/>
      <c r="O501" s="35"/>
      <c r="P501" s="35"/>
      <c r="Q501" s="35"/>
      <c r="R501" s="35"/>
      <c r="S501" s="35"/>
      <c r="T501" s="35"/>
      <c r="U501" s="35"/>
      <c r="V501" s="35"/>
      <c r="W501" s="35"/>
      <c r="X501" s="35"/>
      <c r="Y501" s="35"/>
      <c r="Z501" s="35"/>
      <c r="AA501" s="35"/>
      <c r="AB501" s="35"/>
      <c r="AC501" s="35"/>
      <c r="AD501" s="35"/>
      <c r="AE501" s="35"/>
      <c r="AF501" s="35"/>
      <c r="AG501" s="35"/>
      <c r="AH501" s="35"/>
      <c r="AI501" s="35"/>
      <c r="AJ501" s="35"/>
      <c r="AK501" s="35"/>
    </row>
    <row r="502" ht="12.75" customHeight="1">
      <c r="A502" s="35"/>
      <c r="B502" s="35"/>
      <c r="C502" s="35"/>
      <c r="D502" s="35"/>
      <c r="E502" s="35"/>
      <c r="F502" s="35"/>
      <c r="G502" s="35"/>
      <c r="H502" s="35"/>
      <c r="I502" s="35"/>
      <c r="J502" s="35"/>
      <c r="K502" s="35"/>
      <c r="L502" s="35"/>
      <c r="M502" s="35"/>
      <c r="N502" s="35"/>
      <c r="O502" s="35"/>
      <c r="P502" s="35"/>
      <c r="Q502" s="35"/>
      <c r="R502" s="35"/>
      <c r="S502" s="35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D502" s="35"/>
      <c r="AE502" s="35"/>
      <c r="AF502" s="35"/>
      <c r="AG502" s="35"/>
      <c r="AH502" s="35"/>
      <c r="AI502" s="35"/>
      <c r="AJ502" s="35"/>
      <c r="AK502" s="35"/>
    </row>
    <row r="503" ht="12.75" customHeight="1">
      <c r="A503" s="35"/>
      <c r="B503" s="35"/>
      <c r="C503" s="35"/>
      <c r="D503" s="35"/>
      <c r="E503" s="35"/>
      <c r="F503" s="35"/>
      <c r="G503" s="35"/>
      <c r="H503" s="35"/>
      <c r="I503" s="35"/>
      <c r="J503" s="35"/>
      <c r="K503" s="35"/>
      <c r="L503" s="35"/>
      <c r="M503" s="35"/>
      <c r="N503" s="35"/>
      <c r="O503" s="35"/>
      <c r="P503" s="35"/>
      <c r="Q503" s="35"/>
      <c r="R503" s="35"/>
      <c r="S503" s="35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D503" s="35"/>
      <c r="AE503" s="35"/>
      <c r="AF503" s="35"/>
      <c r="AG503" s="35"/>
      <c r="AH503" s="35"/>
      <c r="AI503" s="35"/>
      <c r="AJ503" s="35"/>
      <c r="AK503" s="35"/>
    </row>
    <row r="504" ht="12.75" customHeight="1">
      <c r="A504" s="35"/>
      <c r="B504" s="35"/>
      <c r="C504" s="35"/>
      <c r="D504" s="35"/>
      <c r="E504" s="35"/>
      <c r="F504" s="35"/>
      <c r="G504" s="35"/>
      <c r="H504" s="35"/>
      <c r="I504" s="35"/>
      <c r="J504" s="35"/>
      <c r="K504" s="35"/>
      <c r="L504" s="35"/>
      <c r="M504" s="35"/>
      <c r="N504" s="35"/>
      <c r="O504" s="35"/>
      <c r="P504" s="35"/>
      <c r="Q504" s="35"/>
      <c r="R504" s="35"/>
      <c r="S504" s="35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D504" s="35"/>
      <c r="AE504" s="35"/>
      <c r="AF504" s="35"/>
      <c r="AG504" s="35"/>
      <c r="AH504" s="35"/>
      <c r="AI504" s="35"/>
      <c r="AJ504" s="35"/>
      <c r="AK504" s="35"/>
    </row>
    <row r="505" ht="12.75" customHeight="1">
      <c r="A505" s="35"/>
      <c r="B505" s="35"/>
      <c r="C505" s="35"/>
      <c r="D505" s="35"/>
      <c r="E505" s="35"/>
      <c r="F505" s="35"/>
      <c r="G505" s="35"/>
      <c r="H505" s="35"/>
      <c r="I505" s="35"/>
      <c r="J505" s="35"/>
      <c r="K505" s="35"/>
      <c r="L505" s="35"/>
      <c r="M505" s="35"/>
      <c r="N505" s="35"/>
      <c r="O505" s="35"/>
      <c r="P505" s="35"/>
      <c r="Q505" s="35"/>
      <c r="R505" s="35"/>
      <c r="S505" s="35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D505" s="35"/>
      <c r="AE505" s="35"/>
      <c r="AF505" s="35"/>
      <c r="AG505" s="35"/>
      <c r="AH505" s="35"/>
      <c r="AI505" s="35"/>
      <c r="AJ505" s="35"/>
      <c r="AK505" s="35"/>
    </row>
    <row r="506" ht="12.75" customHeight="1">
      <c r="A506" s="35"/>
      <c r="B506" s="35"/>
      <c r="C506" s="35"/>
      <c r="D506" s="35"/>
      <c r="E506" s="35"/>
      <c r="F506" s="35"/>
      <c r="G506" s="35"/>
      <c r="H506" s="35"/>
      <c r="I506" s="35"/>
      <c r="J506" s="35"/>
      <c r="K506" s="35"/>
      <c r="L506" s="35"/>
      <c r="M506" s="35"/>
      <c r="N506" s="35"/>
      <c r="O506" s="35"/>
      <c r="P506" s="35"/>
      <c r="Q506" s="35"/>
      <c r="R506" s="35"/>
      <c r="S506" s="35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D506" s="35"/>
      <c r="AE506" s="35"/>
      <c r="AF506" s="35"/>
      <c r="AG506" s="35"/>
      <c r="AH506" s="35"/>
      <c r="AI506" s="35"/>
      <c r="AJ506" s="35"/>
      <c r="AK506" s="35"/>
    </row>
    <row r="507" ht="12.75" customHeight="1">
      <c r="A507" s="35"/>
      <c r="B507" s="35"/>
      <c r="C507" s="35"/>
      <c r="D507" s="35"/>
      <c r="E507" s="35"/>
      <c r="F507" s="35"/>
      <c r="G507" s="35"/>
      <c r="H507" s="35"/>
      <c r="I507" s="35"/>
      <c r="J507" s="35"/>
      <c r="K507" s="35"/>
      <c r="L507" s="35"/>
      <c r="M507" s="35"/>
      <c r="N507" s="35"/>
      <c r="O507" s="35"/>
      <c r="P507" s="35"/>
      <c r="Q507" s="35"/>
      <c r="R507" s="35"/>
      <c r="S507" s="35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D507" s="35"/>
      <c r="AE507" s="35"/>
      <c r="AF507" s="35"/>
      <c r="AG507" s="35"/>
      <c r="AH507" s="35"/>
      <c r="AI507" s="35"/>
      <c r="AJ507" s="35"/>
      <c r="AK507" s="35"/>
    </row>
    <row r="508" ht="12.75" customHeight="1">
      <c r="A508" s="35"/>
      <c r="B508" s="35"/>
      <c r="C508" s="35"/>
      <c r="D508" s="35"/>
      <c r="E508" s="35"/>
      <c r="F508" s="35"/>
      <c r="G508" s="35"/>
      <c r="H508" s="35"/>
      <c r="I508" s="35"/>
      <c r="J508" s="35"/>
      <c r="K508" s="35"/>
      <c r="L508" s="35"/>
      <c r="M508" s="35"/>
      <c r="N508" s="35"/>
      <c r="O508" s="35"/>
      <c r="P508" s="35"/>
      <c r="Q508" s="35"/>
      <c r="R508" s="35"/>
      <c r="S508" s="35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D508" s="35"/>
      <c r="AE508" s="35"/>
      <c r="AF508" s="35"/>
      <c r="AG508" s="35"/>
      <c r="AH508" s="35"/>
      <c r="AI508" s="35"/>
      <c r="AJ508" s="35"/>
      <c r="AK508" s="35"/>
    </row>
    <row r="509" ht="12.75" customHeight="1">
      <c r="A509" s="35"/>
      <c r="B509" s="35"/>
      <c r="C509" s="35"/>
      <c r="D509" s="35"/>
      <c r="E509" s="35"/>
      <c r="F509" s="35"/>
      <c r="G509" s="35"/>
      <c r="H509" s="35"/>
      <c r="I509" s="35"/>
      <c r="J509" s="35"/>
      <c r="K509" s="35"/>
      <c r="L509" s="35"/>
      <c r="M509" s="35"/>
      <c r="N509" s="35"/>
      <c r="O509" s="35"/>
      <c r="P509" s="35"/>
      <c r="Q509" s="35"/>
      <c r="R509" s="35"/>
      <c r="S509" s="35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D509" s="35"/>
      <c r="AE509" s="35"/>
      <c r="AF509" s="35"/>
      <c r="AG509" s="35"/>
      <c r="AH509" s="35"/>
      <c r="AI509" s="35"/>
      <c r="AJ509" s="35"/>
      <c r="AK509" s="35"/>
    </row>
    <row r="510" ht="12.75" customHeight="1">
      <c r="A510" s="35"/>
      <c r="B510" s="35"/>
      <c r="C510" s="35"/>
      <c r="D510" s="35"/>
      <c r="E510" s="35"/>
      <c r="F510" s="35"/>
      <c r="G510" s="35"/>
      <c r="H510" s="35"/>
      <c r="I510" s="35"/>
      <c r="J510" s="35"/>
      <c r="K510" s="35"/>
      <c r="L510" s="35"/>
      <c r="M510" s="35"/>
      <c r="N510" s="35"/>
      <c r="O510" s="35"/>
      <c r="P510" s="35"/>
      <c r="Q510" s="35"/>
      <c r="R510" s="35"/>
      <c r="S510" s="35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D510" s="35"/>
      <c r="AE510" s="35"/>
      <c r="AF510" s="35"/>
      <c r="AG510" s="35"/>
      <c r="AH510" s="35"/>
      <c r="AI510" s="35"/>
      <c r="AJ510" s="35"/>
      <c r="AK510" s="35"/>
    </row>
    <row r="511" ht="12.75" customHeight="1">
      <c r="A511" s="35"/>
      <c r="B511" s="35"/>
      <c r="C511" s="35"/>
      <c r="D511" s="35"/>
      <c r="E511" s="35"/>
      <c r="F511" s="35"/>
      <c r="G511" s="35"/>
      <c r="H511" s="35"/>
      <c r="I511" s="35"/>
      <c r="J511" s="35"/>
      <c r="K511" s="35"/>
      <c r="L511" s="35"/>
      <c r="M511" s="35"/>
      <c r="N511" s="35"/>
      <c r="O511" s="35"/>
      <c r="P511" s="35"/>
      <c r="Q511" s="35"/>
      <c r="R511" s="35"/>
      <c r="S511" s="35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D511" s="35"/>
      <c r="AE511" s="35"/>
      <c r="AF511" s="35"/>
      <c r="AG511" s="35"/>
      <c r="AH511" s="35"/>
      <c r="AI511" s="35"/>
      <c r="AJ511" s="35"/>
      <c r="AK511" s="35"/>
    </row>
    <row r="512" ht="12.75" customHeight="1">
      <c r="A512" s="35"/>
      <c r="B512" s="35"/>
      <c r="C512" s="35"/>
      <c r="D512" s="35"/>
      <c r="E512" s="35"/>
      <c r="F512" s="35"/>
      <c r="G512" s="35"/>
      <c r="H512" s="35"/>
      <c r="I512" s="35"/>
      <c r="J512" s="35"/>
      <c r="K512" s="35"/>
      <c r="L512" s="35"/>
      <c r="M512" s="35"/>
      <c r="N512" s="35"/>
      <c r="O512" s="35"/>
      <c r="P512" s="35"/>
      <c r="Q512" s="35"/>
      <c r="R512" s="35"/>
      <c r="S512" s="35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D512" s="35"/>
      <c r="AE512" s="35"/>
      <c r="AF512" s="35"/>
      <c r="AG512" s="35"/>
      <c r="AH512" s="35"/>
      <c r="AI512" s="35"/>
      <c r="AJ512" s="35"/>
      <c r="AK512" s="35"/>
    </row>
    <row r="513" ht="12.75" customHeight="1">
      <c r="A513" s="35"/>
      <c r="B513" s="35"/>
      <c r="C513" s="35"/>
      <c r="D513" s="35"/>
      <c r="E513" s="35"/>
      <c r="F513" s="35"/>
      <c r="G513" s="35"/>
      <c r="H513" s="35"/>
      <c r="I513" s="35"/>
      <c r="J513" s="35"/>
      <c r="K513" s="35"/>
      <c r="L513" s="35"/>
      <c r="M513" s="35"/>
      <c r="N513" s="35"/>
      <c r="O513" s="35"/>
      <c r="P513" s="35"/>
      <c r="Q513" s="35"/>
      <c r="R513" s="35"/>
      <c r="S513" s="35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D513" s="35"/>
      <c r="AE513" s="35"/>
      <c r="AF513" s="35"/>
      <c r="AG513" s="35"/>
      <c r="AH513" s="35"/>
      <c r="AI513" s="35"/>
      <c r="AJ513" s="35"/>
      <c r="AK513" s="35"/>
    </row>
    <row r="514" ht="12.75" customHeight="1">
      <c r="A514" s="35"/>
      <c r="B514" s="35"/>
      <c r="C514" s="35"/>
      <c r="D514" s="35"/>
      <c r="E514" s="35"/>
      <c r="F514" s="35"/>
      <c r="G514" s="35"/>
      <c r="H514" s="35"/>
      <c r="I514" s="35"/>
      <c r="J514" s="35"/>
      <c r="K514" s="35"/>
      <c r="L514" s="35"/>
      <c r="M514" s="35"/>
      <c r="N514" s="35"/>
      <c r="O514" s="35"/>
      <c r="P514" s="35"/>
      <c r="Q514" s="35"/>
      <c r="R514" s="35"/>
      <c r="S514" s="35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D514" s="35"/>
      <c r="AE514" s="35"/>
      <c r="AF514" s="35"/>
      <c r="AG514" s="35"/>
      <c r="AH514" s="35"/>
      <c r="AI514" s="35"/>
      <c r="AJ514" s="35"/>
      <c r="AK514" s="35"/>
    </row>
    <row r="515" ht="12.75" customHeight="1">
      <c r="A515" s="35"/>
      <c r="B515" s="35"/>
      <c r="C515" s="35"/>
      <c r="D515" s="35"/>
      <c r="E515" s="35"/>
      <c r="F515" s="35"/>
      <c r="G515" s="35"/>
      <c r="H515" s="35"/>
      <c r="I515" s="35"/>
      <c r="J515" s="35"/>
      <c r="K515" s="35"/>
      <c r="L515" s="35"/>
      <c r="M515" s="35"/>
      <c r="N515" s="35"/>
      <c r="O515" s="35"/>
      <c r="P515" s="35"/>
      <c r="Q515" s="35"/>
      <c r="R515" s="35"/>
      <c r="S515" s="35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D515" s="35"/>
      <c r="AE515" s="35"/>
      <c r="AF515" s="35"/>
      <c r="AG515" s="35"/>
      <c r="AH515" s="35"/>
      <c r="AI515" s="35"/>
      <c r="AJ515" s="35"/>
      <c r="AK515" s="35"/>
    </row>
    <row r="516" ht="12.75" customHeight="1">
      <c r="A516" s="35"/>
      <c r="B516" s="35"/>
      <c r="C516" s="35"/>
      <c r="D516" s="35"/>
      <c r="E516" s="35"/>
      <c r="F516" s="35"/>
      <c r="G516" s="35"/>
      <c r="H516" s="35"/>
      <c r="I516" s="35"/>
      <c r="J516" s="35"/>
      <c r="K516" s="35"/>
      <c r="L516" s="35"/>
      <c r="M516" s="35"/>
      <c r="N516" s="35"/>
      <c r="O516" s="35"/>
      <c r="P516" s="35"/>
      <c r="Q516" s="35"/>
      <c r="R516" s="35"/>
      <c r="S516" s="35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D516" s="35"/>
      <c r="AE516" s="35"/>
      <c r="AF516" s="35"/>
      <c r="AG516" s="35"/>
      <c r="AH516" s="35"/>
      <c r="AI516" s="35"/>
      <c r="AJ516" s="35"/>
      <c r="AK516" s="35"/>
    </row>
    <row r="517" ht="12.75" customHeight="1">
      <c r="A517" s="35"/>
      <c r="B517" s="35"/>
      <c r="C517" s="35"/>
      <c r="D517" s="35"/>
      <c r="E517" s="35"/>
      <c r="F517" s="35"/>
      <c r="G517" s="35"/>
      <c r="H517" s="35"/>
      <c r="I517" s="35"/>
      <c r="J517" s="35"/>
      <c r="K517" s="35"/>
      <c r="L517" s="35"/>
      <c r="M517" s="35"/>
      <c r="N517" s="35"/>
      <c r="O517" s="35"/>
      <c r="P517" s="35"/>
      <c r="Q517" s="35"/>
      <c r="R517" s="35"/>
      <c r="S517" s="35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D517" s="35"/>
      <c r="AE517" s="35"/>
      <c r="AF517" s="35"/>
      <c r="AG517" s="35"/>
      <c r="AH517" s="35"/>
      <c r="AI517" s="35"/>
      <c r="AJ517" s="35"/>
      <c r="AK517" s="35"/>
    </row>
    <row r="518" ht="12.75" customHeight="1">
      <c r="A518" s="35"/>
      <c r="B518" s="35"/>
      <c r="C518" s="35"/>
      <c r="D518" s="35"/>
      <c r="E518" s="35"/>
      <c r="F518" s="35"/>
      <c r="G518" s="35"/>
      <c r="H518" s="35"/>
      <c r="I518" s="35"/>
      <c r="J518" s="35"/>
      <c r="K518" s="35"/>
      <c r="L518" s="35"/>
      <c r="M518" s="35"/>
      <c r="N518" s="35"/>
      <c r="O518" s="35"/>
      <c r="P518" s="35"/>
      <c r="Q518" s="35"/>
      <c r="R518" s="35"/>
      <c r="S518" s="35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D518" s="35"/>
      <c r="AE518" s="35"/>
      <c r="AF518" s="35"/>
      <c r="AG518" s="35"/>
      <c r="AH518" s="35"/>
      <c r="AI518" s="35"/>
      <c r="AJ518" s="35"/>
      <c r="AK518" s="35"/>
    </row>
    <row r="519" ht="12.75" customHeight="1">
      <c r="A519" s="35"/>
      <c r="B519" s="35"/>
      <c r="C519" s="35"/>
      <c r="D519" s="35"/>
      <c r="E519" s="35"/>
      <c r="F519" s="35"/>
      <c r="G519" s="35"/>
      <c r="H519" s="35"/>
      <c r="I519" s="35"/>
      <c r="J519" s="35"/>
      <c r="K519" s="35"/>
      <c r="L519" s="35"/>
      <c r="M519" s="35"/>
      <c r="N519" s="35"/>
      <c r="O519" s="35"/>
      <c r="P519" s="35"/>
      <c r="Q519" s="35"/>
      <c r="R519" s="35"/>
      <c r="S519" s="35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D519" s="35"/>
      <c r="AE519" s="35"/>
      <c r="AF519" s="35"/>
      <c r="AG519" s="35"/>
      <c r="AH519" s="35"/>
      <c r="AI519" s="35"/>
      <c r="AJ519" s="35"/>
      <c r="AK519" s="35"/>
    </row>
    <row r="520" ht="12.75" customHeight="1">
      <c r="A520" s="35"/>
      <c r="B520" s="35"/>
      <c r="C520" s="35"/>
      <c r="D520" s="35"/>
      <c r="E520" s="35"/>
      <c r="F520" s="35"/>
      <c r="G520" s="35"/>
      <c r="H520" s="35"/>
      <c r="I520" s="35"/>
      <c r="J520" s="35"/>
      <c r="K520" s="35"/>
      <c r="L520" s="35"/>
      <c r="M520" s="35"/>
      <c r="N520" s="35"/>
      <c r="O520" s="35"/>
      <c r="P520" s="35"/>
      <c r="Q520" s="35"/>
      <c r="R520" s="35"/>
      <c r="S520" s="35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D520" s="35"/>
      <c r="AE520" s="35"/>
      <c r="AF520" s="35"/>
      <c r="AG520" s="35"/>
      <c r="AH520" s="35"/>
      <c r="AI520" s="35"/>
      <c r="AJ520" s="35"/>
      <c r="AK520" s="35"/>
    </row>
    <row r="521" ht="12.75" customHeight="1">
      <c r="A521" s="35"/>
      <c r="B521" s="35"/>
      <c r="C521" s="35"/>
      <c r="D521" s="35"/>
      <c r="E521" s="35"/>
      <c r="F521" s="35"/>
      <c r="G521" s="35"/>
      <c r="H521" s="35"/>
      <c r="I521" s="35"/>
      <c r="J521" s="35"/>
      <c r="K521" s="35"/>
      <c r="L521" s="35"/>
      <c r="M521" s="35"/>
      <c r="N521" s="35"/>
      <c r="O521" s="35"/>
      <c r="P521" s="35"/>
      <c r="Q521" s="35"/>
      <c r="R521" s="35"/>
      <c r="S521" s="35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D521" s="35"/>
      <c r="AE521" s="35"/>
      <c r="AF521" s="35"/>
      <c r="AG521" s="35"/>
      <c r="AH521" s="35"/>
      <c r="AI521" s="35"/>
      <c r="AJ521" s="35"/>
      <c r="AK521" s="35"/>
    </row>
    <row r="522" ht="12.75" customHeight="1">
      <c r="A522" s="35"/>
      <c r="B522" s="35"/>
      <c r="C522" s="35"/>
      <c r="D522" s="35"/>
      <c r="E522" s="35"/>
      <c r="F522" s="35"/>
      <c r="G522" s="35"/>
      <c r="H522" s="35"/>
      <c r="I522" s="35"/>
      <c r="J522" s="35"/>
      <c r="K522" s="35"/>
      <c r="L522" s="35"/>
      <c r="M522" s="35"/>
      <c r="N522" s="35"/>
      <c r="O522" s="35"/>
      <c r="P522" s="35"/>
      <c r="Q522" s="35"/>
      <c r="R522" s="35"/>
      <c r="S522" s="35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D522" s="35"/>
      <c r="AE522" s="35"/>
      <c r="AF522" s="35"/>
      <c r="AG522" s="35"/>
      <c r="AH522" s="35"/>
      <c r="AI522" s="35"/>
      <c r="AJ522" s="35"/>
      <c r="AK522" s="35"/>
    </row>
    <row r="523" ht="12.75" customHeight="1">
      <c r="A523" s="35"/>
      <c r="B523" s="35"/>
      <c r="C523" s="35"/>
      <c r="D523" s="35"/>
      <c r="E523" s="35"/>
      <c r="F523" s="35"/>
      <c r="G523" s="35"/>
      <c r="H523" s="35"/>
      <c r="I523" s="35"/>
      <c r="J523" s="35"/>
      <c r="K523" s="35"/>
      <c r="L523" s="35"/>
      <c r="M523" s="35"/>
      <c r="N523" s="35"/>
      <c r="O523" s="35"/>
      <c r="P523" s="35"/>
      <c r="Q523" s="35"/>
      <c r="R523" s="35"/>
      <c r="S523" s="35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D523" s="35"/>
      <c r="AE523" s="35"/>
      <c r="AF523" s="35"/>
      <c r="AG523" s="35"/>
      <c r="AH523" s="35"/>
      <c r="AI523" s="35"/>
      <c r="AJ523" s="35"/>
      <c r="AK523" s="35"/>
    </row>
    <row r="524" ht="12.75" customHeight="1">
      <c r="A524" s="35"/>
      <c r="B524" s="35"/>
      <c r="C524" s="35"/>
      <c r="D524" s="35"/>
      <c r="E524" s="35"/>
      <c r="F524" s="35"/>
      <c r="G524" s="35"/>
      <c r="H524" s="35"/>
      <c r="I524" s="35"/>
      <c r="J524" s="35"/>
      <c r="K524" s="35"/>
      <c r="L524" s="35"/>
      <c r="M524" s="35"/>
      <c r="N524" s="35"/>
      <c r="O524" s="35"/>
      <c r="P524" s="35"/>
      <c r="Q524" s="35"/>
      <c r="R524" s="35"/>
      <c r="S524" s="35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D524" s="35"/>
      <c r="AE524" s="35"/>
      <c r="AF524" s="35"/>
      <c r="AG524" s="35"/>
      <c r="AH524" s="35"/>
      <c r="AI524" s="35"/>
      <c r="AJ524" s="35"/>
      <c r="AK524" s="35"/>
    </row>
    <row r="525" ht="12.75" customHeight="1">
      <c r="A525" s="35"/>
      <c r="B525" s="35"/>
      <c r="C525" s="35"/>
      <c r="D525" s="35"/>
      <c r="E525" s="35"/>
      <c r="F525" s="35"/>
      <c r="G525" s="35"/>
      <c r="H525" s="35"/>
      <c r="I525" s="35"/>
      <c r="J525" s="35"/>
      <c r="K525" s="35"/>
      <c r="L525" s="35"/>
      <c r="M525" s="35"/>
      <c r="N525" s="35"/>
      <c r="O525" s="35"/>
      <c r="P525" s="35"/>
      <c r="Q525" s="35"/>
      <c r="R525" s="35"/>
      <c r="S525" s="35"/>
      <c r="T525" s="35"/>
      <c r="U525" s="35"/>
      <c r="V525" s="35"/>
      <c r="W525" s="35"/>
      <c r="X525" s="35"/>
      <c r="Y525" s="35"/>
      <c r="Z525" s="35"/>
      <c r="AA525" s="35"/>
      <c r="AB525" s="35"/>
      <c r="AC525" s="35"/>
      <c r="AD525" s="35"/>
      <c r="AE525" s="35"/>
      <c r="AF525" s="35"/>
      <c r="AG525" s="35"/>
      <c r="AH525" s="35"/>
      <c r="AI525" s="35"/>
      <c r="AJ525" s="35"/>
      <c r="AK525" s="35"/>
    </row>
    <row r="526" ht="12.75" customHeight="1">
      <c r="A526" s="35"/>
      <c r="B526" s="35"/>
      <c r="C526" s="35"/>
      <c r="D526" s="35"/>
      <c r="E526" s="35"/>
      <c r="F526" s="35"/>
      <c r="G526" s="35"/>
      <c r="H526" s="35"/>
      <c r="I526" s="35"/>
      <c r="J526" s="35"/>
      <c r="K526" s="35"/>
      <c r="L526" s="35"/>
      <c r="M526" s="35"/>
      <c r="N526" s="35"/>
      <c r="O526" s="35"/>
      <c r="P526" s="35"/>
      <c r="Q526" s="35"/>
      <c r="R526" s="35"/>
      <c r="S526" s="35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D526" s="35"/>
      <c r="AE526" s="35"/>
      <c r="AF526" s="35"/>
      <c r="AG526" s="35"/>
      <c r="AH526" s="35"/>
      <c r="AI526" s="35"/>
      <c r="AJ526" s="35"/>
      <c r="AK526" s="35"/>
    </row>
    <row r="527" ht="12.75" customHeight="1">
      <c r="A527" s="35"/>
      <c r="B527" s="35"/>
      <c r="C527" s="35"/>
      <c r="D527" s="35"/>
      <c r="E527" s="35"/>
      <c r="F527" s="35"/>
      <c r="G527" s="35"/>
      <c r="H527" s="35"/>
      <c r="I527" s="35"/>
      <c r="J527" s="35"/>
      <c r="K527" s="35"/>
      <c r="L527" s="35"/>
      <c r="M527" s="35"/>
      <c r="N527" s="35"/>
      <c r="O527" s="35"/>
      <c r="P527" s="35"/>
      <c r="Q527" s="35"/>
      <c r="R527" s="35"/>
      <c r="S527" s="35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D527" s="35"/>
      <c r="AE527" s="35"/>
      <c r="AF527" s="35"/>
      <c r="AG527" s="35"/>
      <c r="AH527" s="35"/>
      <c r="AI527" s="35"/>
      <c r="AJ527" s="35"/>
      <c r="AK527" s="35"/>
    </row>
    <row r="528" ht="12.75" customHeight="1">
      <c r="A528" s="35"/>
      <c r="B528" s="35"/>
      <c r="C528" s="35"/>
      <c r="D528" s="35"/>
      <c r="E528" s="35"/>
      <c r="F528" s="35"/>
      <c r="G528" s="35"/>
      <c r="H528" s="35"/>
      <c r="I528" s="35"/>
      <c r="J528" s="35"/>
      <c r="K528" s="35"/>
      <c r="L528" s="35"/>
      <c r="M528" s="35"/>
      <c r="N528" s="35"/>
      <c r="O528" s="35"/>
      <c r="P528" s="35"/>
      <c r="Q528" s="35"/>
      <c r="R528" s="35"/>
      <c r="S528" s="35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D528" s="35"/>
      <c r="AE528" s="35"/>
      <c r="AF528" s="35"/>
      <c r="AG528" s="35"/>
      <c r="AH528" s="35"/>
      <c r="AI528" s="35"/>
      <c r="AJ528" s="35"/>
      <c r="AK528" s="35"/>
    </row>
    <row r="529" ht="12.75" customHeight="1">
      <c r="A529" s="35"/>
      <c r="B529" s="35"/>
      <c r="C529" s="35"/>
      <c r="D529" s="35"/>
      <c r="E529" s="35"/>
      <c r="F529" s="35"/>
      <c r="G529" s="35"/>
      <c r="H529" s="35"/>
      <c r="I529" s="35"/>
      <c r="J529" s="35"/>
      <c r="K529" s="35"/>
      <c r="L529" s="35"/>
      <c r="M529" s="35"/>
      <c r="N529" s="35"/>
      <c r="O529" s="35"/>
      <c r="P529" s="35"/>
      <c r="Q529" s="35"/>
      <c r="R529" s="35"/>
      <c r="S529" s="35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D529" s="35"/>
      <c r="AE529" s="35"/>
      <c r="AF529" s="35"/>
      <c r="AG529" s="35"/>
      <c r="AH529" s="35"/>
      <c r="AI529" s="35"/>
      <c r="AJ529" s="35"/>
      <c r="AK529" s="35"/>
    </row>
    <row r="530" ht="12.75" customHeight="1">
      <c r="A530" s="35"/>
      <c r="B530" s="35"/>
      <c r="C530" s="35"/>
      <c r="D530" s="35"/>
      <c r="E530" s="35"/>
      <c r="F530" s="35"/>
      <c r="G530" s="35"/>
      <c r="H530" s="35"/>
      <c r="I530" s="35"/>
      <c r="J530" s="35"/>
      <c r="K530" s="35"/>
      <c r="L530" s="35"/>
      <c r="M530" s="35"/>
      <c r="N530" s="35"/>
      <c r="O530" s="35"/>
      <c r="P530" s="35"/>
      <c r="Q530" s="35"/>
      <c r="R530" s="35"/>
      <c r="S530" s="35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D530" s="35"/>
      <c r="AE530" s="35"/>
      <c r="AF530" s="35"/>
      <c r="AG530" s="35"/>
      <c r="AH530" s="35"/>
      <c r="AI530" s="35"/>
      <c r="AJ530" s="35"/>
      <c r="AK530" s="35"/>
    </row>
    <row r="531" ht="12.75" customHeight="1">
      <c r="A531" s="35"/>
      <c r="B531" s="35"/>
      <c r="C531" s="35"/>
      <c r="D531" s="35"/>
      <c r="E531" s="35"/>
      <c r="F531" s="35"/>
      <c r="G531" s="35"/>
      <c r="H531" s="35"/>
      <c r="I531" s="35"/>
      <c r="J531" s="35"/>
      <c r="K531" s="35"/>
      <c r="L531" s="35"/>
      <c r="M531" s="35"/>
      <c r="N531" s="35"/>
      <c r="O531" s="35"/>
      <c r="P531" s="35"/>
      <c r="Q531" s="35"/>
      <c r="R531" s="35"/>
      <c r="S531" s="35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D531" s="35"/>
      <c r="AE531" s="35"/>
      <c r="AF531" s="35"/>
      <c r="AG531" s="35"/>
      <c r="AH531" s="35"/>
      <c r="AI531" s="35"/>
      <c r="AJ531" s="35"/>
      <c r="AK531" s="35"/>
    </row>
    <row r="532" ht="12.75" customHeight="1">
      <c r="A532" s="35"/>
      <c r="B532" s="35"/>
      <c r="C532" s="35"/>
      <c r="D532" s="35"/>
      <c r="E532" s="35"/>
      <c r="F532" s="35"/>
      <c r="G532" s="35"/>
      <c r="H532" s="35"/>
      <c r="I532" s="35"/>
      <c r="J532" s="35"/>
      <c r="K532" s="35"/>
      <c r="L532" s="35"/>
      <c r="M532" s="35"/>
      <c r="N532" s="35"/>
      <c r="O532" s="35"/>
      <c r="P532" s="35"/>
      <c r="Q532" s="35"/>
      <c r="R532" s="35"/>
      <c r="S532" s="35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D532" s="35"/>
      <c r="AE532" s="35"/>
      <c r="AF532" s="35"/>
      <c r="AG532" s="35"/>
      <c r="AH532" s="35"/>
      <c r="AI532" s="35"/>
      <c r="AJ532" s="35"/>
      <c r="AK532" s="35"/>
    </row>
    <row r="533" ht="12.75" customHeight="1">
      <c r="A533" s="35"/>
      <c r="B533" s="35"/>
      <c r="C533" s="35"/>
      <c r="D533" s="35"/>
      <c r="E533" s="35"/>
      <c r="F533" s="35"/>
      <c r="G533" s="35"/>
      <c r="H533" s="35"/>
      <c r="I533" s="35"/>
      <c r="J533" s="35"/>
      <c r="K533" s="35"/>
      <c r="L533" s="35"/>
      <c r="M533" s="35"/>
      <c r="N533" s="35"/>
      <c r="O533" s="35"/>
      <c r="P533" s="35"/>
      <c r="Q533" s="35"/>
      <c r="R533" s="35"/>
      <c r="S533" s="35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D533" s="35"/>
      <c r="AE533" s="35"/>
      <c r="AF533" s="35"/>
      <c r="AG533" s="35"/>
      <c r="AH533" s="35"/>
      <c r="AI533" s="35"/>
      <c r="AJ533" s="35"/>
      <c r="AK533" s="35"/>
    </row>
    <row r="534" ht="12.75" customHeight="1">
      <c r="A534" s="35"/>
      <c r="B534" s="35"/>
      <c r="C534" s="35"/>
      <c r="D534" s="35"/>
      <c r="E534" s="35"/>
      <c r="F534" s="35"/>
      <c r="G534" s="35"/>
      <c r="H534" s="35"/>
      <c r="I534" s="35"/>
      <c r="J534" s="35"/>
      <c r="K534" s="35"/>
      <c r="L534" s="35"/>
      <c r="M534" s="35"/>
      <c r="N534" s="35"/>
      <c r="O534" s="35"/>
      <c r="P534" s="35"/>
      <c r="Q534" s="35"/>
      <c r="R534" s="35"/>
      <c r="S534" s="35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D534" s="35"/>
      <c r="AE534" s="35"/>
      <c r="AF534" s="35"/>
      <c r="AG534" s="35"/>
      <c r="AH534" s="35"/>
      <c r="AI534" s="35"/>
      <c r="AJ534" s="35"/>
      <c r="AK534" s="35"/>
    </row>
    <row r="535" ht="12.75" customHeight="1">
      <c r="A535" s="35"/>
      <c r="B535" s="35"/>
      <c r="C535" s="35"/>
      <c r="D535" s="35"/>
      <c r="E535" s="35"/>
      <c r="F535" s="35"/>
      <c r="G535" s="35"/>
      <c r="H535" s="35"/>
      <c r="I535" s="35"/>
      <c r="J535" s="35"/>
      <c r="K535" s="35"/>
      <c r="L535" s="35"/>
      <c r="M535" s="35"/>
      <c r="N535" s="35"/>
      <c r="O535" s="35"/>
      <c r="P535" s="35"/>
      <c r="Q535" s="35"/>
      <c r="R535" s="35"/>
      <c r="S535" s="35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D535" s="35"/>
      <c r="AE535" s="35"/>
      <c r="AF535" s="35"/>
      <c r="AG535" s="35"/>
      <c r="AH535" s="35"/>
      <c r="AI535" s="35"/>
      <c r="AJ535" s="35"/>
      <c r="AK535" s="35"/>
    </row>
    <row r="536" ht="12.75" customHeight="1">
      <c r="A536" s="35"/>
      <c r="B536" s="35"/>
      <c r="C536" s="35"/>
      <c r="D536" s="35"/>
      <c r="E536" s="35"/>
      <c r="F536" s="35"/>
      <c r="G536" s="35"/>
      <c r="H536" s="35"/>
      <c r="I536" s="35"/>
      <c r="J536" s="35"/>
      <c r="K536" s="35"/>
      <c r="L536" s="35"/>
      <c r="M536" s="35"/>
      <c r="N536" s="35"/>
      <c r="O536" s="35"/>
      <c r="P536" s="35"/>
      <c r="Q536" s="35"/>
      <c r="R536" s="35"/>
      <c r="S536" s="35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D536" s="35"/>
      <c r="AE536" s="35"/>
      <c r="AF536" s="35"/>
      <c r="AG536" s="35"/>
      <c r="AH536" s="35"/>
      <c r="AI536" s="35"/>
      <c r="AJ536" s="35"/>
      <c r="AK536" s="35"/>
    </row>
    <row r="537" ht="12.75" customHeight="1">
      <c r="A537" s="35"/>
      <c r="B537" s="35"/>
      <c r="C537" s="35"/>
      <c r="D537" s="35"/>
      <c r="E537" s="35"/>
      <c r="F537" s="35"/>
      <c r="G537" s="35"/>
      <c r="H537" s="35"/>
      <c r="I537" s="35"/>
      <c r="J537" s="35"/>
      <c r="K537" s="35"/>
      <c r="L537" s="35"/>
      <c r="M537" s="35"/>
      <c r="N537" s="35"/>
      <c r="O537" s="35"/>
      <c r="P537" s="35"/>
      <c r="Q537" s="35"/>
      <c r="R537" s="35"/>
      <c r="S537" s="35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D537" s="35"/>
      <c r="AE537" s="35"/>
      <c r="AF537" s="35"/>
      <c r="AG537" s="35"/>
      <c r="AH537" s="35"/>
      <c r="AI537" s="35"/>
      <c r="AJ537" s="35"/>
      <c r="AK537" s="35"/>
    </row>
    <row r="538" ht="12.75" customHeight="1">
      <c r="A538" s="35"/>
      <c r="B538" s="35"/>
      <c r="C538" s="35"/>
      <c r="D538" s="35"/>
      <c r="E538" s="35"/>
      <c r="F538" s="35"/>
      <c r="G538" s="35"/>
      <c r="H538" s="35"/>
      <c r="I538" s="35"/>
      <c r="J538" s="35"/>
      <c r="K538" s="35"/>
      <c r="L538" s="35"/>
      <c r="M538" s="35"/>
      <c r="N538" s="35"/>
      <c r="O538" s="35"/>
      <c r="P538" s="35"/>
      <c r="Q538" s="35"/>
      <c r="R538" s="35"/>
      <c r="S538" s="35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D538" s="35"/>
      <c r="AE538" s="35"/>
      <c r="AF538" s="35"/>
      <c r="AG538" s="35"/>
      <c r="AH538" s="35"/>
      <c r="AI538" s="35"/>
      <c r="AJ538" s="35"/>
      <c r="AK538" s="35"/>
    </row>
    <row r="539" ht="12.75" customHeight="1">
      <c r="A539" s="35"/>
      <c r="B539" s="35"/>
      <c r="C539" s="35"/>
      <c r="D539" s="35"/>
      <c r="E539" s="35"/>
      <c r="F539" s="35"/>
      <c r="G539" s="35"/>
      <c r="H539" s="35"/>
      <c r="I539" s="35"/>
      <c r="J539" s="35"/>
      <c r="K539" s="35"/>
      <c r="L539" s="35"/>
      <c r="M539" s="35"/>
      <c r="N539" s="35"/>
      <c r="O539" s="35"/>
      <c r="P539" s="35"/>
      <c r="Q539" s="35"/>
      <c r="R539" s="35"/>
      <c r="S539" s="35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D539" s="35"/>
      <c r="AE539" s="35"/>
      <c r="AF539" s="35"/>
      <c r="AG539" s="35"/>
      <c r="AH539" s="35"/>
      <c r="AI539" s="35"/>
      <c r="AJ539" s="35"/>
      <c r="AK539" s="35"/>
    </row>
    <row r="540" ht="12.75" customHeight="1">
      <c r="A540" s="35"/>
      <c r="B540" s="35"/>
      <c r="C540" s="35"/>
      <c r="D540" s="35"/>
      <c r="E540" s="35"/>
      <c r="F540" s="35"/>
      <c r="G540" s="35"/>
      <c r="H540" s="35"/>
      <c r="I540" s="35"/>
      <c r="J540" s="35"/>
      <c r="K540" s="35"/>
      <c r="L540" s="35"/>
      <c r="M540" s="35"/>
      <c r="N540" s="35"/>
      <c r="O540" s="35"/>
      <c r="P540" s="35"/>
      <c r="Q540" s="35"/>
      <c r="R540" s="35"/>
      <c r="S540" s="35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D540" s="35"/>
      <c r="AE540" s="35"/>
      <c r="AF540" s="35"/>
      <c r="AG540" s="35"/>
      <c r="AH540" s="35"/>
      <c r="AI540" s="35"/>
      <c r="AJ540" s="35"/>
      <c r="AK540" s="35"/>
    </row>
    <row r="541" ht="12.75" customHeight="1">
      <c r="A541" s="35"/>
      <c r="B541" s="35"/>
      <c r="C541" s="35"/>
      <c r="D541" s="35"/>
      <c r="E541" s="35"/>
      <c r="F541" s="35"/>
      <c r="G541" s="35"/>
      <c r="H541" s="35"/>
      <c r="I541" s="35"/>
      <c r="J541" s="35"/>
      <c r="K541" s="35"/>
      <c r="L541" s="35"/>
      <c r="M541" s="35"/>
      <c r="N541" s="35"/>
      <c r="O541" s="35"/>
      <c r="P541" s="35"/>
      <c r="Q541" s="35"/>
      <c r="R541" s="35"/>
      <c r="S541" s="35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D541" s="35"/>
      <c r="AE541" s="35"/>
      <c r="AF541" s="35"/>
      <c r="AG541" s="35"/>
      <c r="AH541" s="35"/>
      <c r="AI541" s="35"/>
      <c r="AJ541" s="35"/>
      <c r="AK541" s="35"/>
    </row>
    <row r="542" ht="12.75" customHeight="1">
      <c r="A542" s="35"/>
      <c r="B542" s="35"/>
      <c r="C542" s="35"/>
      <c r="D542" s="35"/>
      <c r="E542" s="35"/>
      <c r="F542" s="35"/>
      <c r="G542" s="35"/>
      <c r="H542" s="35"/>
      <c r="I542" s="35"/>
      <c r="J542" s="35"/>
      <c r="K542" s="35"/>
      <c r="L542" s="35"/>
      <c r="M542" s="35"/>
      <c r="N542" s="35"/>
      <c r="O542" s="35"/>
      <c r="P542" s="35"/>
      <c r="Q542" s="35"/>
      <c r="R542" s="35"/>
      <c r="S542" s="35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D542" s="35"/>
      <c r="AE542" s="35"/>
      <c r="AF542" s="35"/>
      <c r="AG542" s="35"/>
      <c r="AH542" s="35"/>
      <c r="AI542" s="35"/>
      <c r="AJ542" s="35"/>
      <c r="AK542" s="35"/>
    </row>
    <row r="543" ht="12.75" customHeight="1">
      <c r="A543" s="35"/>
      <c r="B543" s="35"/>
      <c r="C543" s="35"/>
      <c r="D543" s="35"/>
      <c r="E543" s="35"/>
      <c r="F543" s="35"/>
      <c r="G543" s="35"/>
      <c r="H543" s="35"/>
      <c r="I543" s="35"/>
      <c r="J543" s="35"/>
      <c r="K543" s="35"/>
      <c r="L543" s="35"/>
      <c r="M543" s="35"/>
      <c r="N543" s="35"/>
      <c r="O543" s="35"/>
      <c r="P543" s="35"/>
      <c r="Q543" s="35"/>
      <c r="R543" s="35"/>
      <c r="S543" s="35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D543" s="35"/>
      <c r="AE543" s="35"/>
      <c r="AF543" s="35"/>
      <c r="AG543" s="35"/>
      <c r="AH543" s="35"/>
      <c r="AI543" s="35"/>
      <c r="AJ543" s="35"/>
      <c r="AK543" s="35"/>
    </row>
    <row r="544" ht="12.75" customHeight="1">
      <c r="A544" s="35"/>
      <c r="B544" s="35"/>
      <c r="C544" s="35"/>
      <c r="D544" s="35"/>
      <c r="E544" s="35"/>
      <c r="F544" s="35"/>
      <c r="G544" s="35"/>
      <c r="H544" s="35"/>
      <c r="I544" s="35"/>
      <c r="J544" s="35"/>
      <c r="K544" s="35"/>
      <c r="L544" s="35"/>
      <c r="M544" s="35"/>
      <c r="N544" s="35"/>
      <c r="O544" s="35"/>
      <c r="P544" s="35"/>
      <c r="Q544" s="35"/>
      <c r="R544" s="35"/>
      <c r="S544" s="35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D544" s="35"/>
      <c r="AE544" s="35"/>
      <c r="AF544" s="35"/>
      <c r="AG544" s="35"/>
      <c r="AH544" s="35"/>
      <c r="AI544" s="35"/>
      <c r="AJ544" s="35"/>
      <c r="AK544" s="35"/>
    </row>
    <row r="545" ht="12.75" customHeight="1">
      <c r="A545" s="35"/>
      <c r="B545" s="35"/>
      <c r="C545" s="35"/>
      <c r="D545" s="35"/>
      <c r="E545" s="35"/>
      <c r="F545" s="35"/>
      <c r="G545" s="35"/>
      <c r="H545" s="35"/>
      <c r="I545" s="35"/>
      <c r="J545" s="35"/>
      <c r="K545" s="35"/>
      <c r="L545" s="35"/>
      <c r="M545" s="35"/>
      <c r="N545" s="35"/>
      <c r="O545" s="35"/>
      <c r="P545" s="35"/>
      <c r="Q545" s="35"/>
      <c r="R545" s="35"/>
      <c r="S545" s="35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D545" s="35"/>
      <c r="AE545" s="35"/>
      <c r="AF545" s="35"/>
      <c r="AG545" s="35"/>
      <c r="AH545" s="35"/>
      <c r="AI545" s="35"/>
      <c r="AJ545" s="35"/>
      <c r="AK545" s="35"/>
    </row>
    <row r="546" ht="12.75" customHeight="1">
      <c r="A546" s="35"/>
      <c r="B546" s="35"/>
      <c r="C546" s="35"/>
      <c r="D546" s="35"/>
      <c r="E546" s="35"/>
      <c r="F546" s="35"/>
      <c r="G546" s="35"/>
      <c r="H546" s="35"/>
      <c r="I546" s="35"/>
      <c r="J546" s="35"/>
      <c r="K546" s="35"/>
      <c r="L546" s="35"/>
      <c r="M546" s="35"/>
      <c r="N546" s="35"/>
      <c r="O546" s="35"/>
      <c r="P546" s="35"/>
      <c r="Q546" s="35"/>
      <c r="R546" s="35"/>
      <c r="S546" s="35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D546" s="35"/>
      <c r="AE546" s="35"/>
      <c r="AF546" s="35"/>
      <c r="AG546" s="35"/>
      <c r="AH546" s="35"/>
      <c r="AI546" s="35"/>
      <c r="AJ546" s="35"/>
      <c r="AK546" s="35"/>
    </row>
    <row r="547" ht="12.75" customHeight="1">
      <c r="A547" s="35"/>
      <c r="B547" s="35"/>
      <c r="C547" s="35"/>
      <c r="D547" s="35"/>
      <c r="E547" s="35"/>
      <c r="F547" s="35"/>
      <c r="G547" s="35"/>
      <c r="H547" s="35"/>
      <c r="I547" s="35"/>
      <c r="J547" s="35"/>
      <c r="K547" s="35"/>
      <c r="L547" s="35"/>
      <c r="M547" s="35"/>
      <c r="N547" s="35"/>
      <c r="O547" s="35"/>
      <c r="P547" s="35"/>
      <c r="Q547" s="35"/>
      <c r="R547" s="35"/>
      <c r="S547" s="35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D547" s="35"/>
      <c r="AE547" s="35"/>
      <c r="AF547" s="35"/>
      <c r="AG547" s="35"/>
      <c r="AH547" s="35"/>
      <c r="AI547" s="35"/>
      <c r="AJ547" s="35"/>
      <c r="AK547" s="35"/>
    </row>
    <row r="548" ht="12.75" customHeight="1">
      <c r="A548" s="35"/>
      <c r="B548" s="35"/>
      <c r="C548" s="35"/>
      <c r="D548" s="35"/>
      <c r="E548" s="35"/>
      <c r="F548" s="35"/>
      <c r="G548" s="35"/>
      <c r="H548" s="35"/>
      <c r="I548" s="35"/>
      <c r="J548" s="35"/>
      <c r="K548" s="35"/>
      <c r="L548" s="35"/>
      <c r="M548" s="35"/>
      <c r="N548" s="35"/>
      <c r="O548" s="35"/>
      <c r="P548" s="35"/>
      <c r="Q548" s="35"/>
      <c r="R548" s="35"/>
      <c r="S548" s="35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D548" s="35"/>
      <c r="AE548" s="35"/>
      <c r="AF548" s="35"/>
      <c r="AG548" s="35"/>
      <c r="AH548" s="35"/>
      <c r="AI548" s="35"/>
      <c r="AJ548" s="35"/>
      <c r="AK548" s="35"/>
    </row>
    <row r="549" ht="12.75" customHeight="1">
      <c r="A549" s="35"/>
      <c r="B549" s="35"/>
      <c r="C549" s="35"/>
      <c r="D549" s="35"/>
      <c r="E549" s="35"/>
      <c r="F549" s="35"/>
      <c r="G549" s="35"/>
      <c r="H549" s="35"/>
      <c r="I549" s="35"/>
      <c r="J549" s="35"/>
      <c r="K549" s="35"/>
      <c r="L549" s="35"/>
      <c r="M549" s="35"/>
      <c r="N549" s="35"/>
      <c r="O549" s="35"/>
      <c r="P549" s="35"/>
      <c r="Q549" s="35"/>
      <c r="R549" s="35"/>
      <c r="S549" s="35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D549" s="35"/>
      <c r="AE549" s="35"/>
      <c r="AF549" s="35"/>
      <c r="AG549" s="35"/>
      <c r="AH549" s="35"/>
      <c r="AI549" s="35"/>
      <c r="AJ549" s="35"/>
      <c r="AK549" s="35"/>
    </row>
    <row r="550" ht="12.75" customHeight="1">
      <c r="A550" s="35"/>
      <c r="B550" s="35"/>
      <c r="C550" s="35"/>
      <c r="D550" s="35"/>
      <c r="E550" s="35"/>
      <c r="F550" s="35"/>
      <c r="G550" s="35"/>
      <c r="H550" s="35"/>
      <c r="I550" s="35"/>
      <c r="J550" s="35"/>
      <c r="K550" s="35"/>
      <c r="L550" s="35"/>
      <c r="M550" s="35"/>
      <c r="N550" s="35"/>
      <c r="O550" s="35"/>
      <c r="P550" s="35"/>
      <c r="Q550" s="35"/>
      <c r="R550" s="35"/>
      <c r="S550" s="35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D550" s="35"/>
      <c r="AE550" s="35"/>
      <c r="AF550" s="35"/>
      <c r="AG550" s="35"/>
      <c r="AH550" s="35"/>
      <c r="AI550" s="35"/>
      <c r="AJ550" s="35"/>
      <c r="AK550" s="35"/>
    </row>
    <row r="551" ht="12.75" customHeight="1">
      <c r="A551" s="35"/>
      <c r="B551" s="35"/>
      <c r="C551" s="35"/>
      <c r="D551" s="35"/>
      <c r="E551" s="35"/>
      <c r="F551" s="35"/>
      <c r="G551" s="35"/>
      <c r="H551" s="35"/>
      <c r="I551" s="35"/>
      <c r="J551" s="35"/>
      <c r="K551" s="35"/>
      <c r="L551" s="35"/>
      <c r="M551" s="35"/>
      <c r="N551" s="35"/>
      <c r="O551" s="35"/>
      <c r="P551" s="35"/>
      <c r="Q551" s="35"/>
      <c r="R551" s="35"/>
      <c r="S551" s="35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D551" s="35"/>
      <c r="AE551" s="35"/>
      <c r="AF551" s="35"/>
      <c r="AG551" s="35"/>
      <c r="AH551" s="35"/>
      <c r="AI551" s="35"/>
      <c r="AJ551" s="35"/>
      <c r="AK551" s="35"/>
    </row>
    <row r="552" ht="12.75" customHeight="1">
      <c r="A552" s="35"/>
      <c r="B552" s="35"/>
      <c r="C552" s="35"/>
      <c r="D552" s="35"/>
      <c r="E552" s="35"/>
      <c r="F552" s="35"/>
      <c r="G552" s="35"/>
      <c r="H552" s="35"/>
      <c r="I552" s="35"/>
      <c r="J552" s="35"/>
      <c r="K552" s="35"/>
      <c r="L552" s="35"/>
      <c r="M552" s="35"/>
      <c r="N552" s="35"/>
      <c r="O552" s="35"/>
      <c r="P552" s="35"/>
      <c r="Q552" s="35"/>
      <c r="R552" s="35"/>
      <c r="S552" s="35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D552" s="35"/>
      <c r="AE552" s="35"/>
      <c r="AF552" s="35"/>
      <c r="AG552" s="35"/>
      <c r="AH552" s="35"/>
      <c r="AI552" s="35"/>
      <c r="AJ552" s="35"/>
      <c r="AK552" s="35"/>
    </row>
    <row r="553" ht="12.75" customHeight="1">
      <c r="A553" s="35"/>
      <c r="B553" s="35"/>
      <c r="C553" s="35"/>
      <c r="D553" s="35"/>
      <c r="E553" s="35"/>
      <c r="F553" s="35"/>
      <c r="G553" s="35"/>
      <c r="H553" s="35"/>
      <c r="I553" s="35"/>
      <c r="J553" s="35"/>
      <c r="K553" s="35"/>
      <c r="L553" s="35"/>
      <c r="M553" s="35"/>
      <c r="N553" s="35"/>
      <c r="O553" s="35"/>
      <c r="P553" s="35"/>
      <c r="Q553" s="35"/>
      <c r="R553" s="35"/>
      <c r="S553" s="35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D553" s="35"/>
      <c r="AE553" s="35"/>
      <c r="AF553" s="35"/>
      <c r="AG553" s="35"/>
      <c r="AH553" s="35"/>
      <c r="AI553" s="35"/>
      <c r="AJ553" s="35"/>
      <c r="AK553" s="35"/>
    </row>
    <row r="554" ht="12.75" customHeight="1">
      <c r="A554" s="35"/>
      <c r="B554" s="35"/>
      <c r="C554" s="35"/>
      <c r="D554" s="35"/>
      <c r="E554" s="35"/>
      <c r="F554" s="35"/>
      <c r="G554" s="35"/>
      <c r="H554" s="35"/>
      <c r="I554" s="35"/>
      <c r="J554" s="35"/>
      <c r="K554" s="35"/>
      <c r="L554" s="35"/>
      <c r="M554" s="35"/>
      <c r="N554" s="35"/>
      <c r="O554" s="35"/>
      <c r="P554" s="35"/>
      <c r="Q554" s="35"/>
      <c r="R554" s="35"/>
      <c r="S554" s="35"/>
      <c r="T554" s="35"/>
      <c r="U554" s="35"/>
      <c r="V554" s="35"/>
      <c r="W554" s="35"/>
      <c r="X554" s="35"/>
      <c r="Y554" s="35"/>
      <c r="Z554" s="35"/>
      <c r="AA554" s="35"/>
      <c r="AB554" s="35"/>
      <c r="AC554" s="35"/>
      <c r="AD554" s="35"/>
      <c r="AE554" s="35"/>
      <c r="AF554" s="35"/>
      <c r="AG554" s="35"/>
      <c r="AH554" s="35"/>
      <c r="AI554" s="35"/>
      <c r="AJ554" s="35"/>
      <c r="AK554" s="35"/>
    </row>
    <row r="555" ht="12.75" customHeight="1">
      <c r="A555" s="35"/>
      <c r="B555" s="35"/>
      <c r="C555" s="35"/>
      <c r="D555" s="35"/>
      <c r="E555" s="35"/>
      <c r="F555" s="35"/>
      <c r="G555" s="35"/>
      <c r="H555" s="35"/>
      <c r="I555" s="35"/>
      <c r="J555" s="35"/>
      <c r="K555" s="35"/>
      <c r="L555" s="35"/>
      <c r="M555" s="35"/>
      <c r="N555" s="35"/>
      <c r="O555" s="35"/>
      <c r="P555" s="35"/>
      <c r="Q555" s="35"/>
      <c r="R555" s="35"/>
      <c r="S555" s="35"/>
      <c r="T555" s="35"/>
      <c r="U555" s="35"/>
      <c r="V555" s="35"/>
      <c r="W555" s="35"/>
      <c r="X555" s="35"/>
      <c r="Y555" s="35"/>
      <c r="Z555" s="35"/>
      <c r="AA555" s="35"/>
      <c r="AB555" s="35"/>
      <c r="AC555" s="35"/>
      <c r="AD555" s="35"/>
      <c r="AE555" s="35"/>
      <c r="AF555" s="35"/>
      <c r="AG555" s="35"/>
      <c r="AH555" s="35"/>
      <c r="AI555" s="35"/>
      <c r="AJ555" s="35"/>
      <c r="AK555" s="35"/>
    </row>
    <row r="556" ht="12.75" customHeight="1">
      <c r="A556" s="35"/>
      <c r="B556" s="35"/>
      <c r="C556" s="35"/>
      <c r="D556" s="35"/>
      <c r="E556" s="35"/>
      <c r="F556" s="35"/>
      <c r="G556" s="35"/>
      <c r="H556" s="35"/>
      <c r="I556" s="35"/>
      <c r="J556" s="35"/>
      <c r="K556" s="35"/>
      <c r="L556" s="35"/>
      <c r="M556" s="35"/>
      <c r="N556" s="35"/>
      <c r="O556" s="35"/>
      <c r="P556" s="35"/>
      <c r="Q556" s="35"/>
      <c r="R556" s="35"/>
      <c r="S556" s="35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D556" s="35"/>
      <c r="AE556" s="35"/>
      <c r="AF556" s="35"/>
      <c r="AG556" s="35"/>
      <c r="AH556" s="35"/>
      <c r="AI556" s="35"/>
      <c r="AJ556" s="35"/>
      <c r="AK556" s="35"/>
    </row>
    <row r="557" ht="12.75" customHeight="1">
      <c r="A557" s="35"/>
      <c r="B557" s="35"/>
      <c r="C557" s="35"/>
      <c r="D557" s="35"/>
      <c r="E557" s="35"/>
      <c r="F557" s="35"/>
      <c r="G557" s="35"/>
      <c r="H557" s="35"/>
      <c r="I557" s="35"/>
      <c r="J557" s="35"/>
      <c r="K557" s="35"/>
      <c r="L557" s="35"/>
      <c r="M557" s="35"/>
      <c r="N557" s="35"/>
      <c r="O557" s="35"/>
      <c r="P557" s="35"/>
      <c r="Q557" s="35"/>
      <c r="R557" s="35"/>
      <c r="S557" s="35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D557" s="35"/>
      <c r="AE557" s="35"/>
      <c r="AF557" s="35"/>
      <c r="AG557" s="35"/>
      <c r="AH557" s="35"/>
      <c r="AI557" s="35"/>
      <c r="AJ557" s="35"/>
      <c r="AK557" s="35"/>
    </row>
    <row r="558" ht="12.75" customHeight="1">
      <c r="A558" s="35"/>
      <c r="B558" s="35"/>
      <c r="C558" s="35"/>
      <c r="D558" s="35"/>
      <c r="E558" s="35"/>
      <c r="F558" s="35"/>
      <c r="G558" s="35"/>
      <c r="H558" s="35"/>
      <c r="I558" s="35"/>
      <c r="J558" s="35"/>
      <c r="K558" s="35"/>
      <c r="L558" s="35"/>
      <c r="M558" s="35"/>
      <c r="N558" s="35"/>
      <c r="O558" s="35"/>
      <c r="P558" s="35"/>
      <c r="Q558" s="35"/>
      <c r="R558" s="35"/>
      <c r="S558" s="35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D558" s="35"/>
      <c r="AE558" s="35"/>
      <c r="AF558" s="35"/>
      <c r="AG558" s="35"/>
      <c r="AH558" s="35"/>
      <c r="AI558" s="35"/>
      <c r="AJ558" s="35"/>
      <c r="AK558" s="35"/>
    </row>
    <row r="559" ht="12.75" customHeight="1">
      <c r="A559" s="35"/>
      <c r="B559" s="35"/>
      <c r="C559" s="35"/>
      <c r="D559" s="35"/>
      <c r="E559" s="35"/>
      <c r="F559" s="35"/>
      <c r="G559" s="35"/>
      <c r="H559" s="35"/>
      <c r="I559" s="35"/>
      <c r="J559" s="35"/>
      <c r="K559" s="35"/>
      <c r="L559" s="35"/>
      <c r="M559" s="35"/>
      <c r="N559" s="35"/>
      <c r="O559" s="35"/>
      <c r="P559" s="35"/>
      <c r="Q559" s="35"/>
      <c r="R559" s="35"/>
      <c r="S559" s="35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D559" s="35"/>
      <c r="AE559" s="35"/>
      <c r="AF559" s="35"/>
      <c r="AG559" s="35"/>
      <c r="AH559" s="35"/>
      <c r="AI559" s="35"/>
      <c r="AJ559" s="35"/>
      <c r="AK559" s="35"/>
    </row>
    <row r="560" ht="12.75" customHeight="1">
      <c r="A560" s="35"/>
      <c r="B560" s="35"/>
      <c r="C560" s="35"/>
      <c r="D560" s="35"/>
      <c r="E560" s="35"/>
      <c r="F560" s="35"/>
      <c r="G560" s="35"/>
      <c r="H560" s="35"/>
      <c r="I560" s="35"/>
      <c r="J560" s="35"/>
      <c r="K560" s="35"/>
      <c r="L560" s="35"/>
      <c r="M560" s="35"/>
      <c r="N560" s="35"/>
      <c r="O560" s="35"/>
      <c r="P560" s="35"/>
      <c r="Q560" s="35"/>
      <c r="R560" s="35"/>
      <c r="S560" s="35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D560" s="35"/>
      <c r="AE560" s="35"/>
      <c r="AF560" s="35"/>
      <c r="AG560" s="35"/>
      <c r="AH560" s="35"/>
      <c r="AI560" s="35"/>
      <c r="AJ560" s="35"/>
      <c r="AK560" s="35"/>
    </row>
    <row r="561" ht="12.75" customHeight="1">
      <c r="A561" s="35"/>
      <c r="B561" s="35"/>
      <c r="C561" s="35"/>
      <c r="D561" s="35"/>
      <c r="E561" s="35"/>
      <c r="F561" s="35"/>
      <c r="G561" s="35"/>
      <c r="H561" s="35"/>
      <c r="I561" s="35"/>
      <c r="J561" s="35"/>
      <c r="K561" s="35"/>
      <c r="L561" s="35"/>
      <c r="M561" s="35"/>
      <c r="N561" s="35"/>
      <c r="O561" s="35"/>
      <c r="P561" s="35"/>
      <c r="Q561" s="35"/>
      <c r="R561" s="35"/>
      <c r="S561" s="35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D561" s="35"/>
      <c r="AE561" s="35"/>
      <c r="AF561" s="35"/>
      <c r="AG561" s="35"/>
      <c r="AH561" s="35"/>
      <c r="AI561" s="35"/>
      <c r="AJ561" s="35"/>
      <c r="AK561" s="35"/>
    </row>
    <row r="562" ht="12.75" customHeight="1">
      <c r="A562" s="35"/>
      <c r="B562" s="35"/>
      <c r="C562" s="35"/>
      <c r="D562" s="35"/>
      <c r="E562" s="35"/>
      <c r="F562" s="35"/>
      <c r="G562" s="35"/>
      <c r="H562" s="35"/>
      <c r="I562" s="35"/>
      <c r="J562" s="35"/>
      <c r="K562" s="35"/>
      <c r="L562" s="35"/>
      <c r="M562" s="35"/>
      <c r="N562" s="35"/>
      <c r="O562" s="35"/>
      <c r="P562" s="35"/>
      <c r="Q562" s="35"/>
      <c r="R562" s="35"/>
      <c r="S562" s="35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D562" s="35"/>
      <c r="AE562" s="35"/>
      <c r="AF562" s="35"/>
      <c r="AG562" s="35"/>
      <c r="AH562" s="35"/>
      <c r="AI562" s="35"/>
      <c r="AJ562" s="35"/>
      <c r="AK562" s="35"/>
    </row>
    <row r="563" ht="12.75" customHeight="1">
      <c r="A563" s="35"/>
      <c r="B563" s="35"/>
      <c r="C563" s="35"/>
      <c r="D563" s="35"/>
      <c r="E563" s="35"/>
      <c r="F563" s="35"/>
      <c r="G563" s="35"/>
      <c r="H563" s="35"/>
      <c r="I563" s="35"/>
      <c r="J563" s="35"/>
      <c r="K563" s="35"/>
      <c r="L563" s="35"/>
      <c r="M563" s="35"/>
      <c r="N563" s="35"/>
      <c r="O563" s="35"/>
      <c r="P563" s="35"/>
      <c r="Q563" s="35"/>
      <c r="R563" s="35"/>
      <c r="S563" s="35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D563" s="35"/>
      <c r="AE563" s="35"/>
      <c r="AF563" s="35"/>
      <c r="AG563" s="35"/>
      <c r="AH563" s="35"/>
      <c r="AI563" s="35"/>
      <c r="AJ563" s="35"/>
      <c r="AK563" s="35"/>
    </row>
    <row r="564" ht="12.75" customHeight="1">
      <c r="A564" s="35"/>
      <c r="B564" s="35"/>
      <c r="C564" s="35"/>
      <c r="D564" s="35"/>
      <c r="E564" s="35"/>
      <c r="F564" s="35"/>
      <c r="G564" s="35"/>
      <c r="H564" s="35"/>
      <c r="I564" s="35"/>
      <c r="J564" s="35"/>
      <c r="K564" s="35"/>
      <c r="L564" s="35"/>
      <c r="M564" s="35"/>
      <c r="N564" s="35"/>
      <c r="O564" s="35"/>
      <c r="P564" s="35"/>
      <c r="Q564" s="35"/>
      <c r="R564" s="35"/>
      <c r="S564" s="35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D564" s="35"/>
      <c r="AE564" s="35"/>
      <c r="AF564" s="35"/>
      <c r="AG564" s="35"/>
      <c r="AH564" s="35"/>
      <c r="AI564" s="35"/>
      <c r="AJ564" s="35"/>
      <c r="AK564" s="35"/>
    </row>
    <row r="565" ht="12.75" customHeight="1">
      <c r="A565" s="35"/>
      <c r="B565" s="35"/>
      <c r="C565" s="35"/>
      <c r="D565" s="35"/>
      <c r="E565" s="35"/>
      <c r="F565" s="35"/>
      <c r="G565" s="35"/>
      <c r="H565" s="35"/>
      <c r="I565" s="35"/>
      <c r="J565" s="35"/>
      <c r="K565" s="35"/>
      <c r="L565" s="35"/>
      <c r="M565" s="35"/>
      <c r="N565" s="35"/>
      <c r="O565" s="35"/>
      <c r="P565" s="35"/>
      <c r="Q565" s="35"/>
      <c r="R565" s="35"/>
      <c r="S565" s="35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D565" s="35"/>
      <c r="AE565" s="35"/>
      <c r="AF565" s="35"/>
      <c r="AG565" s="35"/>
      <c r="AH565" s="35"/>
      <c r="AI565" s="35"/>
      <c r="AJ565" s="35"/>
      <c r="AK565" s="35"/>
    </row>
    <row r="566" ht="12.75" customHeight="1">
      <c r="A566" s="35"/>
      <c r="B566" s="35"/>
      <c r="C566" s="35"/>
      <c r="D566" s="35"/>
      <c r="E566" s="35"/>
      <c r="F566" s="35"/>
      <c r="G566" s="35"/>
      <c r="H566" s="35"/>
      <c r="I566" s="35"/>
      <c r="J566" s="35"/>
      <c r="K566" s="35"/>
      <c r="L566" s="35"/>
      <c r="M566" s="35"/>
      <c r="N566" s="35"/>
      <c r="O566" s="35"/>
      <c r="P566" s="35"/>
      <c r="Q566" s="35"/>
      <c r="R566" s="35"/>
      <c r="S566" s="35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D566" s="35"/>
      <c r="AE566" s="35"/>
      <c r="AF566" s="35"/>
      <c r="AG566" s="35"/>
      <c r="AH566" s="35"/>
      <c r="AI566" s="35"/>
      <c r="AJ566" s="35"/>
      <c r="AK566" s="35"/>
    </row>
    <row r="567" ht="12.75" customHeight="1">
      <c r="A567" s="35"/>
      <c r="B567" s="35"/>
      <c r="C567" s="35"/>
      <c r="D567" s="35"/>
      <c r="E567" s="35"/>
      <c r="F567" s="35"/>
      <c r="G567" s="35"/>
      <c r="H567" s="35"/>
      <c r="I567" s="35"/>
      <c r="J567" s="35"/>
      <c r="K567" s="35"/>
      <c r="L567" s="35"/>
      <c r="M567" s="35"/>
      <c r="N567" s="35"/>
      <c r="O567" s="35"/>
      <c r="P567" s="35"/>
      <c r="Q567" s="35"/>
      <c r="R567" s="35"/>
      <c r="S567" s="35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D567" s="35"/>
      <c r="AE567" s="35"/>
      <c r="AF567" s="35"/>
      <c r="AG567" s="35"/>
      <c r="AH567" s="35"/>
      <c r="AI567" s="35"/>
      <c r="AJ567" s="35"/>
      <c r="AK567" s="35"/>
    </row>
    <row r="568" ht="12.75" customHeight="1">
      <c r="A568" s="35"/>
      <c r="B568" s="35"/>
      <c r="C568" s="35"/>
      <c r="D568" s="35"/>
      <c r="E568" s="35"/>
      <c r="F568" s="35"/>
      <c r="G568" s="35"/>
      <c r="H568" s="35"/>
      <c r="I568" s="35"/>
      <c r="J568" s="35"/>
      <c r="K568" s="35"/>
      <c r="L568" s="35"/>
      <c r="M568" s="35"/>
      <c r="N568" s="35"/>
      <c r="O568" s="35"/>
      <c r="P568" s="35"/>
      <c r="Q568" s="35"/>
      <c r="R568" s="35"/>
      <c r="S568" s="35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D568" s="35"/>
      <c r="AE568" s="35"/>
      <c r="AF568" s="35"/>
      <c r="AG568" s="35"/>
      <c r="AH568" s="35"/>
      <c r="AI568" s="35"/>
      <c r="AJ568" s="35"/>
      <c r="AK568" s="35"/>
    </row>
    <row r="569" ht="12.75" customHeight="1">
      <c r="A569" s="35"/>
      <c r="B569" s="35"/>
      <c r="C569" s="35"/>
      <c r="D569" s="35"/>
      <c r="E569" s="35"/>
      <c r="F569" s="35"/>
      <c r="G569" s="35"/>
      <c r="H569" s="35"/>
      <c r="I569" s="35"/>
      <c r="J569" s="35"/>
      <c r="K569" s="35"/>
      <c r="L569" s="35"/>
      <c r="M569" s="35"/>
      <c r="N569" s="35"/>
      <c r="O569" s="35"/>
      <c r="P569" s="35"/>
      <c r="Q569" s="35"/>
      <c r="R569" s="35"/>
      <c r="S569" s="35"/>
      <c r="T569" s="35"/>
      <c r="U569" s="35"/>
      <c r="V569" s="35"/>
      <c r="W569" s="35"/>
      <c r="X569" s="35"/>
      <c r="Y569" s="35"/>
      <c r="Z569" s="35"/>
      <c r="AA569" s="35"/>
      <c r="AB569" s="35"/>
      <c r="AC569" s="35"/>
      <c r="AD569" s="35"/>
      <c r="AE569" s="35"/>
      <c r="AF569" s="35"/>
      <c r="AG569" s="35"/>
      <c r="AH569" s="35"/>
      <c r="AI569" s="35"/>
      <c r="AJ569" s="35"/>
      <c r="AK569" s="35"/>
    </row>
    <row r="570" ht="12.75" customHeight="1">
      <c r="A570" s="35"/>
      <c r="B570" s="35"/>
      <c r="C570" s="35"/>
      <c r="D570" s="35"/>
      <c r="E570" s="35"/>
      <c r="F570" s="35"/>
      <c r="G570" s="35"/>
      <c r="H570" s="35"/>
      <c r="I570" s="35"/>
      <c r="J570" s="35"/>
      <c r="K570" s="35"/>
      <c r="L570" s="35"/>
      <c r="M570" s="35"/>
      <c r="N570" s="35"/>
      <c r="O570" s="35"/>
      <c r="P570" s="35"/>
      <c r="Q570" s="35"/>
      <c r="R570" s="35"/>
      <c r="S570" s="35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D570" s="35"/>
      <c r="AE570" s="35"/>
      <c r="AF570" s="35"/>
      <c r="AG570" s="35"/>
      <c r="AH570" s="35"/>
      <c r="AI570" s="35"/>
      <c r="AJ570" s="35"/>
      <c r="AK570" s="35"/>
    </row>
    <row r="571" ht="12.75" customHeight="1">
      <c r="A571" s="35"/>
      <c r="B571" s="35"/>
      <c r="C571" s="35"/>
      <c r="D571" s="35"/>
      <c r="E571" s="35"/>
      <c r="F571" s="35"/>
      <c r="G571" s="35"/>
      <c r="H571" s="35"/>
      <c r="I571" s="35"/>
      <c r="J571" s="35"/>
      <c r="K571" s="35"/>
      <c r="L571" s="35"/>
      <c r="M571" s="35"/>
      <c r="N571" s="35"/>
      <c r="O571" s="35"/>
      <c r="P571" s="35"/>
      <c r="Q571" s="35"/>
      <c r="R571" s="35"/>
      <c r="S571" s="35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D571" s="35"/>
      <c r="AE571" s="35"/>
      <c r="AF571" s="35"/>
      <c r="AG571" s="35"/>
      <c r="AH571" s="35"/>
      <c r="AI571" s="35"/>
      <c r="AJ571" s="35"/>
      <c r="AK571" s="35"/>
    </row>
    <row r="572" ht="12.75" customHeight="1">
      <c r="A572" s="35"/>
      <c r="B572" s="35"/>
      <c r="C572" s="35"/>
      <c r="D572" s="35"/>
      <c r="E572" s="35"/>
      <c r="F572" s="35"/>
      <c r="G572" s="35"/>
      <c r="H572" s="35"/>
      <c r="I572" s="35"/>
      <c r="J572" s="35"/>
      <c r="K572" s="35"/>
      <c r="L572" s="35"/>
      <c r="M572" s="35"/>
      <c r="N572" s="35"/>
      <c r="O572" s="35"/>
      <c r="P572" s="35"/>
      <c r="Q572" s="35"/>
      <c r="R572" s="35"/>
      <c r="S572" s="35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D572" s="35"/>
      <c r="AE572" s="35"/>
      <c r="AF572" s="35"/>
      <c r="AG572" s="35"/>
      <c r="AH572" s="35"/>
      <c r="AI572" s="35"/>
      <c r="AJ572" s="35"/>
      <c r="AK572" s="35"/>
    </row>
    <row r="573" ht="12.75" customHeight="1">
      <c r="A573" s="35"/>
      <c r="B573" s="35"/>
      <c r="C573" s="35"/>
      <c r="D573" s="35"/>
      <c r="E573" s="35"/>
      <c r="F573" s="35"/>
      <c r="G573" s="35"/>
      <c r="H573" s="35"/>
      <c r="I573" s="35"/>
      <c r="J573" s="35"/>
      <c r="K573" s="35"/>
      <c r="L573" s="35"/>
      <c r="M573" s="35"/>
      <c r="N573" s="35"/>
      <c r="O573" s="35"/>
      <c r="P573" s="35"/>
      <c r="Q573" s="35"/>
      <c r="R573" s="35"/>
      <c r="S573" s="35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D573" s="35"/>
      <c r="AE573" s="35"/>
      <c r="AF573" s="35"/>
      <c r="AG573" s="35"/>
      <c r="AH573" s="35"/>
      <c r="AI573" s="35"/>
      <c r="AJ573" s="35"/>
      <c r="AK573" s="35"/>
    </row>
    <row r="574" ht="12.75" customHeight="1">
      <c r="A574" s="35"/>
      <c r="B574" s="35"/>
      <c r="C574" s="35"/>
      <c r="D574" s="35"/>
      <c r="E574" s="35"/>
      <c r="F574" s="35"/>
      <c r="G574" s="35"/>
      <c r="H574" s="35"/>
      <c r="I574" s="35"/>
      <c r="J574" s="35"/>
      <c r="K574" s="35"/>
      <c r="L574" s="35"/>
      <c r="M574" s="35"/>
      <c r="N574" s="35"/>
      <c r="O574" s="35"/>
      <c r="P574" s="35"/>
      <c r="Q574" s="35"/>
      <c r="R574" s="35"/>
      <c r="S574" s="35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D574" s="35"/>
      <c r="AE574" s="35"/>
      <c r="AF574" s="35"/>
      <c r="AG574" s="35"/>
      <c r="AH574" s="35"/>
      <c r="AI574" s="35"/>
      <c r="AJ574" s="35"/>
      <c r="AK574" s="35"/>
    </row>
    <row r="575" ht="12.75" customHeight="1">
      <c r="A575" s="35"/>
      <c r="B575" s="35"/>
      <c r="C575" s="35"/>
      <c r="D575" s="35"/>
      <c r="E575" s="35"/>
      <c r="F575" s="35"/>
      <c r="G575" s="35"/>
      <c r="H575" s="35"/>
      <c r="I575" s="35"/>
      <c r="J575" s="35"/>
      <c r="K575" s="35"/>
      <c r="L575" s="35"/>
      <c r="M575" s="35"/>
      <c r="N575" s="35"/>
      <c r="O575" s="35"/>
      <c r="P575" s="35"/>
      <c r="Q575" s="35"/>
      <c r="R575" s="35"/>
      <c r="S575" s="35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D575" s="35"/>
      <c r="AE575" s="35"/>
      <c r="AF575" s="35"/>
      <c r="AG575" s="35"/>
      <c r="AH575" s="35"/>
      <c r="AI575" s="35"/>
      <c r="AJ575" s="35"/>
      <c r="AK575" s="35"/>
    </row>
    <row r="576" ht="12.75" customHeight="1">
      <c r="A576" s="35"/>
      <c r="B576" s="35"/>
      <c r="C576" s="35"/>
      <c r="D576" s="35"/>
      <c r="E576" s="35"/>
      <c r="F576" s="35"/>
      <c r="G576" s="35"/>
      <c r="H576" s="35"/>
      <c r="I576" s="35"/>
      <c r="J576" s="35"/>
      <c r="K576" s="35"/>
      <c r="L576" s="35"/>
      <c r="M576" s="35"/>
      <c r="N576" s="35"/>
      <c r="O576" s="35"/>
      <c r="P576" s="35"/>
      <c r="Q576" s="35"/>
      <c r="R576" s="35"/>
      <c r="S576" s="35"/>
      <c r="T576" s="35"/>
      <c r="U576" s="35"/>
      <c r="V576" s="35"/>
      <c r="W576" s="35"/>
      <c r="X576" s="35"/>
      <c r="Y576" s="35"/>
      <c r="Z576" s="35"/>
      <c r="AA576" s="35"/>
      <c r="AB576" s="35"/>
      <c r="AC576" s="35"/>
      <c r="AD576" s="35"/>
      <c r="AE576" s="35"/>
      <c r="AF576" s="35"/>
      <c r="AG576" s="35"/>
      <c r="AH576" s="35"/>
      <c r="AI576" s="35"/>
      <c r="AJ576" s="35"/>
      <c r="AK576" s="35"/>
    </row>
    <row r="577" ht="12.75" customHeight="1">
      <c r="A577" s="35"/>
      <c r="B577" s="35"/>
      <c r="C577" s="35"/>
      <c r="D577" s="35"/>
      <c r="E577" s="35"/>
      <c r="F577" s="35"/>
      <c r="G577" s="35"/>
      <c r="H577" s="35"/>
      <c r="I577" s="35"/>
      <c r="J577" s="35"/>
      <c r="K577" s="35"/>
      <c r="L577" s="35"/>
      <c r="M577" s="35"/>
      <c r="N577" s="35"/>
      <c r="O577" s="35"/>
      <c r="P577" s="35"/>
      <c r="Q577" s="35"/>
      <c r="R577" s="35"/>
      <c r="S577" s="35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D577" s="35"/>
      <c r="AE577" s="35"/>
      <c r="AF577" s="35"/>
      <c r="AG577" s="35"/>
      <c r="AH577" s="35"/>
      <c r="AI577" s="35"/>
      <c r="AJ577" s="35"/>
      <c r="AK577" s="35"/>
    </row>
    <row r="578" ht="12.75" customHeight="1">
      <c r="A578" s="35"/>
      <c r="B578" s="35"/>
      <c r="C578" s="35"/>
      <c r="D578" s="35"/>
      <c r="E578" s="35"/>
      <c r="F578" s="35"/>
      <c r="G578" s="35"/>
      <c r="H578" s="35"/>
      <c r="I578" s="35"/>
      <c r="J578" s="35"/>
      <c r="K578" s="35"/>
      <c r="L578" s="35"/>
      <c r="M578" s="35"/>
      <c r="N578" s="35"/>
      <c r="O578" s="35"/>
      <c r="P578" s="35"/>
      <c r="Q578" s="35"/>
      <c r="R578" s="35"/>
      <c r="S578" s="35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D578" s="35"/>
      <c r="AE578" s="35"/>
      <c r="AF578" s="35"/>
      <c r="AG578" s="35"/>
      <c r="AH578" s="35"/>
      <c r="AI578" s="35"/>
      <c r="AJ578" s="35"/>
      <c r="AK578" s="35"/>
    </row>
    <row r="579" ht="12.75" customHeight="1">
      <c r="A579" s="35"/>
      <c r="B579" s="35"/>
      <c r="C579" s="35"/>
      <c r="D579" s="35"/>
      <c r="E579" s="35"/>
      <c r="F579" s="35"/>
      <c r="G579" s="35"/>
      <c r="H579" s="35"/>
      <c r="I579" s="35"/>
      <c r="J579" s="35"/>
      <c r="K579" s="35"/>
      <c r="L579" s="35"/>
      <c r="M579" s="35"/>
      <c r="N579" s="35"/>
      <c r="O579" s="35"/>
      <c r="P579" s="35"/>
      <c r="Q579" s="35"/>
      <c r="R579" s="35"/>
      <c r="S579" s="35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D579" s="35"/>
      <c r="AE579" s="35"/>
      <c r="AF579" s="35"/>
      <c r="AG579" s="35"/>
      <c r="AH579" s="35"/>
      <c r="AI579" s="35"/>
      <c r="AJ579" s="35"/>
      <c r="AK579" s="35"/>
    </row>
    <row r="580" ht="12.75" customHeight="1">
      <c r="A580" s="35"/>
      <c r="B580" s="35"/>
      <c r="C580" s="35"/>
      <c r="D580" s="35"/>
      <c r="E580" s="35"/>
      <c r="F580" s="35"/>
      <c r="G580" s="35"/>
      <c r="H580" s="35"/>
      <c r="I580" s="35"/>
      <c r="J580" s="35"/>
      <c r="K580" s="35"/>
      <c r="L580" s="35"/>
      <c r="M580" s="35"/>
      <c r="N580" s="35"/>
      <c r="O580" s="35"/>
      <c r="P580" s="35"/>
      <c r="Q580" s="35"/>
      <c r="R580" s="35"/>
      <c r="S580" s="35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D580" s="35"/>
      <c r="AE580" s="35"/>
      <c r="AF580" s="35"/>
      <c r="AG580" s="35"/>
      <c r="AH580" s="35"/>
      <c r="AI580" s="35"/>
      <c r="AJ580" s="35"/>
      <c r="AK580" s="35"/>
    </row>
    <row r="581" ht="12.75" customHeight="1">
      <c r="A581" s="35"/>
      <c r="B581" s="35"/>
      <c r="C581" s="35"/>
      <c r="D581" s="35"/>
      <c r="E581" s="35"/>
      <c r="F581" s="35"/>
      <c r="G581" s="35"/>
      <c r="H581" s="35"/>
      <c r="I581" s="35"/>
      <c r="J581" s="35"/>
      <c r="K581" s="35"/>
      <c r="L581" s="35"/>
      <c r="M581" s="35"/>
      <c r="N581" s="35"/>
      <c r="O581" s="35"/>
      <c r="P581" s="35"/>
      <c r="Q581" s="35"/>
      <c r="R581" s="35"/>
      <c r="S581" s="35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D581" s="35"/>
      <c r="AE581" s="35"/>
      <c r="AF581" s="35"/>
      <c r="AG581" s="35"/>
      <c r="AH581" s="35"/>
      <c r="AI581" s="35"/>
      <c r="AJ581" s="35"/>
      <c r="AK581" s="35"/>
    </row>
    <row r="582" ht="12.75" customHeight="1">
      <c r="A582" s="35"/>
      <c r="B582" s="35"/>
      <c r="C582" s="35"/>
      <c r="D582" s="35"/>
      <c r="E582" s="35"/>
      <c r="F582" s="35"/>
      <c r="G582" s="35"/>
      <c r="H582" s="35"/>
      <c r="I582" s="35"/>
      <c r="J582" s="35"/>
      <c r="K582" s="35"/>
      <c r="L582" s="35"/>
      <c r="M582" s="35"/>
      <c r="N582" s="35"/>
      <c r="O582" s="35"/>
      <c r="P582" s="35"/>
      <c r="Q582" s="35"/>
      <c r="R582" s="35"/>
      <c r="S582" s="35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D582" s="35"/>
      <c r="AE582" s="35"/>
      <c r="AF582" s="35"/>
      <c r="AG582" s="35"/>
      <c r="AH582" s="35"/>
      <c r="AI582" s="35"/>
      <c r="AJ582" s="35"/>
      <c r="AK582" s="35"/>
    </row>
    <row r="583" ht="12.75" customHeight="1">
      <c r="A583" s="35"/>
      <c r="B583" s="35"/>
      <c r="C583" s="35"/>
      <c r="D583" s="35"/>
      <c r="E583" s="35"/>
      <c r="F583" s="35"/>
      <c r="G583" s="35"/>
      <c r="H583" s="35"/>
      <c r="I583" s="35"/>
      <c r="J583" s="35"/>
      <c r="K583" s="35"/>
      <c r="L583" s="35"/>
      <c r="M583" s="35"/>
      <c r="N583" s="35"/>
      <c r="O583" s="35"/>
      <c r="P583" s="35"/>
      <c r="Q583" s="35"/>
      <c r="R583" s="35"/>
      <c r="S583" s="35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D583" s="35"/>
      <c r="AE583" s="35"/>
      <c r="AF583" s="35"/>
      <c r="AG583" s="35"/>
      <c r="AH583" s="35"/>
      <c r="AI583" s="35"/>
      <c r="AJ583" s="35"/>
      <c r="AK583" s="35"/>
    </row>
    <row r="584" ht="12.75" customHeight="1">
      <c r="A584" s="35"/>
      <c r="B584" s="35"/>
      <c r="C584" s="35"/>
      <c r="D584" s="35"/>
      <c r="E584" s="35"/>
      <c r="F584" s="35"/>
      <c r="G584" s="35"/>
      <c r="H584" s="35"/>
      <c r="I584" s="35"/>
      <c r="J584" s="35"/>
      <c r="K584" s="35"/>
      <c r="L584" s="35"/>
      <c r="M584" s="35"/>
      <c r="N584" s="35"/>
      <c r="O584" s="35"/>
      <c r="P584" s="35"/>
      <c r="Q584" s="35"/>
      <c r="R584" s="35"/>
      <c r="S584" s="35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D584" s="35"/>
      <c r="AE584" s="35"/>
      <c r="AF584" s="35"/>
      <c r="AG584" s="35"/>
      <c r="AH584" s="35"/>
      <c r="AI584" s="35"/>
      <c r="AJ584" s="35"/>
      <c r="AK584" s="35"/>
    </row>
    <row r="585" ht="12.75" customHeight="1">
      <c r="A585" s="35"/>
      <c r="B585" s="35"/>
      <c r="C585" s="35"/>
      <c r="D585" s="35"/>
      <c r="E585" s="35"/>
      <c r="F585" s="35"/>
      <c r="G585" s="35"/>
      <c r="H585" s="35"/>
      <c r="I585" s="35"/>
      <c r="J585" s="35"/>
      <c r="K585" s="35"/>
      <c r="L585" s="35"/>
      <c r="M585" s="35"/>
      <c r="N585" s="35"/>
      <c r="O585" s="35"/>
      <c r="P585" s="35"/>
      <c r="Q585" s="35"/>
      <c r="R585" s="35"/>
      <c r="S585" s="35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D585" s="35"/>
      <c r="AE585" s="35"/>
      <c r="AF585" s="35"/>
      <c r="AG585" s="35"/>
      <c r="AH585" s="35"/>
      <c r="AI585" s="35"/>
      <c r="AJ585" s="35"/>
      <c r="AK585" s="35"/>
    </row>
    <row r="586" ht="12.75" customHeight="1">
      <c r="A586" s="35"/>
      <c r="B586" s="35"/>
      <c r="C586" s="35"/>
      <c r="D586" s="35"/>
      <c r="E586" s="35"/>
      <c r="F586" s="35"/>
      <c r="G586" s="35"/>
      <c r="H586" s="35"/>
      <c r="I586" s="35"/>
      <c r="J586" s="35"/>
      <c r="K586" s="35"/>
      <c r="L586" s="35"/>
      <c r="M586" s="35"/>
      <c r="N586" s="35"/>
      <c r="O586" s="35"/>
      <c r="P586" s="35"/>
      <c r="Q586" s="35"/>
      <c r="R586" s="35"/>
      <c r="S586" s="35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D586" s="35"/>
      <c r="AE586" s="35"/>
      <c r="AF586" s="35"/>
      <c r="AG586" s="35"/>
      <c r="AH586" s="35"/>
      <c r="AI586" s="35"/>
      <c r="AJ586" s="35"/>
      <c r="AK586" s="35"/>
    </row>
    <row r="587" ht="12.75" customHeight="1">
      <c r="A587" s="35"/>
      <c r="B587" s="35"/>
      <c r="C587" s="35"/>
      <c r="D587" s="35"/>
      <c r="E587" s="35"/>
      <c r="F587" s="35"/>
      <c r="G587" s="35"/>
      <c r="H587" s="35"/>
      <c r="I587" s="35"/>
      <c r="J587" s="35"/>
      <c r="K587" s="35"/>
      <c r="L587" s="35"/>
      <c r="M587" s="35"/>
      <c r="N587" s="35"/>
      <c r="O587" s="35"/>
      <c r="P587" s="35"/>
      <c r="Q587" s="35"/>
      <c r="R587" s="35"/>
      <c r="S587" s="35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D587" s="35"/>
      <c r="AE587" s="35"/>
      <c r="AF587" s="35"/>
      <c r="AG587" s="35"/>
      <c r="AH587" s="35"/>
      <c r="AI587" s="35"/>
      <c r="AJ587" s="35"/>
      <c r="AK587" s="35"/>
    </row>
    <row r="588" ht="12.75" customHeight="1">
      <c r="A588" s="35"/>
      <c r="B588" s="35"/>
      <c r="C588" s="35"/>
      <c r="D588" s="35"/>
      <c r="E588" s="35"/>
      <c r="F588" s="35"/>
      <c r="G588" s="35"/>
      <c r="H588" s="35"/>
      <c r="I588" s="35"/>
      <c r="J588" s="35"/>
      <c r="K588" s="35"/>
      <c r="L588" s="35"/>
      <c r="M588" s="35"/>
      <c r="N588" s="35"/>
      <c r="O588" s="35"/>
      <c r="P588" s="35"/>
      <c r="Q588" s="35"/>
      <c r="R588" s="35"/>
      <c r="S588" s="35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D588" s="35"/>
      <c r="AE588" s="35"/>
      <c r="AF588" s="35"/>
      <c r="AG588" s="35"/>
      <c r="AH588" s="35"/>
      <c r="AI588" s="35"/>
      <c r="AJ588" s="35"/>
      <c r="AK588" s="35"/>
    </row>
    <row r="589" ht="12.75" customHeight="1">
      <c r="A589" s="35"/>
      <c r="B589" s="35"/>
      <c r="C589" s="35"/>
      <c r="D589" s="35"/>
      <c r="E589" s="35"/>
      <c r="F589" s="35"/>
      <c r="G589" s="35"/>
      <c r="H589" s="35"/>
      <c r="I589" s="35"/>
      <c r="J589" s="35"/>
      <c r="K589" s="35"/>
      <c r="L589" s="35"/>
      <c r="M589" s="35"/>
      <c r="N589" s="35"/>
      <c r="O589" s="35"/>
      <c r="P589" s="35"/>
      <c r="Q589" s="35"/>
      <c r="R589" s="35"/>
      <c r="S589" s="35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D589" s="35"/>
      <c r="AE589" s="35"/>
      <c r="AF589" s="35"/>
      <c r="AG589" s="35"/>
      <c r="AH589" s="35"/>
      <c r="AI589" s="35"/>
      <c r="AJ589" s="35"/>
      <c r="AK589" s="35"/>
    </row>
    <row r="590" ht="12.75" customHeight="1">
      <c r="A590" s="35"/>
      <c r="B590" s="35"/>
      <c r="C590" s="35"/>
      <c r="D590" s="35"/>
      <c r="E590" s="35"/>
      <c r="F590" s="35"/>
      <c r="G590" s="35"/>
      <c r="H590" s="35"/>
      <c r="I590" s="35"/>
      <c r="J590" s="35"/>
      <c r="K590" s="35"/>
      <c r="L590" s="35"/>
      <c r="M590" s="35"/>
      <c r="N590" s="35"/>
      <c r="O590" s="35"/>
      <c r="P590" s="35"/>
      <c r="Q590" s="35"/>
      <c r="R590" s="35"/>
      <c r="S590" s="35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D590" s="35"/>
      <c r="AE590" s="35"/>
      <c r="AF590" s="35"/>
      <c r="AG590" s="35"/>
      <c r="AH590" s="35"/>
      <c r="AI590" s="35"/>
      <c r="AJ590" s="35"/>
      <c r="AK590" s="35"/>
    </row>
    <row r="591" ht="12.75" customHeight="1">
      <c r="A591" s="35"/>
      <c r="B591" s="35"/>
      <c r="C591" s="35"/>
      <c r="D591" s="35"/>
      <c r="E591" s="35"/>
      <c r="F591" s="35"/>
      <c r="G591" s="35"/>
      <c r="H591" s="35"/>
      <c r="I591" s="35"/>
      <c r="J591" s="35"/>
      <c r="K591" s="35"/>
      <c r="L591" s="35"/>
      <c r="M591" s="35"/>
      <c r="N591" s="35"/>
      <c r="O591" s="35"/>
      <c r="P591" s="35"/>
      <c r="Q591" s="35"/>
      <c r="R591" s="35"/>
      <c r="S591" s="35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D591" s="35"/>
      <c r="AE591" s="35"/>
      <c r="AF591" s="35"/>
      <c r="AG591" s="35"/>
      <c r="AH591" s="35"/>
      <c r="AI591" s="35"/>
      <c r="AJ591" s="35"/>
      <c r="AK591" s="35"/>
    </row>
    <row r="592" ht="12.75" customHeight="1">
      <c r="A592" s="35"/>
      <c r="B592" s="35"/>
      <c r="C592" s="35"/>
      <c r="D592" s="35"/>
      <c r="E592" s="35"/>
      <c r="F592" s="35"/>
      <c r="G592" s="35"/>
      <c r="H592" s="35"/>
      <c r="I592" s="35"/>
      <c r="J592" s="35"/>
      <c r="K592" s="35"/>
      <c r="L592" s="35"/>
      <c r="M592" s="35"/>
      <c r="N592" s="35"/>
      <c r="O592" s="35"/>
      <c r="P592" s="35"/>
      <c r="Q592" s="35"/>
      <c r="R592" s="35"/>
      <c r="S592" s="35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D592" s="35"/>
      <c r="AE592" s="35"/>
      <c r="AF592" s="35"/>
      <c r="AG592" s="35"/>
      <c r="AH592" s="35"/>
      <c r="AI592" s="35"/>
      <c r="AJ592" s="35"/>
      <c r="AK592" s="35"/>
    </row>
    <row r="593" ht="12.75" customHeight="1">
      <c r="A593" s="35"/>
      <c r="B593" s="35"/>
      <c r="C593" s="35"/>
      <c r="D593" s="35"/>
      <c r="E593" s="35"/>
      <c r="F593" s="35"/>
      <c r="G593" s="35"/>
      <c r="H593" s="35"/>
      <c r="I593" s="35"/>
      <c r="J593" s="35"/>
      <c r="K593" s="35"/>
      <c r="L593" s="35"/>
      <c r="M593" s="35"/>
      <c r="N593" s="35"/>
      <c r="O593" s="35"/>
      <c r="P593" s="35"/>
      <c r="Q593" s="35"/>
      <c r="R593" s="35"/>
      <c r="S593" s="35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D593" s="35"/>
      <c r="AE593" s="35"/>
      <c r="AF593" s="35"/>
      <c r="AG593" s="35"/>
      <c r="AH593" s="35"/>
      <c r="AI593" s="35"/>
      <c r="AJ593" s="35"/>
      <c r="AK593" s="35"/>
    </row>
    <row r="594" ht="12.75" customHeight="1">
      <c r="A594" s="35"/>
      <c r="B594" s="35"/>
      <c r="C594" s="35"/>
      <c r="D594" s="35"/>
      <c r="E594" s="35"/>
      <c r="F594" s="35"/>
      <c r="G594" s="35"/>
      <c r="H594" s="35"/>
      <c r="I594" s="35"/>
      <c r="J594" s="35"/>
      <c r="K594" s="35"/>
      <c r="L594" s="35"/>
      <c r="M594" s="35"/>
      <c r="N594" s="35"/>
      <c r="O594" s="35"/>
      <c r="P594" s="35"/>
      <c r="Q594" s="35"/>
      <c r="R594" s="35"/>
      <c r="S594" s="35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D594" s="35"/>
      <c r="AE594" s="35"/>
      <c r="AF594" s="35"/>
      <c r="AG594" s="35"/>
      <c r="AH594" s="35"/>
      <c r="AI594" s="35"/>
      <c r="AJ594" s="35"/>
      <c r="AK594" s="35"/>
    </row>
    <row r="595" ht="12.75" customHeight="1">
      <c r="A595" s="35"/>
      <c r="B595" s="35"/>
      <c r="C595" s="35"/>
      <c r="D595" s="35"/>
      <c r="E595" s="35"/>
      <c r="F595" s="35"/>
      <c r="G595" s="35"/>
      <c r="H595" s="35"/>
      <c r="I595" s="35"/>
      <c r="J595" s="35"/>
      <c r="K595" s="35"/>
      <c r="L595" s="35"/>
      <c r="M595" s="35"/>
      <c r="N595" s="35"/>
      <c r="O595" s="35"/>
      <c r="P595" s="35"/>
      <c r="Q595" s="35"/>
      <c r="R595" s="35"/>
      <c r="S595" s="35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D595" s="35"/>
      <c r="AE595" s="35"/>
      <c r="AF595" s="35"/>
      <c r="AG595" s="35"/>
      <c r="AH595" s="35"/>
      <c r="AI595" s="35"/>
      <c r="AJ595" s="35"/>
      <c r="AK595" s="35"/>
    </row>
    <row r="596" ht="12.75" customHeight="1">
      <c r="A596" s="35"/>
      <c r="B596" s="35"/>
      <c r="C596" s="35"/>
      <c r="D596" s="35"/>
      <c r="E596" s="35"/>
      <c r="F596" s="35"/>
      <c r="G596" s="35"/>
      <c r="H596" s="35"/>
      <c r="I596" s="35"/>
      <c r="J596" s="35"/>
      <c r="K596" s="35"/>
      <c r="L596" s="35"/>
      <c r="M596" s="35"/>
      <c r="N596" s="35"/>
      <c r="O596" s="35"/>
      <c r="P596" s="35"/>
      <c r="Q596" s="35"/>
      <c r="R596" s="35"/>
      <c r="S596" s="35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D596" s="35"/>
      <c r="AE596" s="35"/>
      <c r="AF596" s="35"/>
      <c r="AG596" s="35"/>
      <c r="AH596" s="35"/>
      <c r="AI596" s="35"/>
      <c r="AJ596" s="35"/>
      <c r="AK596" s="35"/>
    </row>
    <row r="597" ht="12.75" customHeight="1">
      <c r="A597" s="35"/>
      <c r="B597" s="35"/>
      <c r="C597" s="35"/>
      <c r="D597" s="35"/>
      <c r="E597" s="35"/>
      <c r="F597" s="35"/>
      <c r="G597" s="35"/>
      <c r="H597" s="35"/>
      <c r="I597" s="35"/>
      <c r="J597" s="35"/>
      <c r="K597" s="35"/>
      <c r="L597" s="35"/>
      <c r="M597" s="35"/>
      <c r="N597" s="35"/>
      <c r="O597" s="35"/>
      <c r="P597" s="35"/>
      <c r="Q597" s="35"/>
      <c r="R597" s="35"/>
      <c r="S597" s="35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D597" s="35"/>
      <c r="AE597" s="35"/>
      <c r="AF597" s="35"/>
      <c r="AG597" s="35"/>
      <c r="AH597" s="35"/>
      <c r="AI597" s="35"/>
      <c r="AJ597" s="35"/>
      <c r="AK597" s="35"/>
    </row>
    <row r="598" ht="12.75" customHeight="1">
      <c r="A598" s="35"/>
      <c r="B598" s="35"/>
      <c r="C598" s="35"/>
      <c r="D598" s="35"/>
      <c r="E598" s="35"/>
      <c r="F598" s="35"/>
      <c r="G598" s="35"/>
      <c r="H598" s="35"/>
      <c r="I598" s="35"/>
      <c r="J598" s="35"/>
      <c r="K598" s="35"/>
      <c r="L598" s="35"/>
      <c r="M598" s="35"/>
      <c r="N598" s="35"/>
      <c r="O598" s="35"/>
      <c r="P598" s="35"/>
      <c r="Q598" s="35"/>
      <c r="R598" s="35"/>
      <c r="S598" s="35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35"/>
      <c r="AE598" s="35"/>
      <c r="AF598" s="35"/>
      <c r="AG598" s="35"/>
      <c r="AH598" s="35"/>
      <c r="AI598" s="35"/>
      <c r="AJ598" s="35"/>
      <c r="AK598" s="35"/>
    </row>
    <row r="599" ht="12.75" customHeight="1">
      <c r="A599" s="35"/>
      <c r="B599" s="35"/>
      <c r="C599" s="35"/>
      <c r="D599" s="35"/>
      <c r="E599" s="35"/>
      <c r="F599" s="35"/>
      <c r="G599" s="35"/>
      <c r="H599" s="35"/>
      <c r="I599" s="35"/>
      <c r="J599" s="35"/>
      <c r="K599" s="35"/>
      <c r="L599" s="35"/>
      <c r="M599" s="35"/>
      <c r="N599" s="35"/>
      <c r="O599" s="35"/>
      <c r="P599" s="35"/>
      <c r="Q599" s="35"/>
      <c r="R599" s="35"/>
      <c r="S599" s="35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D599" s="35"/>
      <c r="AE599" s="35"/>
      <c r="AF599" s="35"/>
      <c r="AG599" s="35"/>
      <c r="AH599" s="35"/>
      <c r="AI599" s="35"/>
      <c r="AJ599" s="35"/>
      <c r="AK599" s="35"/>
    </row>
    <row r="600" ht="12.75" customHeight="1">
      <c r="A600" s="35"/>
      <c r="B600" s="35"/>
      <c r="C600" s="35"/>
      <c r="D600" s="35"/>
      <c r="E600" s="35"/>
      <c r="F600" s="35"/>
      <c r="G600" s="35"/>
      <c r="H600" s="35"/>
      <c r="I600" s="35"/>
      <c r="J600" s="35"/>
      <c r="K600" s="35"/>
      <c r="L600" s="35"/>
      <c r="M600" s="35"/>
      <c r="N600" s="35"/>
      <c r="O600" s="35"/>
      <c r="P600" s="35"/>
      <c r="Q600" s="35"/>
      <c r="R600" s="35"/>
      <c r="S600" s="35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D600" s="35"/>
      <c r="AE600" s="35"/>
      <c r="AF600" s="35"/>
      <c r="AG600" s="35"/>
      <c r="AH600" s="35"/>
      <c r="AI600" s="35"/>
      <c r="AJ600" s="35"/>
      <c r="AK600" s="35"/>
    </row>
    <row r="601" ht="12.75" customHeight="1">
      <c r="A601" s="35"/>
      <c r="B601" s="35"/>
      <c r="C601" s="35"/>
      <c r="D601" s="35"/>
      <c r="E601" s="35"/>
      <c r="F601" s="35"/>
      <c r="G601" s="35"/>
      <c r="H601" s="35"/>
      <c r="I601" s="35"/>
      <c r="J601" s="35"/>
      <c r="K601" s="35"/>
      <c r="L601" s="35"/>
      <c r="M601" s="35"/>
      <c r="N601" s="35"/>
      <c r="O601" s="35"/>
      <c r="P601" s="35"/>
      <c r="Q601" s="35"/>
      <c r="R601" s="35"/>
      <c r="S601" s="35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D601" s="35"/>
      <c r="AE601" s="35"/>
      <c r="AF601" s="35"/>
      <c r="AG601" s="35"/>
      <c r="AH601" s="35"/>
      <c r="AI601" s="35"/>
      <c r="AJ601" s="35"/>
      <c r="AK601" s="35"/>
    </row>
    <row r="602" ht="12.75" customHeight="1">
      <c r="A602" s="35"/>
      <c r="B602" s="35"/>
      <c r="C602" s="35"/>
      <c r="D602" s="35"/>
      <c r="E602" s="35"/>
      <c r="F602" s="35"/>
      <c r="G602" s="35"/>
      <c r="H602" s="35"/>
      <c r="I602" s="35"/>
      <c r="J602" s="35"/>
      <c r="K602" s="35"/>
      <c r="L602" s="35"/>
      <c r="M602" s="35"/>
      <c r="N602" s="35"/>
      <c r="O602" s="35"/>
      <c r="P602" s="35"/>
      <c r="Q602" s="35"/>
      <c r="R602" s="35"/>
      <c r="S602" s="35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D602" s="35"/>
      <c r="AE602" s="35"/>
      <c r="AF602" s="35"/>
      <c r="AG602" s="35"/>
      <c r="AH602" s="35"/>
      <c r="AI602" s="35"/>
      <c r="AJ602" s="35"/>
      <c r="AK602" s="35"/>
    </row>
    <row r="603" ht="12.75" customHeight="1">
      <c r="A603" s="35"/>
      <c r="B603" s="35"/>
      <c r="C603" s="35"/>
      <c r="D603" s="35"/>
      <c r="E603" s="35"/>
      <c r="F603" s="35"/>
      <c r="G603" s="35"/>
      <c r="H603" s="35"/>
      <c r="I603" s="35"/>
      <c r="J603" s="35"/>
      <c r="K603" s="35"/>
      <c r="L603" s="35"/>
      <c r="M603" s="35"/>
      <c r="N603" s="35"/>
      <c r="O603" s="35"/>
      <c r="P603" s="35"/>
      <c r="Q603" s="35"/>
      <c r="R603" s="35"/>
      <c r="S603" s="35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D603" s="35"/>
      <c r="AE603" s="35"/>
      <c r="AF603" s="35"/>
      <c r="AG603" s="35"/>
      <c r="AH603" s="35"/>
      <c r="AI603" s="35"/>
      <c r="AJ603" s="35"/>
      <c r="AK603" s="35"/>
    </row>
    <row r="604" ht="12.75" customHeight="1">
      <c r="A604" s="35"/>
      <c r="B604" s="35"/>
      <c r="C604" s="35"/>
      <c r="D604" s="35"/>
      <c r="E604" s="35"/>
      <c r="F604" s="35"/>
      <c r="G604" s="35"/>
      <c r="H604" s="35"/>
      <c r="I604" s="35"/>
      <c r="J604" s="35"/>
      <c r="K604" s="35"/>
      <c r="L604" s="35"/>
      <c r="M604" s="35"/>
      <c r="N604" s="35"/>
      <c r="O604" s="35"/>
      <c r="P604" s="35"/>
      <c r="Q604" s="35"/>
      <c r="R604" s="35"/>
      <c r="S604" s="35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D604" s="35"/>
      <c r="AE604" s="35"/>
      <c r="AF604" s="35"/>
      <c r="AG604" s="35"/>
      <c r="AH604" s="35"/>
      <c r="AI604" s="35"/>
      <c r="AJ604" s="35"/>
      <c r="AK604" s="35"/>
    </row>
    <row r="605" ht="12.75" customHeight="1">
      <c r="A605" s="35"/>
      <c r="B605" s="35"/>
      <c r="C605" s="35"/>
      <c r="D605" s="35"/>
      <c r="E605" s="35"/>
      <c r="F605" s="35"/>
      <c r="G605" s="35"/>
      <c r="H605" s="35"/>
      <c r="I605" s="35"/>
      <c r="J605" s="35"/>
      <c r="K605" s="35"/>
      <c r="L605" s="35"/>
      <c r="M605" s="35"/>
      <c r="N605" s="35"/>
      <c r="O605" s="35"/>
      <c r="P605" s="35"/>
      <c r="Q605" s="35"/>
      <c r="R605" s="35"/>
      <c r="S605" s="35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D605" s="35"/>
      <c r="AE605" s="35"/>
      <c r="AF605" s="35"/>
      <c r="AG605" s="35"/>
      <c r="AH605" s="35"/>
      <c r="AI605" s="35"/>
      <c r="AJ605" s="35"/>
      <c r="AK605" s="35"/>
    </row>
    <row r="606" ht="12.75" customHeight="1">
      <c r="A606" s="35"/>
      <c r="B606" s="35"/>
      <c r="C606" s="35"/>
      <c r="D606" s="35"/>
      <c r="E606" s="35"/>
      <c r="F606" s="35"/>
      <c r="G606" s="35"/>
      <c r="H606" s="35"/>
      <c r="I606" s="35"/>
      <c r="J606" s="35"/>
      <c r="K606" s="35"/>
      <c r="L606" s="35"/>
      <c r="M606" s="35"/>
      <c r="N606" s="35"/>
      <c r="O606" s="35"/>
      <c r="P606" s="35"/>
      <c r="Q606" s="35"/>
      <c r="R606" s="35"/>
      <c r="S606" s="35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D606" s="35"/>
      <c r="AE606" s="35"/>
      <c r="AF606" s="35"/>
      <c r="AG606" s="35"/>
      <c r="AH606" s="35"/>
      <c r="AI606" s="35"/>
      <c r="AJ606" s="35"/>
      <c r="AK606" s="35"/>
    </row>
    <row r="607" ht="12.75" customHeight="1">
      <c r="A607" s="35"/>
      <c r="B607" s="35"/>
      <c r="C607" s="35"/>
      <c r="D607" s="35"/>
      <c r="E607" s="35"/>
      <c r="F607" s="35"/>
      <c r="G607" s="35"/>
      <c r="H607" s="35"/>
      <c r="I607" s="35"/>
      <c r="J607" s="35"/>
      <c r="K607" s="35"/>
      <c r="L607" s="35"/>
      <c r="M607" s="35"/>
      <c r="N607" s="35"/>
      <c r="O607" s="35"/>
      <c r="P607" s="35"/>
      <c r="Q607" s="35"/>
      <c r="R607" s="35"/>
      <c r="S607" s="35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D607" s="35"/>
      <c r="AE607" s="35"/>
      <c r="AF607" s="35"/>
      <c r="AG607" s="35"/>
      <c r="AH607" s="35"/>
      <c r="AI607" s="35"/>
      <c r="AJ607" s="35"/>
      <c r="AK607" s="35"/>
    </row>
    <row r="608" ht="12.75" customHeight="1">
      <c r="A608" s="35"/>
      <c r="B608" s="35"/>
      <c r="C608" s="35"/>
      <c r="D608" s="35"/>
      <c r="E608" s="35"/>
      <c r="F608" s="35"/>
      <c r="G608" s="35"/>
      <c r="H608" s="35"/>
      <c r="I608" s="35"/>
      <c r="J608" s="35"/>
      <c r="K608" s="35"/>
      <c r="L608" s="35"/>
      <c r="M608" s="35"/>
      <c r="N608" s="35"/>
      <c r="O608" s="35"/>
      <c r="P608" s="35"/>
      <c r="Q608" s="35"/>
      <c r="R608" s="35"/>
      <c r="S608" s="35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D608" s="35"/>
      <c r="AE608" s="35"/>
      <c r="AF608" s="35"/>
      <c r="AG608" s="35"/>
      <c r="AH608" s="35"/>
      <c r="AI608" s="35"/>
      <c r="AJ608" s="35"/>
      <c r="AK608" s="35"/>
    </row>
    <row r="609" ht="12.75" customHeight="1">
      <c r="A609" s="35"/>
      <c r="B609" s="35"/>
      <c r="C609" s="35"/>
      <c r="D609" s="35"/>
      <c r="E609" s="35"/>
      <c r="F609" s="35"/>
      <c r="G609" s="35"/>
      <c r="H609" s="35"/>
      <c r="I609" s="35"/>
      <c r="J609" s="35"/>
      <c r="K609" s="35"/>
      <c r="L609" s="35"/>
      <c r="M609" s="35"/>
      <c r="N609" s="35"/>
      <c r="O609" s="35"/>
      <c r="P609" s="35"/>
      <c r="Q609" s="35"/>
      <c r="R609" s="35"/>
      <c r="S609" s="35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D609" s="35"/>
      <c r="AE609" s="35"/>
      <c r="AF609" s="35"/>
      <c r="AG609" s="35"/>
      <c r="AH609" s="35"/>
      <c r="AI609" s="35"/>
      <c r="AJ609" s="35"/>
      <c r="AK609" s="35"/>
    </row>
    <row r="610" ht="12.75" customHeight="1">
      <c r="A610" s="35"/>
      <c r="B610" s="35"/>
      <c r="C610" s="35"/>
      <c r="D610" s="35"/>
      <c r="E610" s="35"/>
      <c r="F610" s="35"/>
      <c r="G610" s="35"/>
      <c r="H610" s="35"/>
      <c r="I610" s="35"/>
      <c r="J610" s="35"/>
      <c r="K610" s="35"/>
      <c r="L610" s="35"/>
      <c r="M610" s="35"/>
      <c r="N610" s="35"/>
      <c r="O610" s="35"/>
      <c r="P610" s="35"/>
      <c r="Q610" s="35"/>
      <c r="R610" s="35"/>
      <c r="S610" s="35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D610" s="35"/>
      <c r="AE610" s="35"/>
      <c r="AF610" s="35"/>
      <c r="AG610" s="35"/>
      <c r="AH610" s="35"/>
      <c r="AI610" s="35"/>
      <c r="AJ610" s="35"/>
      <c r="AK610" s="35"/>
    </row>
    <row r="611" ht="12.75" customHeight="1">
      <c r="A611" s="35"/>
      <c r="B611" s="35"/>
      <c r="C611" s="35"/>
      <c r="D611" s="35"/>
      <c r="E611" s="35"/>
      <c r="F611" s="35"/>
      <c r="G611" s="35"/>
      <c r="H611" s="35"/>
      <c r="I611" s="35"/>
      <c r="J611" s="35"/>
      <c r="K611" s="35"/>
      <c r="L611" s="35"/>
      <c r="M611" s="35"/>
      <c r="N611" s="35"/>
      <c r="O611" s="35"/>
      <c r="P611" s="35"/>
      <c r="Q611" s="35"/>
      <c r="R611" s="35"/>
      <c r="S611" s="35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D611" s="35"/>
      <c r="AE611" s="35"/>
      <c r="AF611" s="35"/>
      <c r="AG611" s="35"/>
      <c r="AH611" s="35"/>
      <c r="AI611" s="35"/>
      <c r="AJ611" s="35"/>
      <c r="AK611" s="35"/>
    </row>
    <row r="612" ht="12.75" customHeight="1">
      <c r="A612" s="35"/>
      <c r="B612" s="35"/>
      <c r="C612" s="35"/>
      <c r="D612" s="35"/>
      <c r="E612" s="35"/>
      <c r="F612" s="35"/>
      <c r="G612" s="35"/>
      <c r="H612" s="35"/>
      <c r="I612" s="35"/>
      <c r="J612" s="35"/>
      <c r="K612" s="35"/>
      <c r="L612" s="35"/>
      <c r="M612" s="35"/>
      <c r="N612" s="35"/>
      <c r="O612" s="35"/>
      <c r="P612" s="35"/>
      <c r="Q612" s="35"/>
      <c r="R612" s="35"/>
      <c r="S612" s="35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D612" s="35"/>
      <c r="AE612" s="35"/>
      <c r="AF612" s="35"/>
      <c r="AG612" s="35"/>
      <c r="AH612" s="35"/>
      <c r="AI612" s="35"/>
      <c r="AJ612" s="35"/>
      <c r="AK612" s="35"/>
    </row>
    <row r="613" ht="12.75" customHeight="1">
      <c r="A613" s="35"/>
      <c r="B613" s="35"/>
      <c r="C613" s="35"/>
      <c r="D613" s="35"/>
      <c r="E613" s="35"/>
      <c r="F613" s="35"/>
      <c r="G613" s="35"/>
      <c r="H613" s="35"/>
      <c r="I613" s="35"/>
      <c r="J613" s="35"/>
      <c r="K613" s="35"/>
      <c r="L613" s="35"/>
      <c r="M613" s="35"/>
      <c r="N613" s="35"/>
      <c r="O613" s="35"/>
      <c r="P613" s="35"/>
      <c r="Q613" s="35"/>
      <c r="R613" s="35"/>
      <c r="S613" s="35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D613" s="35"/>
      <c r="AE613" s="35"/>
      <c r="AF613" s="35"/>
      <c r="AG613" s="35"/>
      <c r="AH613" s="35"/>
      <c r="AI613" s="35"/>
      <c r="AJ613" s="35"/>
      <c r="AK613" s="35"/>
    </row>
    <row r="614" ht="12.75" customHeight="1">
      <c r="A614" s="35"/>
      <c r="B614" s="35"/>
      <c r="C614" s="35"/>
      <c r="D614" s="35"/>
      <c r="E614" s="35"/>
      <c r="F614" s="35"/>
      <c r="G614" s="35"/>
      <c r="H614" s="35"/>
      <c r="I614" s="35"/>
      <c r="J614" s="35"/>
      <c r="K614" s="35"/>
      <c r="L614" s="35"/>
      <c r="M614" s="35"/>
      <c r="N614" s="35"/>
      <c r="O614" s="35"/>
      <c r="P614" s="35"/>
      <c r="Q614" s="35"/>
      <c r="R614" s="35"/>
      <c r="S614" s="35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D614" s="35"/>
      <c r="AE614" s="35"/>
      <c r="AF614" s="35"/>
      <c r="AG614" s="35"/>
      <c r="AH614" s="35"/>
      <c r="AI614" s="35"/>
      <c r="AJ614" s="35"/>
      <c r="AK614" s="35"/>
    </row>
    <row r="615" ht="12.75" customHeight="1">
      <c r="A615" s="35"/>
      <c r="B615" s="35"/>
      <c r="C615" s="35"/>
      <c r="D615" s="35"/>
      <c r="E615" s="35"/>
      <c r="F615" s="35"/>
      <c r="G615" s="35"/>
      <c r="H615" s="35"/>
      <c r="I615" s="35"/>
      <c r="J615" s="35"/>
      <c r="K615" s="35"/>
      <c r="L615" s="35"/>
      <c r="M615" s="35"/>
      <c r="N615" s="35"/>
      <c r="O615" s="35"/>
      <c r="P615" s="35"/>
      <c r="Q615" s="35"/>
      <c r="R615" s="35"/>
      <c r="S615" s="35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D615" s="35"/>
      <c r="AE615" s="35"/>
      <c r="AF615" s="35"/>
      <c r="AG615" s="35"/>
      <c r="AH615" s="35"/>
      <c r="AI615" s="35"/>
      <c r="AJ615" s="35"/>
      <c r="AK615" s="35"/>
    </row>
    <row r="616" ht="12.75" customHeight="1">
      <c r="A616" s="35"/>
      <c r="B616" s="35"/>
      <c r="C616" s="35"/>
      <c r="D616" s="35"/>
      <c r="E616" s="35"/>
      <c r="F616" s="35"/>
      <c r="G616" s="35"/>
      <c r="H616" s="35"/>
      <c r="I616" s="35"/>
      <c r="J616" s="35"/>
      <c r="K616" s="35"/>
      <c r="L616" s="35"/>
      <c r="M616" s="35"/>
      <c r="N616" s="35"/>
      <c r="O616" s="35"/>
      <c r="P616" s="35"/>
      <c r="Q616" s="35"/>
      <c r="R616" s="35"/>
      <c r="S616" s="35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D616" s="35"/>
      <c r="AE616" s="35"/>
      <c r="AF616" s="35"/>
      <c r="AG616" s="35"/>
      <c r="AH616" s="35"/>
      <c r="AI616" s="35"/>
      <c r="AJ616" s="35"/>
      <c r="AK616" s="35"/>
    </row>
    <row r="617" ht="12.75" customHeight="1">
      <c r="A617" s="35"/>
      <c r="B617" s="35"/>
      <c r="C617" s="35"/>
      <c r="D617" s="35"/>
      <c r="E617" s="35"/>
      <c r="F617" s="35"/>
      <c r="G617" s="35"/>
      <c r="H617" s="35"/>
      <c r="I617" s="35"/>
      <c r="J617" s="35"/>
      <c r="K617" s="35"/>
      <c r="L617" s="35"/>
      <c r="M617" s="35"/>
      <c r="N617" s="35"/>
      <c r="O617" s="35"/>
      <c r="P617" s="35"/>
      <c r="Q617" s="35"/>
      <c r="R617" s="35"/>
      <c r="S617" s="35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D617" s="35"/>
      <c r="AE617" s="35"/>
      <c r="AF617" s="35"/>
      <c r="AG617" s="35"/>
      <c r="AH617" s="35"/>
      <c r="AI617" s="35"/>
      <c r="AJ617" s="35"/>
      <c r="AK617" s="35"/>
    </row>
    <row r="618" ht="12.75" customHeight="1">
      <c r="A618" s="35"/>
      <c r="B618" s="35"/>
      <c r="C618" s="35"/>
      <c r="D618" s="35"/>
      <c r="E618" s="35"/>
      <c r="F618" s="35"/>
      <c r="G618" s="35"/>
      <c r="H618" s="35"/>
      <c r="I618" s="35"/>
      <c r="J618" s="35"/>
      <c r="K618" s="35"/>
      <c r="L618" s="35"/>
      <c r="M618" s="35"/>
      <c r="N618" s="35"/>
      <c r="O618" s="35"/>
      <c r="P618" s="35"/>
      <c r="Q618" s="35"/>
      <c r="R618" s="35"/>
      <c r="S618" s="35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D618" s="35"/>
      <c r="AE618" s="35"/>
      <c r="AF618" s="35"/>
      <c r="AG618" s="35"/>
      <c r="AH618" s="35"/>
      <c r="AI618" s="35"/>
      <c r="AJ618" s="35"/>
      <c r="AK618" s="35"/>
    </row>
    <row r="619" ht="12.75" customHeight="1">
      <c r="A619" s="35"/>
      <c r="B619" s="35"/>
      <c r="C619" s="35"/>
      <c r="D619" s="35"/>
      <c r="E619" s="35"/>
      <c r="F619" s="35"/>
      <c r="G619" s="35"/>
      <c r="H619" s="35"/>
      <c r="I619" s="35"/>
      <c r="J619" s="35"/>
      <c r="K619" s="35"/>
      <c r="L619" s="35"/>
      <c r="M619" s="35"/>
      <c r="N619" s="35"/>
      <c r="O619" s="35"/>
      <c r="P619" s="35"/>
      <c r="Q619" s="35"/>
      <c r="R619" s="35"/>
      <c r="S619" s="35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D619" s="35"/>
      <c r="AE619" s="35"/>
      <c r="AF619" s="35"/>
      <c r="AG619" s="35"/>
      <c r="AH619" s="35"/>
      <c r="AI619" s="35"/>
      <c r="AJ619" s="35"/>
      <c r="AK619" s="35"/>
    </row>
    <row r="620" ht="12.75" customHeight="1">
      <c r="A620" s="35"/>
      <c r="B620" s="35"/>
      <c r="C620" s="35"/>
      <c r="D620" s="35"/>
      <c r="E620" s="35"/>
      <c r="F620" s="35"/>
      <c r="G620" s="35"/>
      <c r="H620" s="35"/>
      <c r="I620" s="35"/>
      <c r="J620" s="35"/>
      <c r="K620" s="35"/>
      <c r="L620" s="35"/>
      <c r="M620" s="35"/>
      <c r="N620" s="35"/>
      <c r="O620" s="35"/>
      <c r="P620" s="35"/>
      <c r="Q620" s="35"/>
      <c r="R620" s="35"/>
      <c r="S620" s="35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D620" s="35"/>
      <c r="AE620" s="35"/>
      <c r="AF620" s="35"/>
      <c r="AG620" s="35"/>
      <c r="AH620" s="35"/>
      <c r="AI620" s="35"/>
      <c r="AJ620" s="35"/>
      <c r="AK620" s="35"/>
    </row>
    <row r="621" ht="12.75" customHeight="1">
      <c r="A621" s="35"/>
      <c r="B621" s="35"/>
      <c r="C621" s="35"/>
      <c r="D621" s="35"/>
      <c r="E621" s="35"/>
      <c r="F621" s="35"/>
      <c r="G621" s="35"/>
      <c r="H621" s="35"/>
      <c r="I621" s="35"/>
      <c r="J621" s="35"/>
      <c r="K621" s="35"/>
      <c r="L621" s="35"/>
      <c r="M621" s="35"/>
      <c r="N621" s="35"/>
      <c r="O621" s="35"/>
      <c r="P621" s="35"/>
      <c r="Q621" s="35"/>
      <c r="R621" s="35"/>
      <c r="S621" s="35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D621" s="35"/>
      <c r="AE621" s="35"/>
      <c r="AF621" s="35"/>
      <c r="AG621" s="35"/>
      <c r="AH621" s="35"/>
      <c r="AI621" s="35"/>
      <c r="AJ621" s="35"/>
      <c r="AK621" s="35"/>
    </row>
    <row r="622" ht="12.75" customHeight="1">
      <c r="A622" s="35"/>
      <c r="B622" s="35"/>
      <c r="C622" s="35"/>
      <c r="D622" s="35"/>
      <c r="E622" s="35"/>
      <c r="F622" s="35"/>
      <c r="G622" s="35"/>
      <c r="H622" s="35"/>
      <c r="I622" s="35"/>
      <c r="J622" s="35"/>
      <c r="K622" s="35"/>
      <c r="L622" s="35"/>
      <c r="M622" s="35"/>
      <c r="N622" s="35"/>
      <c r="O622" s="35"/>
      <c r="P622" s="35"/>
      <c r="Q622" s="35"/>
      <c r="R622" s="35"/>
      <c r="S622" s="35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D622" s="35"/>
      <c r="AE622" s="35"/>
      <c r="AF622" s="35"/>
      <c r="AG622" s="35"/>
      <c r="AH622" s="35"/>
      <c r="AI622" s="35"/>
      <c r="AJ622" s="35"/>
      <c r="AK622" s="35"/>
    </row>
    <row r="623" ht="12.75" customHeight="1">
      <c r="A623" s="35"/>
      <c r="B623" s="35"/>
      <c r="C623" s="35"/>
      <c r="D623" s="35"/>
      <c r="E623" s="35"/>
      <c r="F623" s="35"/>
      <c r="G623" s="35"/>
      <c r="H623" s="35"/>
      <c r="I623" s="35"/>
      <c r="J623" s="35"/>
      <c r="K623" s="35"/>
      <c r="L623" s="35"/>
      <c r="M623" s="35"/>
      <c r="N623" s="35"/>
      <c r="O623" s="35"/>
      <c r="P623" s="35"/>
      <c r="Q623" s="35"/>
      <c r="R623" s="35"/>
      <c r="S623" s="35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D623" s="35"/>
      <c r="AE623" s="35"/>
      <c r="AF623" s="35"/>
      <c r="AG623" s="35"/>
      <c r="AH623" s="35"/>
      <c r="AI623" s="35"/>
      <c r="AJ623" s="35"/>
      <c r="AK623" s="35"/>
    </row>
    <row r="624" ht="12.75" customHeight="1">
      <c r="A624" s="35"/>
      <c r="B624" s="35"/>
      <c r="C624" s="35"/>
      <c r="D624" s="35"/>
      <c r="E624" s="35"/>
      <c r="F624" s="35"/>
      <c r="G624" s="35"/>
      <c r="H624" s="35"/>
      <c r="I624" s="35"/>
      <c r="J624" s="35"/>
      <c r="K624" s="35"/>
      <c r="L624" s="35"/>
      <c r="M624" s="35"/>
      <c r="N624" s="35"/>
      <c r="O624" s="35"/>
      <c r="P624" s="35"/>
      <c r="Q624" s="35"/>
      <c r="R624" s="35"/>
      <c r="S624" s="35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D624" s="35"/>
      <c r="AE624" s="35"/>
      <c r="AF624" s="35"/>
      <c r="AG624" s="35"/>
      <c r="AH624" s="35"/>
      <c r="AI624" s="35"/>
      <c r="AJ624" s="35"/>
      <c r="AK624" s="35"/>
    </row>
    <row r="625" ht="12.75" customHeight="1">
      <c r="A625" s="35"/>
      <c r="B625" s="35"/>
      <c r="C625" s="35"/>
      <c r="D625" s="35"/>
      <c r="E625" s="35"/>
      <c r="F625" s="35"/>
      <c r="G625" s="35"/>
      <c r="H625" s="35"/>
      <c r="I625" s="35"/>
      <c r="J625" s="35"/>
      <c r="K625" s="35"/>
      <c r="L625" s="35"/>
      <c r="M625" s="35"/>
      <c r="N625" s="35"/>
      <c r="O625" s="35"/>
      <c r="P625" s="35"/>
      <c r="Q625" s="35"/>
      <c r="R625" s="35"/>
      <c r="S625" s="35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D625" s="35"/>
      <c r="AE625" s="35"/>
      <c r="AF625" s="35"/>
      <c r="AG625" s="35"/>
      <c r="AH625" s="35"/>
      <c r="AI625" s="35"/>
      <c r="AJ625" s="35"/>
      <c r="AK625" s="35"/>
    </row>
    <row r="626" ht="12.75" customHeight="1">
      <c r="A626" s="35"/>
      <c r="B626" s="35"/>
      <c r="C626" s="35"/>
      <c r="D626" s="35"/>
      <c r="E626" s="35"/>
      <c r="F626" s="35"/>
      <c r="G626" s="35"/>
      <c r="H626" s="35"/>
      <c r="I626" s="35"/>
      <c r="J626" s="35"/>
      <c r="K626" s="35"/>
      <c r="L626" s="35"/>
      <c r="M626" s="35"/>
      <c r="N626" s="35"/>
      <c r="O626" s="35"/>
      <c r="P626" s="35"/>
      <c r="Q626" s="35"/>
      <c r="R626" s="35"/>
      <c r="S626" s="35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D626" s="35"/>
      <c r="AE626" s="35"/>
      <c r="AF626" s="35"/>
      <c r="AG626" s="35"/>
      <c r="AH626" s="35"/>
      <c r="AI626" s="35"/>
      <c r="AJ626" s="35"/>
      <c r="AK626" s="35"/>
    </row>
    <row r="627" ht="12.75" customHeight="1">
      <c r="A627" s="35"/>
      <c r="B627" s="35"/>
      <c r="C627" s="35"/>
      <c r="D627" s="35"/>
      <c r="E627" s="35"/>
      <c r="F627" s="35"/>
      <c r="G627" s="35"/>
      <c r="H627" s="35"/>
      <c r="I627" s="35"/>
      <c r="J627" s="35"/>
      <c r="K627" s="35"/>
      <c r="L627" s="35"/>
      <c r="M627" s="35"/>
      <c r="N627" s="35"/>
      <c r="O627" s="35"/>
      <c r="P627" s="35"/>
      <c r="Q627" s="35"/>
      <c r="R627" s="35"/>
      <c r="S627" s="35"/>
      <c r="T627" s="35"/>
      <c r="U627" s="35"/>
      <c r="V627" s="35"/>
      <c r="W627" s="35"/>
      <c r="X627" s="35"/>
      <c r="Y627" s="35"/>
      <c r="Z627" s="35"/>
      <c r="AA627" s="35"/>
      <c r="AB627" s="35"/>
      <c r="AC627" s="35"/>
      <c r="AD627" s="35"/>
      <c r="AE627" s="35"/>
      <c r="AF627" s="35"/>
      <c r="AG627" s="35"/>
      <c r="AH627" s="35"/>
      <c r="AI627" s="35"/>
      <c r="AJ627" s="35"/>
      <c r="AK627" s="35"/>
    </row>
    <row r="628" ht="12.75" customHeight="1">
      <c r="A628" s="35"/>
      <c r="B628" s="35"/>
      <c r="C628" s="35"/>
      <c r="D628" s="35"/>
      <c r="E628" s="35"/>
      <c r="F628" s="35"/>
      <c r="G628" s="35"/>
      <c r="H628" s="35"/>
      <c r="I628" s="35"/>
      <c r="J628" s="35"/>
      <c r="K628" s="35"/>
      <c r="L628" s="35"/>
      <c r="M628" s="35"/>
      <c r="N628" s="35"/>
      <c r="O628" s="35"/>
      <c r="P628" s="35"/>
      <c r="Q628" s="35"/>
      <c r="R628" s="35"/>
      <c r="S628" s="35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D628" s="35"/>
      <c r="AE628" s="35"/>
      <c r="AF628" s="35"/>
      <c r="AG628" s="35"/>
      <c r="AH628" s="35"/>
      <c r="AI628" s="35"/>
      <c r="AJ628" s="35"/>
      <c r="AK628" s="35"/>
    </row>
    <row r="629" ht="12.75" customHeight="1">
      <c r="A629" s="35"/>
      <c r="B629" s="35"/>
      <c r="C629" s="35"/>
      <c r="D629" s="35"/>
      <c r="E629" s="35"/>
      <c r="F629" s="35"/>
      <c r="G629" s="35"/>
      <c r="H629" s="35"/>
      <c r="I629" s="35"/>
      <c r="J629" s="35"/>
      <c r="K629" s="35"/>
      <c r="L629" s="35"/>
      <c r="M629" s="35"/>
      <c r="N629" s="35"/>
      <c r="O629" s="35"/>
      <c r="P629" s="35"/>
      <c r="Q629" s="35"/>
      <c r="R629" s="35"/>
      <c r="S629" s="35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D629" s="35"/>
      <c r="AE629" s="35"/>
      <c r="AF629" s="35"/>
      <c r="AG629" s="35"/>
      <c r="AH629" s="35"/>
      <c r="AI629" s="35"/>
      <c r="AJ629" s="35"/>
      <c r="AK629" s="35"/>
    </row>
    <row r="630" ht="12.75" customHeight="1">
      <c r="A630" s="35"/>
      <c r="B630" s="35"/>
      <c r="C630" s="35"/>
      <c r="D630" s="35"/>
      <c r="E630" s="35"/>
      <c r="F630" s="35"/>
      <c r="G630" s="35"/>
      <c r="H630" s="35"/>
      <c r="I630" s="35"/>
      <c r="J630" s="35"/>
      <c r="K630" s="35"/>
      <c r="L630" s="35"/>
      <c r="M630" s="35"/>
      <c r="N630" s="35"/>
      <c r="O630" s="35"/>
      <c r="P630" s="35"/>
      <c r="Q630" s="35"/>
      <c r="R630" s="35"/>
      <c r="S630" s="35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D630" s="35"/>
      <c r="AE630" s="35"/>
      <c r="AF630" s="35"/>
      <c r="AG630" s="35"/>
      <c r="AH630" s="35"/>
      <c r="AI630" s="35"/>
      <c r="AJ630" s="35"/>
      <c r="AK630" s="35"/>
    </row>
    <row r="631" ht="12.75" customHeight="1">
      <c r="A631" s="35"/>
      <c r="B631" s="35"/>
      <c r="C631" s="35"/>
      <c r="D631" s="35"/>
      <c r="E631" s="35"/>
      <c r="F631" s="35"/>
      <c r="G631" s="35"/>
      <c r="H631" s="35"/>
      <c r="I631" s="35"/>
      <c r="J631" s="35"/>
      <c r="K631" s="35"/>
      <c r="L631" s="35"/>
      <c r="M631" s="35"/>
      <c r="N631" s="35"/>
      <c r="O631" s="35"/>
      <c r="P631" s="35"/>
      <c r="Q631" s="35"/>
      <c r="R631" s="35"/>
      <c r="S631" s="35"/>
      <c r="T631" s="35"/>
      <c r="U631" s="35"/>
      <c r="V631" s="35"/>
      <c r="W631" s="35"/>
      <c r="X631" s="35"/>
      <c r="Y631" s="35"/>
      <c r="Z631" s="35"/>
      <c r="AA631" s="35"/>
      <c r="AB631" s="35"/>
      <c r="AC631" s="35"/>
      <c r="AD631" s="35"/>
      <c r="AE631" s="35"/>
      <c r="AF631" s="35"/>
      <c r="AG631" s="35"/>
      <c r="AH631" s="35"/>
      <c r="AI631" s="35"/>
      <c r="AJ631" s="35"/>
      <c r="AK631" s="35"/>
    </row>
    <row r="632" ht="12.75" customHeight="1">
      <c r="A632" s="35"/>
      <c r="B632" s="35"/>
      <c r="C632" s="35"/>
      <c r="D632" s="35"/>
      <c r="E632" s="35"/>
      <c r="F632" s="35"/>
      <c r="G632" s="35"/>
      <c r="H632" s="35"/>
      <c r="I632" s="35"/>
      <c r="J632" s="35"/>
      <c r="K632" s="35"/>
      <c r="L632" s="35"/>
      <c r="M632" s="35"/>
      <c r="N632" s="35"/>
      <c r="O632" s="35"/>
      <c r="P632" s="35"/>
      <c r="Q632" s="35"/>
      <c r="R632" s="35"/>
      <c r="S632" s="35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D632" s="35"/>
      <c r="AE632" s="35"/>
      <c r="AF632" s="35"/>
      <c r="AG632" s="35"/>
      <c r="AH632" s="35"/>
      <c r="AI632" s="35"/>
      <c r="AJ632" s="35"/>
      <c r="AK632" s="35"/>
    </row>
    <row r="633" ht="12.75" customHeight="1">
      <c r="A633" s="35"/>
      <c r="B633" s="35"/>
      <c r="C633" s="35"/>
      <c r="D633" s="35"/>
      <c r="E633" s="35"/>
      <c r="F633" s="35"/>
      <c r="G633" s="35"/>
      <c r="H633" s="35"/>
      <c r="I633" s="35"/>
      <c r="J633" s="35"/>
      <c r="K633" s="35"/>
      <c r="L633" s="35"/>
      <c r="M633" s="35"/>
      <c r="N633" s="35"/>
      <c r="O633" s="35"/>
      <c r="P633" s="35"/>
      <c r="Q633" s="35"/>
      <c r="R633" s="35"/>
      <c r="S633" s="35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D633" s="35"/>
      <c r="AE633" s="35"/>
      <c r="AF633" s="35"/>
      <c r="AG633" s="35"/>
      <c r="AH633" s="35"/>
      <c r="AI633" s="35"/>
      <c r="AJ633" s="35"/>
      <c r="AK633" s="35"/>
    </row>
    <row r="634" ht="12.75" customHeight="1">
      <c r="A634" s="35"/>
      <c r="B634" s="35"/>
      <c r="C634" s="35"/>
      <c r="D634" s="35"/>
      <c r="E634" s="35"/>
      <c r="F634" s="35"/>
      <c r="G634" s="35"/>
      <c r="H634" s="35"/>
      <c r="I634" s="35"/>
      <c r="J634" s="35"/>
      <c r="K634" s="35"/>
      <c r="L634" s="35"/>
      <c r="M634" s="35"/>
      <c r="N634" s="35"/>
      <c r="O634" s="35"/>
      <c r="P634" s="35"/>
      <c r="Q634" s="35"/>
      <c r="R634" s="35"/>
      <c r="S634" s="35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D634" s="35"/>
      <c r="AE634" s="35"/>
      <c r="AF634" s="35"/>
      <c r="AG634" s="35"/>
      <c r="AH634" s="35"/>
      <c r="AI634" s="35"/>
      <c r="AJ634" s="35"/>
      <c r="AK634" s="35"/>
    </row>
    <row r="635" ht="12.75" customHeight="1">
      <c r="A635" s="35"/>
      <c r="B635" s="35"/>
      <c r="C635" s="35"/>
      <c r="D635" s="35"/>
      <c r="E635" s="35"/>
      <c r="F635" s="35"/>
      <c r="G635" s="35"/>
      <c r="H635" s="35"/>
      <c r="I635" s="35"/>
      <c r="J635" s="35"/>
      <c r="K635" s="35"/>
      <c r="L635" s="35"/>
      <c r="M635" s="35"/>
      <c r="N635" s="35"/>
      <c r="O635" s="35"/>
      <c r="P635" s="35"/>
      <c r="Q635" s="35"/>
      <c r="R635" s="35"/>
      <c r="S635" s="35"/>
      <c r="T635" s="35"/>
      <c r="U635" s="35"/>
      <c r="V635" s="35"/>
      <c r="W635" s="35"/>
      <c r="X635" s="35"/>
      <c r="Y635" s="35"/>
      <c r="Z635" s="35"/>
      <c r="AA635" s="35"/>
      <c r="AB635" s="35"/>
      <c r="AC635" s="35"/>
      <c r="AD635" s="35"/>
      <c r="AE635" s="35"/>
      <c r="AF635" s="35"/>
      <c r="AG635" s="35"/>
      <c r="AH635" s="35"/>
      <c r="AI635" s="35"/>
      <c r="AJ635" s="35"/>
      <c r="AK635" s="35"/>
    </row>
    <row r="636" ht="12.75" customHeight="1">
      <c r="A636" s="35"/>
      <c r="B636" s="35"/>
      <c r="C636" s="35"/>
      <c r="D636" s="35"/>
      <c r="E636" s="35"/>
      <c r="F636" s="35"/>
      <c r="G636" s="35"/>
      <c r="H636" s="35"/>
      <c r="I636" s="35"/>
      <c r="J636" s="35"/>
      <c r="K636" s="35"/>
      <c r="L636" s="35"/>
      <c r="M636" s="35"/>
      <c r="N636" s="35"/>
      <c r="O636" s="35"/>
      <c r="P636" s="35"/>
      <c r="Q636" s="35"/>
      <c r="R636" s="35"/>
      <c r="S636" s="35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D636" s="35"/>
      <c r="AE636" s="35"/>
      <c r="AF636" s="35"/>
      <c r="AG636" s="35"/>
      <c r="AH636" s="35"/>
      <c r="AI636" s="35"/>
      <c r="AJ636" s="35"/>
      <c r="AK636" s="35"/>
    </row>
    <row r="637" ht="12.75" customHeight="1">
      <c r="A637" s="35"/>
      <c r="B637" s="35"/>
      <c r="C637" s="35"/>
      <c r="D637" s="35"/>
      <c r="E637" s="35"/>
      <c r="F637" s="35"/>
      <c r="G637" s="35"/>
      <c r="H637" s="35"/>
      <c r="I637" s="35"/>
      <c r="J637" s="35"/>
      <c r="K637" s="35"/>
      <c r="L637" s="35"/>
      <c r="M637" s="35"/>
      <c r="N637" s="35"/>
      <c r="O637" s="35"/>
      <c r="P637" s="35"/>
      <c r="Q637" s="35"/>
      <c r="R637" s="35"/>
      <c r="S637" s="35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D637" s="35"/>
      <c r="AE637" s="35"/>
      <c r="AF637" s="35"/>
      <c r="AG637" s="35"/>
      <c r="AH637" s="35"/>
      <c r="AI637" s="35"/>
      <c r="AJ637" s="35"/>
      <c r="AK637" s="35"/>
    </row>
    <row r="638" ht="12.75" customHeight="1">
      <c r="A638" s="35"/>
      <c r="B638" s="35"/>
      <c r="C638" s="35"/>
      <c r="D638" s="35"/>
      <c r="E638" s="35"/>
      <c r="F638" s="35"/>
      <c r="G638" s="35"/>
      <c r="H638" s="35"/>
      <c r="I638" s="35"/>
      <c r="J638" s="35"/>
      <c r="K638" s="35"/>
      <c r="L638" s="35"/>
      <c r="M638" s="35"/>
      <c r="N638" s="35"/>
      <c r="O638" s="35"/>
      <c r="P638" s="35"/>
      <c r="Q638" s="35"/>
      <c r="R638" s="35"/>
      <c r="S638" s="35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D638" s="35"/>
      <c r="AE638" s="35"/>
      <c r="AF638" s="35"/>
      <c r="AG638" s="35"/>
      <c r="AH638" s="35"/>
      <c r="AI638" s="35"/>
      <c r="AJ638" s="35"/>
      <c r="AK638" s="35"/>
    </row>
    <row r="639" ht="12.75" customHeight="1">
      <c r="A639" s="35"/>
      <c r="B639" s="35"/>
      <c r="C639" s="35"/>
      <c r="D639" s="35"/>
      <c r="E639" s="35"/>
      <c r="F639" s="35"/>
      <c r="G639" s="35"/>
      <c r="H639" s="35"/>
      <c r="I639" s="35"/>
      <c r="J639" s="35"/>
      <c r="K639" s="35"/>
      <c r="L639" s="35"/>
      <c r="M639" s="35"/>
      <c r="N639" s="35"/>
      <c r="O639" s="35"/>
      <c r="P639" s="35"/>
      <c r="Q639" s="35"/>
      <c r="R639" s="35"/>
      <c r="S639" s="35"/>
      <c r="T639" s="35"/>
      <c r="U639" s="35"/>
      <c r="V639" s="35"/>
      <c r="W639" s="35"/>
      <c r="X639" s="35"/>
      <c r="Y639" s="35"/>
      <c r="Z639" s="35"/>
      <c r="AA639" s="35"/>
      <c r="AB639" s="35"/>
      <c r="AC639" s="35"/>
      <c r="AD639" s="35"/>
      <c r="AE639" s="35"/>
      <c r="AF639" s="35"/>
      <c r="AG639" s="35"/>
      <c r="AH639" s="35"/>
      <c r="AI639" s="35"/>
      <c r="AJ639" s="35"/>
      <c r="AK639" s="35"/>
    </row>
    <row r="640" ht="12.75" customHeight="1">
      <c r="A640" s="35"/>
      <c r="B640" s="35"/>
      <c r="C640" s="35"/>
      <c r="D640" s="35"/>
      <c r="E640" s="35"/>
      <c r="F640" s="35"/>
      <c r="G640" s="35"/>
      <c r="H640" s="35"/>
      <c r="I640" s="35"/>
      <c r="J640" s="35"/>
      <c r="K640" s="35"/>
      <c r="L640" s="35"/>
      <c r="M640" s="35"/>
      <c r="N640" s="35"/>
      <c r="O640" s="35"/>
      <c r="P640" s="35"/>
      <c r="Q640" s="35"/>
      <c r="R640" s="35"/>
      <c r="S640" s="35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D640" s="35"/>
      <c r="AE640" s="35"/>
      <c r="AF640" s="35"/>
      <c r="AG640" s="35"/>
      <c r="AH640" s="35"/>
      <c r="AI640" s="35"/>
      <c r="AJ640" s="35"/>
      <c r="AK640" s="35"/>
    </row>
    <row r="641" ht="12.75" customHeight="1">
      <c r="A641" s="35"/>
      <c r="B641" s="35"/>
      <c r="C641" s="35"/>
      <c r="D641" s="35"/>
      <c r="E641" s="35"/>
      <c r="F641" s="35"/>
      <c r="G641" s="35"/>
      <c r="H641" s="35"/>
      <c r="I641" s="35"/>
      <c r="J641" s="35"/>
      <c r="K641" s="35"/>
      <c r="L641" s="35"/>
      <c r="M641" s="35"/>
      <c r="N641" s="35"/>
      <c r="O641" s="35"/>
      <c r="P641" s="35"/>
      <c r="Q641" s="35"/>
      <c r="R641" s="35"/>
      <c r="S641" s="35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D641" s="35"/>
      <c r="AE641" s="35"/>
      <c r="AF641" s="35"/>
      <c r="AG641" s="35"/>
      <c r="AH641" s="35"/>
      <c r="AI641" s="35"/>
      <c r="AJ641" s="35"/>
      <c r="AK641" s="35"/>
    </row>
    <row r="642" ht="12.75" customHeight="1">
      <c r="A642" s="35"/>
      <c r="B642" s="35"/>
      <c r="C642" s="35"/>
      <c r="D642" s="35"/>
      <c r="E642" s="35"/>
      <c r="F642" s="35"/>
      <c r="G642" s="35"/>
      <c r="H642" s="35"/>
      <c r="I642" s="35"/>
      <c r="J642" s="35"/>
      <c r="K642" s="35"/>
      <c r="L642" s="35"/>
      <c r="M642" s="35"/>
      <c r="N642" s="35"/>
      <c r="O642" s="35"/>
      <c r="P642" s="35"/>
      <c r="Q642" s="35"/>
      <c r="R642" s="35"/>
      <c r="S642" s="35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D642" s="35"/>
      <c r="AE642" s="35"/>
      <c r="AF642" s="35"/>
      <c r="AG642" s="35"/>
      <c r="AH642" s="35"/>
      <c r="AI642" s="35"/>
      <c r="AJ642" s="35"/>
      <c r="AK642" s="35"/>
    </row>
    <row r="643" ht="12.75" customHeight="1">
      <c r="A643" s="35"/>
      <c r="B643" s="35"/>
      <c r="C643" s="35"/>
      <c r="D643" s="35"/>
      <c r="E643" s="35"/>
      <c r="F643" s="35"/>
      <c r="G643" s="35"/>
      <c r="H643" s="35"/>
      <c r="I643" s="35"/>
      <c r="J643" s="35"/>
      <c r="K643" s="35"/>
      <c r="L643" s="35"/>
      <c r="M643" s="35"/>
      <c r="N643" s="35"/>
      <c r="O643" s="35"/>
      <c r="P643" s="35"/>
      <c r="Q643" s="35"/>
      <c r="R643" s="35"/>
      <c r="S643" s="35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D643" s="35"/>
      <c r="AE643" s="35"/>
      <c r="AF643" s="35"/>
      <c r="AG643" s="35"/>
      <c r="AH643" s="35"/>
      <c r="AI643" s="35"/>
      <c r="AJ643" s="35"/>
      <c r="AK643" s="35"/>
    </row>
    <row r="644" ht="12.75" customHeight="1">
      <c r="A644" s="35"/>
      <c r="B644" s="35"/>
      <c r="C644" s="35"/>
      <c r="D644" s="35"/>
      <c r="E644" s="35"/>
      <c r="F644" s="35"/>
      <c r="G644" s="35"/>
      <c r="H644" s="35"/>
      <c r="I644" s="35"/>
      <c r="J644" s="35"/>
      <c r="K644" s="35"/>
      <c r="L644" s="35"/>
      <c r="M644" s="35"/>
      <c r="N644" s="35"/>
      <c r="O644" s="35"/>
      <c r="P644" s="35"/>
      <c r="Q644" s="35"/>
      <c r="R644" s="35"/>
      <c r="S644" s="35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D644" s="35"/>
      <c r="AE644" s="35"/>
      <c r="AF644" s="35"/>
      <c r="AG644" s="35"/>
      <c r="AH644" s="35"/>
      <c r="AI644" s="35"/>
      <c r="AJ644" s="35"/>
      <c r="AK644" s="35"/>
    </row>
    <row r="645" ht="12.75" customHeight="1">
      <c r="A645" s="35"/>
      <c r="B645" s="35"/>
      <c r="C645" s="35"/>
      <c r="D645" s="35"/>
      <c r="E645" s="35"/>
      <c r="F645" s="35"/>
      <c r="G645" s="35"/>
      <c r="H645" s="35"/>
      <c r="I645" s="35"/>
      <c r="J645" s="35"/>
      <c r="K645" s="35"/>
      <c r="L645" s="35"/>
      <c r="M645" s="35"/>
      <c r="N645" s="35"/>
      <c r="O645" s="35"/>
      <c r="P645" s="35"/>
      <c r="Q645" s="35"/>
      <c r="R645" s="35"/>
      <c r="S645" s="35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D645" s="35"/>
      <c r="AE645" s="35"/>
      <c r="AF645" s="35"/>
      <c r="AG645" s="35"/>
      <c r="AH645" s="35"/>
      <c r="AI645" s="35"/>
      <c r="AJ645" s="35"/>
      <c r="AK645" s="35"/>
    </row>
    <row r="646" ht="12.75" customHeight="1">
      <c r="A646" s="35"/>
      <c r="B646" s="35"/>
      <c r="C646" s="35"/>
      <c r="D646" s="35"/>
      <c r="E646" s="35"/>
      <c r="F646" s="35"/>
      <c r="G646" s="35"/>
      <c r="H646" s="35"/>
      <c r="I646" s="35"/>
      <c r="J646" s="35"/>
      <c r="K646" s="35"/>
      <c r="L646" s="35"/>
      <c r="M646" s="35"/>
      <c r="N646" s="35"/>
      <c r="O646" s="35"/>
      <c r="P646" s="35"/>
      <c r="Q646" s="35"/>
      <c r="R646" s="35"/>
      <c r="S646" s="35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D646" s="35"/>
      <c r="AE646" s="35"/>
      <c r="AF646" s="35"/>
      <c r="AG646" s="35"/>
      <c r="AH646" s="35"/>
      <c r="AI646" s="35"/>
      <c r="AJ646" s="35"/>
      <c r="AK646" s="35"/>
    </row>
    <row r="647" ht="12.75" customHeight="1">
      <c r="A647" s="35"/>
      <c r="B647" s="35"/>
      <c r="C647" s="35"/>
      <c r="D647" s="35"/>
      <c r="E647" s="35"/>
      <c r="F647" s="35"/>
      <c r="G647" s="35"/>
      <c r="H647" s="35"/>
      <c r="I647" s="35"/>
      <c r="J647" s="35"/>
      <c r="K647" s="35"/>
      <c r="L647" s="35"/>
      <c r="M647" s="35"/>
      <c r="N647" s="35"/>
      <c r="O647" s="35"/>
      <c r="P647" s="35"/>
      <c r="Q647" s="35"/>
      <c r="R647" s="35"/>
      <c r="S647" s="35"/>
      <c r="T647" s="35"/>
      <c r="U647" s="35"/>
      <c r="V647" s="35"/>
      <c r="W647" s="35"/>
      <c r="X647" s="35"/>
      <c r="Y647" s="35"/>
      <c r="Z647" s="35"/>
      <c r="AA647" s="35"/>
      <c r="AB647" s="35"/>
      <c r="AC647" s="35"/>
      <c r="AD647" s="35"/>
      <c r="AE647" s="35"/>
      <c r="AF647" s="35"/>
      <c r="AG647" s="35"/>
      <c r="AH647" s="35"/>
      <c r="AI647" s="35"/>
      <c r="AJ647" s="35"/>
      <c r="AK647" s="35"/>
    </row>
    <row r="648" ht="12.75" customHeight="1">
      <c r="A648" s="35"/>
      <c r="B648" s="35"/>
      <c r="C648" s="35"/>
      <c r="D648" s="35"/>
      <c r="E648" s="35"/>
      <c r="F648" s="35"/>
      <c r="G648" s="35"/>
      <c r="H648" s="35"/>
      <c r="I648" s="35"/>
      <c r="J648" s="35"/>
      <c r="K648" s="35"/>
      <c r="L648" s="35"/>
      <c r="M648" s="35"/>
      <c r="N648" s="35"/>
      <c r="O648" s="35"/>
      <c r="P648" s="35"/>
      <c r="Q648" s="35"/>
      <c r="R648" s="35"/>
      <c r="S648" s="35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D648" s="35"/>
      <c r="AE648" s="35"/>
      <c r="AF648" s="35"/>
      <c r="AG648" s="35"/>
      <c r="AH648" s="35"/>
      <c r="AI648" s="35"/>
      <c r="AJ648" s="35"/>
      <c r="AK648" s="35"/>
    </row>
    <row r="649" ht="12.75" customHeight="1">
      <c r="A649" s="35"/>
      <c r="B649" s="35"/>
      <c r="C649" s="35"/>
      <c r="D649" s="35"/>
      <c r="E649" s="35"/>
      <c r="F649" s="35"/>
      <c r="G649" s="35"/>
      <c r="H649" s="35"/>
      <c r="I649" s="35"/>
      <c r="J649" s="35"/>
      <c r="K649" s="35"/>
      <c r="L649" s="35"/>
      <c r="M649" s="35"/>
      <c r="N649" s="35"/>
      <c r="O649" s="35"/>
      <c r="P649" s="35"/>
      <c r="Q649" s="35"/>
      <c r="R649" s="35"/>
      <c r="S649" s="35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D649" s="35"/>
      <c r="AE649" s="35"/>
      <c r="AF649" s="35"/>
      <c r="AG649" s="35"/>
      <c r="AH649" s="35"/>
      <c r="AI649" s="35"/>
      <c r="AJ649" s="35"/>
      <c r="AK649" s="35"/>
    </row>
    <row r="650" ht="12.75" customHeight="1">
      <c r="A650" s="35"/>
      <c r="B650" s="35"/>
      <c r="C650" s="35"/>
      <c r="D650" s="35"/>
      <c r="E650" s="35"/>
      <c r="F650" s="35"/>
      <c r="G650" s="35"/>
      <c r="H650" s="35"/>
      <c r="I650" s="35"/>
      <c r="J650" s="35"/>
      <c r="K650" s="35"/>
      <c r="L650" s="35"/>
      <c r="M650" s="35"/>
      <c r="N650" s="35"/>
      <c r="O650" s="35"/>
      <c r="P650" s="35"/>
      <c r="Q650" s="35"/>
      <c r="R650" s="35"/>
      <c r="S650" s="35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D650" s="35"/>
      <c r="AE650" s="35"/>
      <c r="AF650" s="35"/>
      <c r="AG650" s="35"/>
      <c r="AH650" s="35"/>
      <c r="AI650" s="35"/>
      <c r="AJ650" s="35"/>
      <c r="AK650" s="35"/>
    </row>
    <row r="651" ht="12.75" customHeight="1">
      <c r="A651" s="35"/>
      <c r="B651" s="35"/>
      <c r="C651" s="35"/>
      <c r="D651" s="35"/>
      <c r="E651" s="35"/>
      <c r="F651" s="35"/>
      <c r="G651" s="35"/>
      <c r="H651" s="35"/>
      <c r="I651" s="35"/>
      <c r="J651" s="35"/>
      <c r="K651" s="35"/>
      <c r="L651" s="35"/>
      <c r="M651" s="35"/>
      <c r="N651" s="35"/>
      <c r="O651" s="35"/>
      <c r="P651" s="35"/>
      <c r="Q651" s="35"/>
      <c r="R651" s="35"/>
      <c r="S651" s="35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D651" s="35"/>
      <c r="AE651" s="35"/>
      <c r="AF651" s="35"/>
      <c r="AG651" s="35"/>
      <c r="AH651" s="35"/>
      <c r="AI651" s="35"/>
      <c r="AJ651" s="35"/>
      <c r="AK651" s="35"/>
    </row>
    <row r="652" ht="12.75" customHeight="1">
      <c r="A652" s="35"/>
      <c r="B652" s="35"/>
      <c r="C652" s="35"/>
      <c r="D652" s="35"/>
      <c r="E652" s="35"/>
      <c r="F652" s="35"/>
      <c r="G652" s="35"/>
      <c r="H652" s="35"/>
      <c r="I652" s="35"/>
      <c r="J652" s="35"/>
      <c r="K652" s="35"/>
      <c r="L652" s="35"/>
      <c r="M652" s="35"/>
      <c r="N652" s="35"/>
      <c r="O652" s="35"/>
      <c r="P652" s="35"/>
      <c r="Q652" s="35"/>
      <c r="R652" s="35"/>
      <c r="S652" s="35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D652" s="35"/>
      <c r="AE652" s="35"/>
      <c r="AF652" s="35"/>
      <c r="AG652" s="35"/>
      <c r="AH652" s="35"/>
      <c r="AI652" s="35"/>
      <c r="AJ652" s="35"/>
      <c r="AK652" s="35"/>
    </row>
    <row r="653" ht="12.75" customHeight="1">
      <c r="A653" s="35"/>
      <c r="B653" s="35"/>
      <c r="C653" s="35"/>
      <c r="D653" s="35"/>
      <c r="E653" s="35"/>
      <c r="F653" s="35"/>
      <c r="G653" s="35"/>
      <c r="H653" s="35"/>
      <c r="I653" s="35"/>
      <c r="J653" s="35"/>
      <c r="K653" s="35"/>
      <c r="L653" s="35"/>
      <c r="M653" s="35"/>
      <c r="N653" s="35"/>
      <c r="O653" s="35"/>
      <c r="P653" s="35"/>
      <c r="Q653" s="35"/>
      <c r="R653" s="35"/>
      <c r="S653" s="35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D653" s="35"/>
      <c r="AE653" s="35"/>
      <c r="AF653" s="35"/>
      <c r="AG653" s="35"/>
      <c r="AH653" s="35"/>
      <c r="AI653" s="35"/>
      <c r="AJ653" s="35"/>
      <c r="AK653" s="35"/>
    </row>
    <row r="654" ht="12.75" customHeight="1">
      <c r="A654" s="35"/>
      <c r="B654" s="35"/>
      <c r="C654" s="35"/>
      <c r="D654" s="35"/>
      <c r="E654" s="35"/>
      <c r="F654" s="35"/>
      <c r="G654" s="35"/>
      <c r="H654" s="35"/>
      <c r="I654" s="35"/>
      <c r="J654" s="35"/>
      <c r="K654" s="35"/>
      <c r="L654" s="35"/>
      <c r="M654" s="35"/>
      <c r="N654" s="35"/>
      <c r="O654" s="35"/>
      <c r="P654" s="35"/>
      <c r="Q654" s="35"/>
      <c r="R654" s="35"/>
      <c r="S654" s="35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D654" s="35"/>
      <c r="AE654" s="35"/>
      <c r="AF654" s="35"/>
      <c r="AG654" s="35"/>
      <c r="AH654" s="35"/>
      <c r="AI654" s="35"/>
      <c r="AJ654" s="35"/>
      <c r="AK654" s="35"/>
    </row>
    <row r="655" ht="12.75" customHeight="1">
      <c r="A655" s="35"/>
      <c r="B655" s="35"/>
      <c r="C655" s="35"/>
      <c r="D655" s="35"/>
      <c r="E655" s="35"/>
      <c r="F655" s="35"/>
      <c r="G655" s="35"/>
      <c r="H655" s="35"/>
      <c r="I655" s="35"/>
      <c r="J655" s="35"/>
      <c r="K655" s="35"/>
      <c r="L655" s="35"/>
      <c r="M655" s="35"/>
      <c r="N655" s="35"/>
      <c r="O655" s="35"/>
      <c r="P655" s="35"/>
      <c r="Q655" s="35"/>
      <c r="R655" s="35"/>
      <c r="S655" s="35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D655" s="35"/>
      <c r="AE655" s="35"/>
      <c r="AF655" s="35"/>
      <c r="AG655" s="35"/>
      <c r="AH655" s="35"/>
      <c r="AI655" s="35"/>
      <c r="AJ655" s="35"/>
      <c r="AK655" s="35"/>
    </row>
    <row r="656" ht="12.75" customHeight="1">
      <c r="A656" s="35"/>
      <c r="B656" s="35"/>
      <c r="C656" s="35"/>
      <c r="D656" s="35"/>
      <c r="E656" s="35"/>
      <c r="F656" s="35"/>
      <c r="G656" s="35"/>
      <c r="H656" s="35"/>
      <c r="I656" s="35"/>
      <c r="J656" s="35"/>
      <c r="K656" s="35"/>
      <c r="L656" s="35"/>
      <c r="M656" s="35"/>
      <c r="N656" s="35"/>
      <c r="O656" s="35"/>
      <c r="P656" s="35"/>
      <c r="Q656" s="35"/>
      <c r="R656" s="35"/>
      <c r="S656" s="35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D656" s="35"/>
      <c r="AE656" s="35"/>
      <c r="AF656" s="35"/>
      <c r="AG656" s="35"/>
      <c r="AH656" s="35"/>
      <c r="AI656" s="35"/>
      <c r="AJ656" s="35"/>
      <c r="AK656" s="35"/>
    </row>
    <row r="657" ht="12.75" customHeight="1">
      <c r="A657" s="35"/>
      <c r="B657" s="35"/>
      <c r="C657" s="35"/>
      <c r="D657" s="35"/>
      <c r="E657" s="35"/>
      <c r="F657" s="35"/>
      <c r="G657" s="35"/>
      <c r="H657" s="35"/>
      <c r="I657" s="35"/>
      <c r="J657" s="35"/>
      <c r="K657" s="35"/>
      <c r="L657" s="35"/>
      <c r="M657" s="35"/>
      <c r="N657" s="35"/>
      <c r="O657" s="35"/>
      <c r="P657" s="35"/>
      <c r="Q657" s="35"/>
      <c r="R657" s="35"/>
      <c r="S657" s="35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D657" s="35"/>
      <c r="AE657" s="35"/>
      <c r="AF657" s="35"/>
      <c r="AG657" s="35"/>
      <c r="AH657" s="35"/>
      <c r="AI657" s="35"/>
      <c r="AJ657" s="35"/>
      <c r="AK657" s="35"/>
    </row>
    <row r="658" ht="12.75" customHeight="1">
      <c r="A658" s="35"/>
      <c r="B658" s="35"/>
      <c r="C658" s="35"/>
      <c r="D658" s="35"/>
      <c r="E658" s="35"/>
      <c r="F658" s="35"/>
      <c r="G658" s="35"/>
      <c r="H658" s="35"/>
      <c r="I658" s="35"/>
      <c r="J658" s="35"/>
      <c r="K658" s="35"/>
      <c r="L658" s="35"/>
      <c r="M658" s="35"/>
      <c r="N658" s="35"/>
      <c r="O658" s="35"/>
      <c r="P658" s="35"/>
      <c r="Q658" s="35"/>
      <c r="R658" s="35"/>
      <c r="S658" s="35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D658" s="35"/>
      <c r="AE658" s="35"/>
      <c r="AF658" s="35"/>
      <c r="AG658" s="35"/>
      <c r="AH658" s="35"/>
      <c r="AI658" s="35"/>
      <c r="AJ658" s="35"/>
      <c r="AK658" s="35"/>
    </row>
    <row r="659" ht="12.75" customHeight="1">
      <c r="A659" s="35"/>
      <c r="B659" s="35"/>
      <c r="C659" s="35"/>
      <c r="D659" s="35"/>
      <c r="E659" s="35"/>
      <c r="F659" s="35"/>
      <c r="G659" s="35"/>
      <c r="H659" s="35"/>
      <c r="I659" s="35"/>
      <c r="J659" s="35"/>
      <c r="K659" s="35"/>
      <c r="L659" s="35"/>
      <c r="M659" s="35"/>
      <c r="N659" s="35"/>
      <c r="O659" s="35"/>
      <c r="P659" s="35"/>
      <c r="Q659" s="35"/>
      <c r="R659" s="35"/>
      <c r="S659" s="35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D659" s="35"/>
      <c r="AE659" s="35"/>
      <c r="AF659" s="35"/>
      <c r="AG659" s="35"/>
      <c r="AH659" s="35"/>
      <c r="AI659" s="35"/>
      <c r="AJ659" s="35"/>
      <c r="AK659" s="35"/>
    </row>
    <row r="660" ht="12.75" customHeight="1">
      <c r="A660" s="35"/>
      <c r="B660" s="35"/>
      <c r="C660" s="35"/>
      <c r="D660" s="35"/>
      <c r="E660" s="35"/>
      <c r="F660" s="35"/>
      <c r="G660" s="35"/>
      <c r="H660" s="35"/>
      <c r="I660" s="35"/>
      <c r="J660" s="35"/>
      <c r="K660" s="35"/>
      <c r="L660" s="35"/>
      <c r="M660" s="35"/>
      <c r="N660" s="35"/>
      <c r="O660" s="35"/>
      <c r="P660" s="35"/>
      <c r="Q660" s="35"/>
      <c r="R660" s="35"/>
      <c r="S660" s="35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D660" s="35"/>
      <c r="AE660" s="35"/>
      <c r="AF660" s="35"/>
      <c r="AG660" s="35"/>
      <c r="AH660" s="35"/>
      <c r="AI660" s="35"/>
      <c r="AJ660" s="35"/>
      <c r="AK660" s="35"/>
    </row>
    <row r="661" ht="12.75" customHeight="1">
      <c r="A661" s="35"/>
      <c r="B661" s="35"/>
      <c r="C661" s="35"/>
      <c r="D661" s="35"/>
      <c r="E661" s="35"/>
      <c r="F661" s="35"/>
      <c r="G661" s="35"/>
      <c r="H661" s="35"/>
      <c r="I661" s="35"/>
      <c r="J661" s="35"/>
      <c r="K661" s="35"/>
      <c r="L661" s="35"/>
      <c r="M661" s="35"/>
      <c r="N661" s="35"/>
      <c r="O661" s="35"/>
      <c r="P661" s="35"/>
      <c r="Q661" s="35"/>
      <c r="R661" s="35"/>
      <c r="S661" s="35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D661" s="35"/>
      <c r="AE661" s="35"/>
      <c r="AF661" s="35"/>
      <c r="AG661" s="35"/>
      <c r="AH661" s="35"/>
      <c r="AI661" s="35"/>
      <c r="AJ661" s="35"/>
      <c r="AK661" s="35"/>
    </row>
    <row r="662" ht="12.75" customHeight="1">
      <c r="A662" s="35"/>
      <c r="B662" s="35"/>
      <c r="C662" s="35"/>
      <c r="D662" s="35"/>
      <c r="E662" s="35"/>
      <c r="F662" s="35"/>
      <c r="G662" s="35"/>
      <c r="H662" s="35"/>
      <c r="I662" s="35"/>
      <c r="J662" s="35"/>
      <c r="K662" s="35"/>
      <c r="L662" s="35"/>
      <c r="M662" s="35"/>
      <c r="N662" s="35"/>
      <c r="O662" s="35"/>
      <c r="P662" s="35"/>
      <c r="Q662" s="35"/>
      <c r="R662" s="35"/>
      <c r="S662" s="35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D662" s="35"/>
      <c r="AE662" s="35"/>
      <c r="AF662" s="35"/>
      <c r="AG662" s="35"/>
      <c r="AH662" s="35"/>
      <c r="AI662" s="35"/>
      <c r="AJ662" s="35"/>
      <c r="AK662" s="35"/>
    </row>
    <row r="663" ht="12.75" customHeight="1">
      <c r="A663" s="35"/>
      <c r="B663" s="35"/>
      <c r="C663" s="35"/>
      <c r="D663" s="35"/>
      <c r="E663" s="35"/>
      <c r="F663" s="35"/>
      <c r="G663" s="35"/>
      <c r="H663" s="35"/>
      <c r="I663" s="35"/>
      <c r="J663" s="35"/>
      <c r="K663" s="35"/>
      <c r="L663" s="35"/>
      <c r="M663" s="35"/>
      <c r="N663" s="35"/>
      <c r="O663" s="35"/>
      <c r="P663" s="35"/>
      <c r="Q663" s="35"/>
      <c r="R663" s="35"/>
      <c r="S663" s="35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D663" s="35"/>
      <c r="AE663" s="35"/>
      <c r="AF663" s="35"/>
      <c r="AG663" s="35"/>
      <c r="AH663" s="35"/>
      <c r="AI663" s="35"/>
      <c r="AJ663" s="35"/>
      <c r="AK663" s="35"/>
    </row>
    <row r="664" ht="12.75" customHeight="1">
      <c r="A664" s="35"/>
      <c r="B664" s="35"/>
      <c r="C664" s="35"/>
      <c r="D664" s="35"/>
      <c r="E664" s="35"/>
      <c r="F664" s="35"/>
      <c r="G664" s="35"/>
      <c r="H664" s="35"/>
      <c r="I664" s="35"/>
      <c r="J664" s="35"/>
      <c r="K664" s="35"/>
      <c r="L664" s="35"/>
      <c r="M664" s="35"/>
      <c r="N664" s="35"/>
      <c r="O664" s="35"/>
      <c r="P664" s="35"/>
      <c r="Q664" s="35"/>
      <c r="R664" s="35"/>
      <c r="S664" s="35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D664" s="35"/>
      <c r="AE664" s="35"/>
      <c r="AF664" s="35"/>
      <c r="AG664" s="35"/>
      <c r="AH664" s="35"/>
      <c r="AI664" s="35"/>
      <c r="AJ664" s="35"/>
      <c r="AK664" s="35"/>
    </row>
    <row r="665" ht="12.75" customHeight="1">
      <c r="A665" s="35"/>
      <c r="B665" s="35"/>
      <c r="C665" s="35"/>
      <c r="D665" s="35"/>
      <c r="E665" s="35"/>
      <c r="F665" s="35"/>
      <c r="G665" s="35"/>
      <c r="H665" s="35"/>
      <c r="I665" s="35"/>
      <c r="J665" s="35"/>
      <c r="K665" s="35"/>
      <c r="L665" s="35"/>
      <c r="M665" s="35"/>
      <c r="N665" s="35"/>
      <c r="O665" s="35"/>
      <c r="P665" s="35"/>
      <c r="Q665" s="35"/>
      <c r="R665" s="35"/>
      <c r="S665" s="35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D665" s="35"/>
      <c r="AE665" s="35"/>
      <c r="AF665" s="35"/>
      <c r="AG665" s="35"/>
      <c r="AH665" s="35"/>
      <c r="AI665" s="35"/>
      <c r="AJ665" s="35"/>
      <c r="AK665" s="35"/>
    </row>
    <row r="666" ht="12.75" customHeight="1">
      <c r="A666" s="35"/>
      <c r="B666" s="35"/>
      <c r="C666" s="35"/>
      <c r="D666" s="35"/>
      <c r="E666" s="35"/>
      <c r="F666" s="35"/>
      <c r="G666" s="35"/>
      <c r="H666" s="35"/>
      <c r="I666" s="35"/>
      <c r="J666" s="35"/>
      <c r="K666" s="35"/>
      <c r="L666" s="35"/>
      <c r="M666" s="35"/>
      <c r="N666" s="35"/>
      <c r="O666" s="35"/>
      <c r="P666" s="35"/>
      <c r="Q666" s="35"/>
      <c r="R666" s="35"/>
      <c r="S666" s="35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D666" s="35"/>
      <c r="AE666" s="35"/>
      <c r="AF666" s="35"/>
      <c r="AG666" s="35"/>
      <c r="AH666" s="35"/>
      <c r="AI666" s="35"/>
      <c r="AJ666" s="35"/>
      <c r="AK666" s="35"/>
    </row>
    <row r="667" ht="12.75" customHeight="1">
      <c r="A667" s="35"/>
      <c r="B667" s="35"/>
      <c r="C667" s="35"/>
      <c r="D667" s="35"/>
      <c r="E667" s="35"/>
      <c r="F667" s="35"/>
      <c r="G667" s="35"/>
      <c r="H667" s="35"/>
      <c r="I667" s="35"/>
      <c r="J667" s="35"/>
      <c r="K667" s="35"/>
      <c r="L667" s="35"/>
      <c r="M667" s="35"/>
      <c r="N667" s="35"/>
      <c r="O667" s="35"/>
      <c r="P667" s="35"/>
      <c r="Q667" s="35"/>
      <c r="R667" s="35"/>
      <c r="S667" s="35"/>
      <c r="T667" s="35"/>
      <c r="U667" s="35"/>
      <c r="V667" s="35"/>
      <c r="W667" s="35"/>
      <c r="X667" s="35"/>
      <c r="Y667" s="35"/>
      <c r="Z667" s="35"/>
      <c r="AA667" s="35"/>
      <c r="AB667" s="35"/>
      <c r="AC667" s="35"/>
      <c r="AD667" s="35"/>
      <c r="AE667" s="35"/>
      <c r="AF667" s="35"/>
      <c r="AG667" s="35"/>
      <c r="AH667" s="35"/>
      <c r="AI667" s="35"/>
      <c r="AJ667" s="35"/>
      <c r="AK667" s="35"/>
    </row>
    <row r="668" ht="12.75" customHeight="1">
      <c r="A668" s="35"/>
      <c r="B668" s="35"/>
      <c r="C668" s="35"/>
      <c r="D668" s="35"/>
      <c r="E668" s="35"/>
      <c r="F668" s="35"/>
      <c r="G668" s="35"/>
      <c r="H668" s="35"/>
      <c r="I668" s="35"/>
      <c r="J668" s="35"/>
      <c r="K668" s="35"/>
      <c r="L668" s="35"/>
      <c r="M668" s="35"/>
      <c r="N668" s="35"/>
      <c r="O668" s="35"/>
      <c r="P668" s="35"/>
      <c r="Q668" s="35"/>
      <c r="R668" s="35"/>
      <c r="S668" s="35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D668" s="35"/>
      <c r="AE668" s="35"/>
      <c r="AF668" s="35"/>
      <c r="AG668" s="35"/>
      <c r="AH668" s="35"/>
      <c r="AI668" s="35"/>
      <c r="AJ668" s="35"/>
      <c r="AK668" s="35"/>
    </row>
    <row r="669" ht="12.75" customHeight="1">
      <c r="A669" s="35"/>
      <c r="B669" s="35"/>
      <c r="C669" s="35"/>
      <c r="D669" s="35"/>
      <c r="E669" s="35"/>
      <c r="F669" s="35"/>
      <c r="G669" s="35"/>
      <c r="H669" s="35"/>
      <c r="I669" s="35"/>
      <c r="J669" s="35"/>
      <c r="K669" s="35"/>
      <c r="L669" s="35"/>
      <c r="M669" s="35"/>
      <c r="N669" s="35"/>
      <c r="O669" s="35"/>
      <c r="P669" s="35"/>
      <c r="Q669" s="35"/>
      <c r="R669" s="35"/>
      <c r="S669" s="35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D669" s="35"/>
      <c r="AE669" s="35"/>
      <c r="AF669" s="35"/>
      <c r="AG669" s="35"/>
      <c r="AH669" s="35"/>
      <c r="AI669" s="35"/>
      <c r="AJ669" s="35"/>
      <c r="AK669" s="35"/>
    </row>
    <row r="670" ht="12.75" customHeight="1">
      <c r="A670" s="35"/>
      <c r="B670" s="35"/>
      <c r="C670" s="35"/>
      <c r="D670" s="35"/>
      <c r="E670" s="35"/>
      <c r="F670" s="35"/>
      <c r="G670" s="35"/>
      <c r="H670" s="35"/>
      <c r="I670" s="35"/>
      <c r="J670" s="35"/>
      <c r="K670" s="35"/>
      <c r="L670" s="35"/>
      <c r="M670" s="35"/>
      <c r="N670" s="35"/>
      <c r="O670" s="35"/>
      <c r="P670" s="35"/>
      <c r="Q670" s="35"/>
      <c r="R670" s="35"/>
      <c r="S670" s="35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D670" s="35"/>
      <c r="AE670" s="35"/>
      <c r="AF670" s="35"/>
      <c r="AG670" s="35"/>
      <c r="AH670" s="35"/>
      <c r="AI670" s="35"/>
      <c r="AJ670" s="35"/>
      <c r="AK670" s="35"/>
    </row>
    <row r="671" ht="12.75" customHeight="1">
      <c r="A671" s="35"/>
      <c r="B671" s="35"/>
      <c r="C671" s="35"/>
      <c r="D671" s="35"/>
      <c r="E671" s="35"/>
      <c r="F671" s="35"/>
      <c r="G671" s="35"/>
      <c r="H671" s="35"/>
      <c r="I671" s="35"/>
      <c r="J671" s="35"/>
      <c r="K671" s="35"/>
      <c r="L671" s="35"/>
      <c r="M671" s="35"/>
      <c r="N671" s="35"/>
      <c r="O671" s="35"/>
      <c r="P671" s="35"/>
      <c r="Q671" s="35"/>
      <c r="R671" s="35"/>
      <c r="S671" s="35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D671" s="35"/>
      <c r="AE671" s="35"/>
      <c r="AF671" s="35"/>
      <c r="AG671" s="35"/>
      <c r="AH671" s="35"/>
      <c r="AI671" s="35"/>
      <c r="AJ671" s="35"/>
      <c r="AK671" s="35"/>
    </row>
    <row r="672" ht="12.75" customHeight="1">
      <c r="A672" s="35"/>
      <c r="B672" s="35"/>
      <c r="C672" s="35"/>
      <c r="D672" s="35"/>
      <c r="E672" s="35"/>
      <c r="F672" s="35"/>
      <c r="G672" s="35"/>
      <c r="H672" s="35"/>
      <c r="I672" s="35"/>
      <c r="J672" s="35"/>
      <c r="K672" s="35"/>
      <c r="L672" s="35"/>
      <c r="M672" s="35"/>
      <c r="N672" s="35"/>
      <c r="O672" s="35"/>
      <c r="P672" s="35"/>
      <c r="Q672" s="35"/>
      <c r="R672" s="35"/>
      <c r="S672" s="35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D672" s="35"/>
      <c r="AE672" s="35"/>
      <c r="AF672" s="35"/>
      <c r="AG672" s="35"/>
      <c r="AH672" s="35"/>
      <c r="AI672" s="35"/>
      <c r="AJ672" s="35"/>
      <c r="AK672" s="35"/>
    </row>
    <row r="673" ht="12.75" customHeight="1">
      <c r="A673" s="35"/>
      <c r="B673" s="35"/>
      <c r="C673" s="35"/>
      <c r="D673" s="35"/>
      <c r="E673" s="35"/>
      <c r="F673" s="35"/>
      <c r="G673" s="35"/>
      <c r="H673" s="35"/>
      <c r="I673" s="35"/>
      <c r="J673" s="35"/>
      <c r="K673" s="35"/>
      <c r="L673" s="35"/>
      <c r="M673" s="35"/>
      <c r="N673" s="35"/>
      <c r="O673" s="35"/>
      <c r="P673" s="35"/>
      <c r="Q673" s="35"/>
      <c r="R673" s="35"/>
      <c r="S673" s="35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D673" s="35"/>
      <c r="AE673" s="35"/>
      <c r="AF673" s="35"/>
      <c r="AG673" s="35"/>
      <c r="AH673" s="35"/>
      <c r="AI673" s="35"/>
      <c r="AJ673" s="35"/>
      <c r="AK673" s="35"/>
    </row>
    <row r="674" ht="12.75" customHeight="1">
      <c r="A674" s="35"/>
      <c r="B674" s="35"/>
      <c r="C674" s="35"/>
      <c r="D674" s="35"/>
      <c r="E674" s="35"/>
      <c r="F674" s="35"/>
      <c r="G674" s="35"/>
      <c r="H674" s="35"/>
      <c r="I674" s="35"/>
      <c r="J674" s="35"/>
      <c r="K674" s="35"/>
      <c r="L674" s="35"/>
      <c r="M674" s="35"/>
      <c r="N674" s="35"/>
      <c r="O674" s="35"/>
      <c r="P674" s="35"/>
      <c r="Q674" s="35"/>
      <c r="R674" s="35"/>
      <c r="S674" s="35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D674" s="35"/>
      <c r="AE674" s="35"/>
      <c r="AF674" s="35"/>
      <c r="AG674" s="35"/>
      <c r="AH674" s="35"/>
      <c r="AI674" s="35"/>
      <c r="AJ674" s="35"/>
      <c r="AK674" s="35"/>
    </row>
    <row r="675" ht="12.75" customHeight="1">
      <c r="A675" s="35"/>
      <c r="B675" s="35"/>
      <c r="C675" s="35"/>
      <c r="D675" s="35"/>
      <c r="E675" s="35"/>
      <c r="F675" s="35"/>
      <c r="G675" s="35"/>
      <c r="H675" s="35"/>
      <c r="I675" s="35"/>
      <c r="J675" s="35"/>
      <c r="K675" s="35"/>
      <c r="L675" s="35"/>
      <c r="M675" s="35"/>
      <c r="N675" s="35"/>
      <c r="O675" s="35"/>
      <c r="P675" s="35"/>
      <c r="Q675" s="35"/>
      <c r="R675" s="35"/>
      <c r="S675" s="35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D675" s="35"/>
      <c r="AE675" s="35"/>
      <c r="AF675" s="35"/>
      <c r="AG675" s="35"/>
      <c r="AH675" s="35"/>
      <c r="AI675" s="35"/>
      <c r="AJ675" s="35"/>
      <c r="AK675" s="35"/>
    </row>
    <row r="676" ht="12.75" customHeight="1">
      <c r="A676" s="35"/>
      <c r="B676" s="35"/>
      <c r="C676" s="35"/>
      <c r="D676" s="35"/>
      <c r="E676" s="35"/>
      <c r="F676" s="35"/>
      <c r="G676" s="35"/>
      <c r="H676" s="35"/>
      <c r="I676" s="35"/>
      <c r="J676" s="35"/>
      <c r="K676" s="35"/>
      <c r="L676" s="35"/>
      <c r="M676" s="35"/>
      <c r="N676" s="35"/>
      <c r="O676" s="35"/>
      <c r="P676" s="35"/>
      <c r="Q676" s="35"/>
      <c r="R676" s="35"/>
      <c r="S676" s="35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D676" s="35"/>
      <c r="AE676" s="35"/>
      <c r="AF676" s="35"/>
      <c r="AG676" s="35"/>
      <c r="AH676" s="35"/>
      <c r="AI676" s="35"/>
      <c r="AJ676" s="35"/>
      <c r="AK676" s="35"/>
    </row>
    <row r="677" ht="12.75" customHeight="1">
      <c r="A677" s="35"/>
      <c r="B677" s="35"/>
      <c r="C677" s="35"/>
      <c r="D677" s="35"/>
      <c r="E677" s="35"/>
      <c r="F677" s="35"/>
      <c r="G677" s="35"/>
      <c r="H677" s="35"/>
      <c r="I677" s="35"/>
      <c r="J677" s="35"/>
      <c r="K677" s="35"/>
      <c r="L677" s="35"/>
      <c r="M677" s="35"/>
      <c r="N677" s="35"/>
      <c r="O677" s="35"/>
      <c r="P677" s="35"/>
      <c r="Q677" s="35"/>
      <c r="R677" s="35"/>
      <c r="S677" s="35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D677" s="35"/>
      <c r="AE677" s="35"/>
      <c r="AF677" s="35"/>
      <c r="AG677" s="35"/>
      <c r="AH677" s="35"/>
      <c r="AI677" s="35"/>
      <c r="AJ677" s="35"/>
      <c r="AK677" s="35"/>
    </row>
    <row r="678" ht="12.75" customHeight="1">
      <c r="A678" s="35"/>
      <c r="B678" s="35"/>
      <c r="C678" s="35"/>
      <c r="D678" s="35"/>
      <c r="E678" s="35"/>
      <c r="F678" s="35"/>
      <c r="G678" s="35"/>
      <c r="H678" s="35"/>
      <c r="I678" s="35"/>
      <c r="J678" s="35"/>
      <c r="K678" s="35"/>
      <c r="L678" s="35"/>
      <c r="M678" s="35"/>
      <c r="N678" s="35"/>
      <c r="O678" s="35"/>
      <c r="P678" s="35"/>
      <c r="Q678" s="35"/>
      <c r="R678" s="35"/>
      <c r="S678" s="35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D678" s="35"/>
      <c r="AE678" s="35"/>
      <c r="AF678" s="35"/>
      <c r="AG678" s="35"/>
      <c r="AH678" s="35"/>
      <c r="AI678" s="35"/>
      <c r="AJ678" s="35"/>
      <c r="AK678" s="35"/>
    </row>
    <row r="679" ht="12.75" customHeight="1">
      <c r="A679" s="35"/>
      <c r="B679" s="35"/>
      <c r="C679" s="35"/>
      <c r="D679" s="35"/>
      <c r="E679" s="35"/>
      <c r="F679" s="35"/>
      <c r="G679" s="35"/>
      <c r="H679" s="35"/>
      <c r="I679" s="35"/>
      <c r="J679" s="35"/>
      <c r="K679" s="35"/>
      <c r="L679" s="35"/>
      <c r="M679" s="35"/>
      <c r="N679" s="35"/>
      <c r="O679" s="35"/>
      <c r="P679" s="35"/>
      <c r="Q679" s="35"/>
      <c r="R679" s="35"/>
      <c r="S679" s="35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D679" s="35"/>
      <c r="AE679" s="35"/>
      <c r="AF679" s="35"/>
      <c r="AG679" s="35"/>
      <c r="AH679" s="35"/>
      <c r="AI679" s="35"/>
      <c r="AJ679" s="35"/>
      <c r="AK679" s="35"/>
    </row>
    <row r="680" ht="12.75" customHeight="1">
      <c r="A680" s="35"/>
      <c r="B680" s="35"/>
      <c r="C680" s="35"/>
      <c r="D680" s="35"/>
      <c r="E680" s="35"/>
      <c r="F680" s="35"/>
      <c r="G680" s="35"/>
      <c r="H680" s="35"/>
      <c r="I680" s="35"/>
      <c r="J680" s="35"/>
      <c r="K680" s="35"/>
      <c r="L680" s="35"/>
      <c r="M680" s="35"/>
      <c r="N680" s="35"/>
      <c r="O680" s="35"/>
      <c r="P680" s="35"/>
      <c r="Q680" s="35"/>
      <c r="R680" s="35"/>
      <c r="S680" s="35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D680" s="35"/>
      <c r="AE680" s="35"/>
      <c r="AF680" s="35"/>
      <c r="AG680" s="35"/>
      <c r="AH680" s="35"/>
      <c r="AI680" s="35"/>
      <c r="AJ680" s="35"/>
      <c r="AK680" s="35"/>
    </row>
    <row r="681" ht="12.75" customHeight="1">
      <c r="A681" s="35"/>
      <c r="B681" s="35"/>
      <c r="C681" s="35"/>
      <c r="D681" s="35"/>
      <c r="E681" s="35"/>
      <c r="F681" s="35"/>
      <c r="G681" s="35"/>
      <c r="H681" s="35"/>
      <c r="I681" s="35"/>
      <c r="J681" s="35"/>
      <c r="K681" s="35"/>
      <c r="L681" s="35"/>
      <c r="M681" s="35"/>
      <c r="N681" s="35"/>
      <c r="O681" s="35"/>
      <c r="P681" s="35"/>
      <c r="Q681" s="35"/>
      <c r="R681" s="35"/>
      <c r="S681" s="35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D681" s="35"/>
      <c r="AE681" s="35"/>
      <c r="AF681" s="35"/>
      <c r="AG681" s="35"/>
      <c r="AH681" s="35"/>
      <c r="AI681" s="35"/>
      <c r="AJ681" s="35"/>
      <c r="AK681" s="35"/>
    </row>
    <row r="682" ht="12.75" customHeight="1">
      <c r="A682" s="35"/>
      <c r="B682" s="35"/>
      <c r="C682" s="35"/>
      <c r="D682" s="35"/>
      <c r="E682" s="35"/>
      <c r="F682" s="35"/>
      <c r="G682" s="35"/>
      <c r="H682" s="35"/>
      <c r="I682" s="35"/>
      <c r="J682" s="35"/>
      <c r="K682" s="35"/>
      <c r="L682" s="35"/>
      <c r="M682" s="35"/>
      <c r="N682" s="35"/>
      <c r="O682" s="35"/>
      <c r="P682" s="35"/>
      <c r="Q682" s="35"/>
      <c r="R682" s="35"/>
      <c r="S682" s="35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D682" s="35"/>
      <c r="AE682" s="35"/>
      <c r="AF682" s="35"/>
      <c r="AG682" s="35"/>
      <c r="AH682" s="35"/>
      <c r="AI682" s="35"/>
      <c r="AJ682" s="35"/>
      <c r="AK682" s="35"/>
    </row>
    <row r="683" ht="12.75" customHeight="1">
      <c r="A683" s="35"/>
      <c r="B683" s="35"/>
      <c r="C683" s="35"/>
      <c r="D683" s="35"/>
      <c r="E683" s="35"/>
      <c r="F683" s="35"/>
      <c r="G683" s="35"/>
      <c r="H683" s="35"/>
      <c r="I683" s="35"/>
      <c r="J683" s="35"/>
      <c r="K683" s="35"/>
      <c r="L683" s="35"/>
      <c r="M683" s="35"/>
      <c r="N683" s="35"/>
      <c r="O683" s="35"/>
      <c r="P683" s="35"/>
      <c r="Q683" s="35"/>
      <c r="R683" s="35"/>
      <c r="S683" s="35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D683" s="35"/>
      <c r="AE683" s="35"/>
      <c r="AF683" s="35"/>
      <c r="AG683" s="35"/>
      <c r="AH683" s="35"/>
      <c r="AI683" s="35"/>
      <c r="AJ683" s="35"/>
      <c r="AK683" s="35"/>
    </row>
    <row r="684" ht="12.75" customHeight="1">
      <c r="A684" s="35"/>
      <c r="B684" s="35"/>
      <c r="C684" s="35"/>
      <c r="D684" s="35"/>
      <c r="E684" s="35"/>
      <c r="F684" s="35"/>
      <c r="G684" s="35"/>
      <c r="H684" s="35"/>
      <c r="I684" s="35"/>
      <c r="J684" s="35"/>
      <c r="K684" s="35"/>
      <c r="L684" s="35"/>
      <c r="M684" s="35"/>
      <c r="N684" s="35"/>
      <c r="O684" s="35"/>
      <c r="P684" s="35"/>
      <c r="Q684" s="35"/>
      <c r="R684" s="35"/>
      <c r="S684" s="35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D684" s="35"/>
      <c r="AE684" s="35"/>
      <c r="AF684" s="35"/>
      <c r="AG684" s="35"/>
      <c r="AH684" s="35"/>
      <c r="AI684" s="35"/>
      <c r="AJ684" s="35"/>
      <c r="AK684" s="35"/>
    </row>
    <row r="685" ht="12.75" customHeight="1">
      <c r="A685" s="35"/>
      <c r="B685" s="35"/>
      <c r="C685" s="35"/>
      <c r="D685" s="35"/>
      <c r="E685" s="35"/>
      <c r="F685" s="35"/>
      <c r="G685" s="35"/>
      <c r="H685" s="35"/>
      <c r="I685" s="35"/>
      <c r="J685" s="35"/>
      <c r="K685" s="35"/>
      <c r="L685" s="35"/>
      <c r="M685" s="35"/>
      <c r="N685" s="35"/>
      <c r="O685" s="35"/>
      <c r="P685" s="35"/>
      <c r="Q685" s="35"/>
      <c r="R685" s="35"/>
      <c r="S685" s="35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D685" s="35"/>
      <c r="AE685" s="35"/>
      <c r="AF685" s="35"/>
      <c r="AG685" s="35"/>
      <c r="AH685" s="35"/>
      <c r="AI685" s="35"/>
      <c r="AJ685" s="35"/>
      <c r="AK685" s="35"/>
    </row>
    <row r="686" ht="12.75" customHeight="1">
      <c r="A686" s="35"/>
      <c r="B686" s="35"/>
      <c r="C686" s="35"/>
      <c r="D686" s="35"/>
      <c r="E686" s="35"/>
      <c r="F686" s="35"/>
      <c r="G686" s="35"/>
      <c r="H686" s="35"/>
      <c r="I686" s="35"/>
      <c r="J686" s="35"/>
      <c r="K686" s="35"/>
      <c r="L686" s="35"/>
      <c r="M686" s="35"/>
      <c r="N686" s="35"/>
      <c r="O686" s="35"/>
      <c r="P686" s="35"/>
      <c r="Q686" s="35"/>
      <c r="R686" s="35"/>
      <c r="S686" s="35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D686" s="35"/>
      <c r="AE686" s="35"/>
      <c r="AF686" s="35"/>
      <c r="AG686" s="35"/>
      <c r="AH686" s="35"/>
      <c r="AI686" s="35"/>
      <c r="AJ686" s="35"/>
      <c r="AK686" s="35"/>
    </row>
    <row r="687" ht="12.75" customHeight="1">
      <c r="A687" s="35"/>
      <c r="B687" s="35"/>
      <c r="C687" s="35"/>
      <c r="D687" s="35"/>
      <c r="E687" s="35"/>
      <c r="F687" s="35"/>
      <c r="G687" s="35"/>
      <c r="H687" s="35"/>
      <c r="I687" s="35"/>
      <c r="J687" s="35"/>
      <c r="K687" s="35"/>
      <c r="L687" s="35"/>
      <c r="M687" s="35"/>
      <c r="N687" s="35"/>
      <c r="O687" s="35"/>
      <c r="P687" s="35"/>
      <c r="Q687" s="35"/>
      <c r="R687" s="35"/>
      <c r="S687" s="35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D687" s="35"/>
      <c r="AE687" s="35"/>
      <c r="AF687" s="35"/>
      <c r="AG687" s="35"/>
      <c r="AH687" s="35"/>
      <c r="AI687" s="35"/>
      <c r="AJ687" s="35"/>
      <c r="AK687" s="35"/>
    </row>
    <row r="688" ht="12.75" customHeight="1">
      <c r="A688" s="35"/>
      <c r="B688" s="35"/>
      <c r="C688" s="35"/>
      <c r="D688" s="35"/>
      <c r="E688" s="35"/>
      <c r="F688" s="35"/>
      <c r="G688" s="35"/>
      <c r="H688" s="35"/>
      <c r="I688" s="35"/>
      <c r="J688" s="35"/>
      <c r="K688" s="35"/>
      <c r="L688" s="35"/>
      <c r="M688" s="35"/>
      <c r="N688" s="35"/>
      <c r="O688" s="35"/>
      <c r="P688" s="35"/>
      <c r="Q688" s="35"/>
      <c r="R688" s="35"/>
      <c r="S688" s="35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D688" s="35"/>
      <c r="AE688" s="35"/>
      <c r="AF688" s="35"/>
      <c r="AG688" s="35"/>
      <c r="AH688" s="35"/>
      <c r="AI688" s="35"/>
      <c r="AJ688" s="35"/>
      <c r="AK688" s="35"/>
    </row>
    <row r="689" ht="12.75" customHeight="1">
      <c r="A689" s="35"/>
      <c r="B689" s="35"/>
      <c r="C689" s="35"/>
      <c r="D689" s="35"/>
      <c r="E689" s="35"/>
      <c r="F689" s="35"/>
      <c r="G689" s="35"/>
      <c r="H689" s="35"/>
      <c r="I689" s="35"/>
      <c r="J689" s="35"/>
      <c r="K689" s="35"/>
      <c r="L689" s="35"/>
      <c r="M689" s="35"/>
      <c r="N689" s="35"/>
      <c r="O689" s="35"/>
      <c r="P689" s="35"/>
      <c r="Q689" s="35"/>
      <c r="R689" s="35"/>
      <c r="S689" s="35"/>
      <c r="T689" s="35"/>
      <c r="U689" s="35"/>
      <c r="V689" s="35"/>
      <c r="W689" s="35"/>
      <c r="X689" s="35"/>
      <c r="Y689" s="35"/>
      <c r="Z689" s="35"/>
      <c r="AA689" s="35"/>
      <c r="AB689" s="35"/>
      <c r="AC689" s="35"/>
      <c r="AD689" s="35"/>
      <c r="AE689" s="35"/>
      <c r="AF689" s="35"/>
      <c r="AG689" s="35"/>
      <c r="AH689" s="35"/>
      <c r="AI689" s="35"/>
      <c r="AJ689" s="35"/>
      <c r="AK689" s="35"/>
    </row>
    <row r="690" ht="12.75" customHeight="1">
      <c r="A690" s="35"/>
      <c r="B690" s="35"/>
      <c r="C690" s="35"/>
      <c r="D690" s="35"/>
      <c r="E690" s="35"/>
      <c r="F690" s="35"/>
      <c r="G690" s="35"/>
      <c r="H690" s="35"/>
      <c r="I690" s="35"/>
      <c r="J690" s="35"/>
      <c r="K690" s="35"/>
      <c r="L690" s="35"/>
      <c r="M690" s="35"/>
      <c r="N690" s="35"/>
      <c r="O690" s="35"/>
      <c r="P690" s="35"/>
      <c r="Q690" s="35"/>
      <c r="R690" s="35"/>
      <c r="S690" s="35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D690" s="35"/>
      <c r="AE690" s="35"/>
      <c r="AF690" s="35"/>
      <c r="AG690" s="35"/>
      <c r="AH690" s="35"/>
      <c r="AI690" s="35"/>
      <c r="AJ690" s="35"/>
      <c r="AK690" s="35"/>
    </row>
    <row r="691" ht="12.75" customHeight="1">
      <c r="A691" s="35"/>
      <c r="B691" s="35"/>
      <c r="C691" s="35"/>
      <c r="D691" s="35"/>
      <c r="E691" s="35"/>
      <c r="F691" s="35"/>
      <c r="G691" s="35"/>
      <c r="H691" s="35"/>
      <c r="I691" s="35"/>
      <c r="J691" s="35"/>
      <c r="K691" s="35"/>
      <c r="L691" s="35"/>
      <c r="M691" s="35"/>
      <c r="N691" s="35"/>
      <c r="O691" s="35"/>
      <c r="P691" s="35"/>
      <c r="Q691" s="35"/>
      <c r="R691" s="35"/>
      <c r="S691" s="35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D691" s="35"/>
      <c r="AE691" s="35"/>
      <c r="AF691" s="35"/>
      <c r="AG691" s="35"/>
      <c r="AH691" s="35"/>
      <c r="AI691" s="35"/>
      <c r="AJ691" s="35"/>
      <c r="AK691" s="35"/>
    </row>
    <row r="692" ht="12.75" customHeight="1">
      <c r="A692" s="35"/>
      <c r="B692" s="35"/>
      <c r="C692" s="35"/>
      <c r="D692" s="35"/>
      <c r="E692" s="35"/>
      <c r="F692" s="35"/>
      <c r="G692" s="35"/>
      <c r="H692" s="35"/>
      <c r="I692" s="35"/>
      <c r="J692" s="35"/>
      <c r="K692" s="35"/>
      <c r="L692" s="35"/>
      <c r="M692" s="35"/>
      <c r="N692" s="35"/>
      <c r="O692" s="35"/>
      <c r="P692" s="35"/>
      <c r="Q692" s="35"/>
      <c r="R692" s="35"/>
      <c r="S692" s="35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D692" s="35"/>
      <c r="AE692" s="35"/>
      <c r="AF692" s="35"/>
      <c r="AG692" s="35"/>
      <c r="AH692" s="35"/>
      <c r="AI692" s="35"/>
      <c r="AJ692" s="35"/>
      <c r="AK692" s="35"/>
    </row>
    <row r="693" ht="12.75" customHeight="1">
      <c r="A693" s="35"/>
      <c r="B693" s="35"/>
      <c r="C693" s="35"/>
      <c r="D693" s="35"/>
      <c r="E693" s="35"/>
      <c r="F693" s="35"/>
      <c r="G693" s="35"/>
      <c r="H693" s="35"/>
      <c r="I693" s="35"/>
      <c r="J693" s="35"/>
      <c r="K693" s="35"/>
      <c r="L693" s="35"/>
      <c r="M693" s="35"/>
      <c r="N693" s="35"/>
      <c r="O693" s="35"/>
      <c r="P693" s="35"/>
      <c r="Q693" s="35"/>
      <c r="R693" s="35"/>
      <c r="S693" s="35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D693" s="35"/>
      <c r="AE693" s="35"/>
      <c r="AF693" s="35"/>
      <c r="AG693" s="35"/>
      <c r="AH693" s="35"/>
      <c r="AI693" s="35"/>
      <c r="AJ693" s="35"/>
      <c r="AK693" s="35"/>
    </row>
    <row r="694" ht="12.75" customHeight="1">
      <c r="A694" s="35"/>
      <c r="B694" s="35"/>
      <c r="C694" s="35"/>
      <c r="D694" s="35"/>
      <c r="E694" s="35"/>
      <c r="F694" s="35"/>
      <c r="G694" s="35"/>
      <c r="H694" s="35"/>
      <c r="I694" s="35"/>
      <c r="J694" s="35"/>
      <c r="K694" s="35"/>
      <c r="L694" s="35"/>
      <c r="M694" s="35"/>
      <c r="N694" s="35"/>
      <c r="O694" s="35"/>
      <c r="P694" s="35"/>
      <c r="Q694" s="35"/>
      <c r="R694" s="35"/>
      <c r="S694" s="35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D694" s="35"/>
      <c r="AE694" s="35"/>
      <c r="AF694" s="35"/>
      <c r="AG694" s="35"/>
      <c r="AH694" s="35"/>
      <c r="AI694" s="35"/>
      <c r="AJ694" s="35"/>
      <c r="AK694" s="35"/>
    </row>
    <row r="695" ht="12.75" customHeight="1">
      <c r="A695" s="35"/>
      <c r="B695" s="35"/>
      <c r="C695" s="35"/>
      <c r="D695" s="35"/>
      <c r="E695" s="35"/>
      <c r="F695" s="35"/>
      <c r="G695" s="35"/>
      <c r="H695" s="35"/>
      <c r="I695" s="35"/>
      <c r="J695" s="35"/>
      <c r="K695" s="35"/>
      <c r="L695" s="35"/>
      <c r="M695" s="35"/>
      <c r="N695" s="35"/>
      <c r="O695" s="35"/>
      <c r="P695" s="35"/>
      <c r="Q695" s="35"/>
      <c r="R695" s="35"/>
      <c r="S695" s="35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D695" s="35"/>
      <c r="AE695" s="35"/>
      <c r="AF695" s="35"/>
      <c r="AG695" s="35"/>
      <c r="AH695" s="35"/>
      <c r="AI695" s="35"/>
      <c r="AJ695" s="35"/>
      <c r="AK695" s="35"/>
    </row>
    <row r="696" ht="12.75" customHeight="1">
      <c r="A696" s="35"/>
      <c r="B696" s="35"/>
      <c r="C696" s="35"/>
      <c r="D696" s="35"/>
      <c r="E696" s="35"/>
      <c r="F696" s="35"/>
      <c r="G696" s="35"/>
      <c r="H696" s="35"/>
      <c r="I696" s="35"/>
      <c r="J696" s="35"/>
      <c r="K696" s="35"/>
      <c r="L696" s="35"/>
      <c r="M696" s="35"/>
      <c r="N696" s="35"/>
      <c r="O696" s="35"/>
      <c r="P696" s="35"/>
      <c r="Q696" s="35"/>
      <c r="R696" s="35"/>
      <c r="S696" s="35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D696" s="35"/>
      <c r="AE696" s="35"/>
      <c r="AF696" s="35"/>
      <c r="AG696" s="35"/>
      <c r="AH696" s="35"/>
      <c r="AI696" s="35"/>
      <c r="AJ696" s="35"/>
      <c r="AK696" s="35"/>
    </row>
    <row r="697" ht="12.75" customHeight="1">
      <c r="A697" s="35"/>
      <c r="B697" s="35"/>
      <c r="C697" s="35"/>
      <c r="D697" s="35"/>
      <c r="E697" s="35"/>
      <c r="F697" s="35"/>
      <c r="G697" s="35"/>
      <c r="H697" s="35"/>
      <c r="I697" s="35"/>
      <c r="J697" s="35"/>
      <c r="K697" s="35"/>
      <c r="L697" s="35"/>
      <c r="M697" s="35"/>
      <c r="N697" s="35"/>
      <c r="O697" s="35"/>
      <c r="P697" s="35"/>
      <c r="Q697" s="35"/>
      <c r="R697" s="35"/>
      <c r="S697" s="35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D697" s="35"/>
      <c r="AE697" s="35"/>
      <c r="AF697" s="35"/>
      <c r="AG697" s="35"/>
      <c r="AH697" s="35"/>
      <c r="AI697" s="35"/>
      <c r="AJ697" s="35"/>
      <c r="AK697" s="35"/>
    </row>
    <row r="698" ht="12.75" customHeight="1">
      <c r="A698" s="35"/>
      <c r="B698" s="35"/>
      <c r="C698" s="35"/>
      <c r="D698" s="35"/>
      <c r="E698" s="35"/>
      <c r="F698" s="35"/>
      <c r="G698" s="35"/>
      <c r="H698" s="35"/>
      <c r="I698" s="35"/>
      <c r="J698" s="35"/>
      <c r="K698" s="35"/>
      <c r="L698" s="35"/>
      <c r="M698" s="35"/>
      <c r="N698" s="35"/>
      <c r="O698" s="35"/>
      <c r="P698" s="35"/>
      <c r="Q698" s="35"/>
      <c r="R698" s="35"/>
      <c r="S698" s="35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D698" s="35"/>
      <c r="AE698" s="35"/>
      <c r="AF698" s="35"/>
      <c r="AG698" s="35"/>
      <c r="AH698" s="35"/>
      <c r="AI698" s="35"/>
      <c r="AJ698" s="35"/>
      <c r="AK698" s="35"/>
    </row>
    <row r="699" ht="12.75" customHeight="1">
      <c r="A699" s="35"/>
      <c r="B699" s="35"/>
      <c r="C699" s="35"/>
      <c r="D699" s="35"/>
      <c r="E699" s="35"/>
      <c r="F699" s="35"/>
      <c r="G699" s="35"/>
      <c r="H699" s="35"/>
      <c r="I699" s="35"/>
      <c r="J699" s="35"/>
      <c r="K699" s="35"/>
      <c r="L699" s="35"/>
      <c r="M699" s="35"/>
      <c r="N699" s="35"/>
      <c r="O699" s="35"/>
      <c r="P699" s="35"/>
      <c r="Q699" s="35"/>
      <c r="R699" s="35"/>
      <c r="S699" s="35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D699" s="35"/>
      <c r="AE699" s="35"/>
      <c r="AF699" s="35"/>
      <c r="AG699" s="35"/>
      <c r="AH699" s="35"/>
      <c r="AI699" s="35"/>
      <c r="AJ699" s="35"/>
      <c r="AK699" s="35"/>
    </row>
    <row r="700" ht="12.75" customHeight="1">
      <c r="A700" s="35"/>
      <c r="B700" s="35"/>
      <c r="C700" s="35"/>
      <c r="D700" s="35"/>
      <c r="E700" s="35"/>
      <c r="F700" s="35"/>
      <c r="G700" s="35"/>
      <c r="H700" s="35"/>
      <c r="I700" s="35"/>
      <c r="J700" s="35"/>
      <c r="K700" s="35"/>
      <c r="L700" s="35"/>
      <c r="M700" s="35"/>
      <c r="N700" s="35"/>
      <c r="O700" s="35"/>
      <c r="P700" s="35"/>
      <c r="Q700" s="35"/>
      <c r="R700" s="35"/>
      <c r="S700" s="35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D700" s="35"/>
      <c r="AE700" s="35"/>
      <c r="AF700" s="35"/>
      <c r="AG700" s="35"/>
      <c r="AH700" s="35"/>
      <c r="AI700" s="35"/>
      <c r="AJ700" s="35"/>
      <c r="AK700" s="35"/>
    </row>
    <row r="701" ht="12.75" customHeight="1">
      <c r="A701" s="35"/>
      <c r="B701" s="35"/>
      <c r="C701" s="35"/>
      <c r="D701" s="35"/>
      <c r="E701" s="35"/>
      <c r="F701" s="35"/>
      <c r="G701" s="35"/>
      <c r="H701" s="35"/>
      <c r="I701" s="35"/>
      <c r="J701" s="35"/>
      <c r="K701" s="35"/>
      <c r="L701" s="35"/>
      <c r="M701" s="35"/>
      <c r="N701" s="35"/>
      <c r="O701" s="35"/>
      <c r="P701" s="35"/>
      <c r="Q701" s="35"/>
      <c r="R701" s="35"/>
      <c r="S701" s="35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D701" s="35"/>
      <c r="AE701" s="35"/>
      <c r="AF701" s="35"/>
      <c r="AG701" s="35"/>
      <c r="AH701" s="35"/>
      <c r="AI701" s="35"/>
      <c r="AJ701" s="35"/>
      <c r="AK701" s="35"/>
    </row>
    <row r="702" ht="12.75" customHeight="1">
      <c r="A702" s="35"/>
      <c r="B702" s="35"/>
      <c r="C702" s="35"/>
      <c r="D702" s="35"/>
      <c r="E702" s="35"/>
      <c r="F702" s="35"/>
      <c r="G702" s="35"/>
      <c r="H702" s="35"/>
      <c r="I702" s="35"/>
      <c r="J702" s="35"/>
      <c r="K702" s="35"/>
      <c r="L702" s="35"/>
      <c r="M702" s="35"/>
      <c r="N702" s="35"/>
      <c r="O702" s="35"/>
      <c r="P702" s="35"/>
      <c r="Q702" s="35"/>
      <c r="R702" s="35"/>
      <c r="S702" s="35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D702" s="35"/>
      <c r="AE702" s="35"/>
      <c r="AF702" s="35"/>
      <c r="AG702" s="35"/>
      <c r="AH702" s="35"/>
      <c r="AI702" s="35"/>
      <c r="AJ702" s="35"/>
      <c r="AK702" s="35"/>
    </row>
    <row r="703" ht="12.75" customHeight="1">
      <c r="A703" s="35"/>
      <c r="B703" s="35"/>
      <c r="C703" s="35"/>
      <c r="D703" s="35"/>
      <c r="E703" s="35"/>
      <c r="F703" s="35"/>
      <c r="G703" s="35"/>
      <c r="H703" s="35"/>
      <c r="I703" s="35"/>
      <c r="J703" s="35"/>
      <c r="K703" s="35"/>
      <c r="L703" s="35"/>
      <c r="M703" s="35"/>
      <c r="N703" s="35"/>
      <c r="O703" s="35"/>
      <c r="P703" s="35"/>
      <c r="Q703" s="35"/>
      <c r="R703" s="35"/>
      <c r="S703" s="35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D703" s="35"/>
      <c r="AE703" s="35"/>
      <c r="AF703" s="35"/>
      <c r="AG703" s="35"/>
      <c r="AH703" s="35"/>
      <c r="AI703" s="35"/>
      <c r="AJ703" s="35"/>
      <c r="AK703" s="35"/>
    </row>
    <row r="704" ht="12.75" customHeight="1">
      <c r="A704" s="35"/>
      <c r="B704" s="35"/>
      <c r="C704" s="35"/>
      <c r="D704" s="35"/>
      <c r="E704" s="35"/>
      <c r="F704" s="35"/>
      <c r="G704" s="35"/>
      <c r="H704" s="35"/>
      <c r="I704" s="35"/>
      <c r="J704" s="35"/>
      <c r="K704" s="35"/>
      <c r="L704" s="35"/>
      <c r="M704" s="35"/>
      <c r="N704" s="35"/>
      <c r="O704" s="35"/>
      <c r="P704" s="35"/>
      <c r="Q704" s="35"/>
      <c r="R704" s="35"/>
      <c r="S704" s="35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D704" s="35"/>
      <c r="AE704" s="35"/>
      <c r="AF704" s="35"/>
      <c r="AG704" s="35"/>
      <c r="AH704" s="35"/>
      <c r="AI704" s="35"/>
      <c r="AJ704" s="35"/>
      <c r="AK704" s="35"/>
    </row>
    <row r="705" ht="12.75" customHeight="1">
      <c r="A705" s="35"/>
      <c r="B705" s="35"/>
      <c r="C705" s="35"/>
      <c r="D705" s="35"/>
      <c r="E705" s="35"/>
      <c r="F705" s="35"/>
      <c r="G705" s="35"/>
      <c r="H705" s="35"/>
      <c r="I705" s="35"/>
      <c r="J705" s="35"/>
      <c r="K705" s="35"/>
      <c r="L705" s="35"/>
      <c r="M705" s="35"/>
      <c r="N705" s="35"/>
      <c r="O705" s="35"/>
      <c r="P705" s="35"/>
      <c r="Q705" s="35"/>
      <c r="R705" s="35"/>
      <c r="S705" s="35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D705" s="35"/>
      <c r="AE705" s="35"/>
      <c r="AF705" s="35"/>
      <c r="AG705" s="35"/>
      <c r="AH705" s="35"/>
      <c r="AI705" s="35"/>
      <c r="AJ705" s="35"/>
      <c r="AK705" s="35"/>
    </row>
    <row r="706" ht="12.75" customHeight="1">
      <c r="A706" s="35"/>
      <c r="B706" s="35"/>
      <c r="C706" s="35"/>
      <c r="D706" s="35"/>
      <c r="E706" s="35"/>
      <c r="F706" s="35"/>
      <c r="G706" s="35"/>
      <c r="H706" s="35"/>
      <c r="I706" s="35"/>
      <c r="J706" s="35"/>
      <c r="K706" s="35"/>
      <c r="L706" s="35"/>
      <c r="M706" s="35"/>
      <c r="N706" s="35"/>
      <c r="O706" s="35"/>
      <c r="P706" s="35"/>
      <c r="Q706" s="35"/>
      <c r="R706" s="35"/>
      <c r="S706" s="35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D706" s="35"/>
      <c r="AE706" s="35"/>
      <c r="AF706" s="35"/>
      <c r="AG706" s="35"/>
      <c r="AH706" s="35"/>
      <c r="AI706" s="35"/>
      <c r="AJ706" s="35"/>
      <c r="AK706" s="35"/>
    </row>
    <row r="707" ht="12.75" customHeight="1">
      <c r="A707" s="35"/>
      <c r="B707" s="35"/>
      <c r="C707" s="35"/>
      <c r="D707" s="35"/>
      <c r="E707" s="35"/>
      <c r="F707" s="35"/>
      <c r="G707" s="35"/>
      <c r="H707" s="35"/>
      <c r="I707" s="35"/>
      <c r="J707" s="35"/>
      <c r="K707" s="35"/>
      <c r="L707" s="35"/>
      <c r="M707" s="35"/>
      <c r="N707" s="35"/>
      <c r="O707" s="35"/>
      <c r="P707" s="35"/>
      <c r="Q707" s="35"/>
      <c r="R707" s="35"/>
      <c r="S707" s="35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D707" s="35"/>
      <c r="AE707" s="35"/>
      <c r="AF707" s="35"/>
      <c r="AG707" s="35"/>
      <c r="AH707" s="35"/>
      <c r="AI707" s="35"/>
      <c r="AJ707" s="35"/>
      <c r="AK707" s="35"/>
    </row>
    <row r="708" ht="12.75" customHeight="1">
      <c r="A708" s="35"/>
      <c r="B708" s="35"/>
      <c r="C708" s="35"/>
      <c r="D708" s="35"/>
      <c r="E708" s="35"/>
      <c r="F708" s="35"/>
      <c r="G708" s="35"/>
      <c r="H708" s="35"/>
      <c r="I708" s="35"/>
      <c r="J708" s="35"/>
      <c r="K708" s="35"/>
      <c r="L708" s="35"/>
      <c r="M708" s="35"/>
      <c r="N708" s="35"/>
      <c r="O708" s="35"/>
      <c r="P708" s="35"/>
      <c r="Q708" s="35"/>
      <c r="R708" s="35"/>
      <c r="S708" s="35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D708" s="35"/>
      <c r="AE708" s="35"/>
      <c r="AF708" s="35"/>
      <c r="AG708" s="35"/>
      <c r="AH708" s="35"/>
      <c r="AI708" s="35"/>
      <c r="AJ708" s="35"/>
      <c r="AK708" s="35"/>
    </row>
    <row r="709" ht="12.75" customHeight="1">
      <c r="A709" s="35"/>
      <c r="B709" s="35"/>
      <c r="C709" s="35"/>
      <c r="D709" s="35"/>
      <c r="E709" s="35"/>
      <c r="F709" s="35"/>
      <c r="G709" s="35"/>
      <c r="H709" s="35"/>
      <c r="I709" s="35"/>
      <c r="J709" s="35"/>
      <c r="K709" s="35"/>
      <c r="L709" s="35"/>
      <c r="M709" s="35"/>
      <c r="N709" s="35"/>
      <c r="O709" s="35"/>
      <c r="P709" s="35"/>
      <c r="Q709" s="35"/>
      <c r="R709" s="35"/>
      <c r="S709" s="35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D709" s="35"/>
      <c r="AE709" s="35"/>
      <c r="AF709" s="35"/>
      <c r="AG709" s="35"/>
      <c r="AH709" s="35"/>
      <c r="AI709" s="35"/>
      <c r="AJ709" s="35"/>
      <c r="AK709" s="35"/>
    </row>
    <row r="710" ht="12.75" customHeight="1">
      <c r="A710" s="35"/>
      <c r="B710" s="35"/>
      <c r="C710" s="35"/>
      <c r="D710" s="35"/>
      <c r="E710" s="35"/>
      <c r="F710" s="35"/>
      <c r="G710" s="35"/>
      <c r="H710" s="35"/>
      <c r="I710" s="35"/>
      <c r="J710" s="35"/>
      <c r="K710" s="35"/>
      <c r="L710" s="35"/>
      <c r="M710" s="35"/>
      <c r="N710" s="35"/>
      <c r="O710" s="35"/>
      <c r="P710" s="35"/>
      <c r="Q710" s="35"/>
      <c r="R710" s="35"/>
      <c r="S710" s="35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D710" s="35"/>
      <c r="AE710" s="35"/>
      <c r="AF710" s="35"/>
      <c r="AG710" s="35"/>
      <c r="AH710" s="35"/>
      <c r="AI710" s="35"/>
      <c r="AJ710" s="35"/>
      <c r="AK710" s="35"/>
    </row>
    <row r="711" ht="12.75" customHeight="1">
      <c r="A711" s="35"/>
      <c r="B711" s="35"/>
      <c r="C711" s="35"/>
      <c r="D711" s="35"/>
      <c r="E711" s="35"/>
      <c r="F711" s="35"/>
      <c r="G711" s="35"/>
      <c r="H711" s="35"/>
      <c r="I711" s="35"/>
      <c r="J711" s="35"/>
      <c r="K711" s="35"/>
      <c r="L711" s="35"/>
      <c r="M711" s="35"/>
      <c r="N711" s="35"/>
      <c r="O711" s="35"/>
      <c r="P711" s="35"/>
      <c r="Q711" s="35"/>
      <c r="R711" s="35"/>
      <c r="S711" s="35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D711" s="35"/>
      <c r="AE711" s="35"/>
      <c r="AF711" s="35"/>
      <c r="AG711" s="35"/>
      <c r="AH711" s="35"/>
      <c r="AI711" s="35"/>
      <c r="AJ711" s="35"/>
      <c r="AK711" s="35"/>
    </row>
    <row r="712" ht="12.75" customHeight="1">
      <c r="A712" s="35"/>
      <c r="B712" s="35"/>
      <c r="C712" s="35"/>
      <c r="D712" s="35"/>
      <c r="E712" s="35"/>
      <c r="F712" s="35"/>
      <c r="G712" s="35"/>
      <c r="H712" s="35"/>
      <c r="I712" s="35"/>
      <c r="J712" s="35"/>
      <c r="K712" s="35"/>
      <c r="L712" s="35"/>
      <c r="M712" s="35"/>
      <c r="N712" s="35"/>
      <c r="O712" s="35"/>
      <c r="P712" s="35"/>
      <c r="Q712" s="35"/>
      <c r="R712" s="35"/>
      <c r="S712" s="35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D712" s="35"/>
      <c r="AE712" s="35"/>
      <c r="AF712" s="35"/>
      <c r="AG712" s="35"/>
      <c r="AH712" s="35"/>
      <c r="AI712" s="35"/>
      <c r="AJ712" s="35"/>
      <c r="AK712" s="35"/>
    </row>
    <row r="713" ht="12.75" customHeight="1">
      <c r="A713" s="35"/>
      <c r="B713" s="35"/>
      <c r="C713" s="35"/>
      <c r="D713" s="35"/>
      <c r="E713" s="35"/>
      <c r="F713" s="35"/>
      <c r="G713" s="35"/>
      <c r="H713" s="35"/>
      <c r="I713" s="35"/>
      <c r="J713" s="35"/>
      <c r="K713" s="35"/>
      <c r="L713" s="35"/>
      <c r="M713" s="35"/>
      <c r="N713" s="35"/>
      <c r="O713" s="35"/>
      <c r="P713" s="35"/>
      <c r="Q713" s="35"/>
      <c r="R713" s="35"/>
      <c r="S713" s="35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D713" s="35"/>
      <c r="AE713" s="35"/>
      <c r="AF713" s="35"/>
      <c r="AG713" s="35"/>
      <c r="AH713" s="35"/>
      <c r="AI713" s="35"/>
      <c r="AJ713" s="35"/>
      <c r="AK713" s="35"/>
    </row>
    <row r="714" ht="12.75" customHeight="1">
      <c r="A714" s="35"/>
      <c r="B714" s="35"/>
      <c r="C714" s="35"/>
      <c r="D714" s="35"/>
      <c r="E714" s="35"/>
      <c r="F714" s="35"/>
      <c r="G714" s="35"/>
      <c r="H714" s="35"/>
      <c r="I714" s="35"/>
      <c r="J714" s="35"/>
      <c r="K714" s="35"/>
      <c r="L714" s="35"/>
      <c r="M714" s="35"/>
      <c r="N714" s="35"/>
      <c r="O714" s="35"/>
      <c r="P714" s="35"/>
      <c r="Q714" s="35"/>
      <c r="R714" s="35"/>
      <c r="S714" s="35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D714" s="35"/>
      <c r="AE714" s="35"/>
      <c r="AF714" s="35"/>
      <c r="AG714" s="35"/>
      <c r="AH714" s="35"/>
      <c r="AI714" s="35"/>
      <c r="AJ714" s="35"/>
      <c r="AK714" s="35"/>
    </row>
    <row r="715" ht="12.75" customHeight="1">
      <c r="A715" s="35"/>
      <c r="B715" s="35"/>
      <c r="C715" s="35"/>
      <c r="D715" s="35"/>
      <c r="E715" s="35"/>
      <c r="F715" s="35"/>
      <c r="G715" s="35"/>
      <c r="H715" s="35"/>
      <c r="I715" s="35"/>
      <c r="J715" s="35"/>
      <c r="K715" s="35"/>
      <c r="L715" s="35"/>
      <c r="M715" s="35"/>
      <c r="N715" s="35"/>
      <c r="O715" s="35"/>
      <c r="P715" s="35"/>
      <c r="Q715" s="35"/>
      <c r="R715" s="35"/>
      <c r="S715" s="35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D715" s="35"/>
      <c r="AE715" s="35"/>
      <c r="AF715" s="35"/>
      <c r="AG715" s="35"/>
      <c r="AH715" s="35"/>
      <c r="AI715" s="35"/>
      <c r="AJ715" s="35"/>
      <c r="AK715" s="35"/>
    </row>
    <row r="716" ht="12.75" customHeight="1">
      <c r="A716" s="35"/>
      <c r="B716" s="35"/>
      <c r="C716" s="35"/>
      <c r="D716" s="35"/>
      <c r="E716" s="35"/>
      <c r="F716" s="35"/>
      <c r="G716" s="35"/>
      <c r="H716" s="35"/>
      <c r="I716" s="35"/>
      <c r="J716" s="35"/>
      <c r="K716" s="35"/>
      <c r="L716" s="35"/>
      <c r="M716" s="35"/>
      <c r="N716" s="35"/>
      <c r="O716" s="35"/>
      <c r="P716" s="35"/>
      <c r="Q716" s="35"/>
      <c r="R716" s="35"/>
      <c r="S716" s="35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D716" s="35"/>
      <c r="AE716" s="35"/>
      <c r="AF716" s="35"/>
      <c r="AG716" s="35"/>
      <c r="AH716" s="35"/>
      <c r="AI716" s="35"/>
      <c r="AJ716" s="35"/>
      <c r="AK716" s="35"/>
    </row>
    <row r="717" ht="12.75" customHeight="1">
      <c r="A717" s="35"/>
      <c r="B717" s="35"/>
      <c r="C717" s="35"/>
      <c r="D717" s="35"/>
      <c r="E717" s="35"/>
      <c r="F717" s="35"/>
      <c r="G717" s="35"/>
      <c r="H717" s="35"/>
      <c r="I717" s="35"/>
      <c r="J717" s="35"/>
      <c r="K717" s="35"/>
      <c r="L717" s="35"/>
      <c r="M717" s="35"/>
      <c r="N717" s="35"/>
      <c r="O717" s="35"/>
      <c r="P717" s="35"/>
      <c r="Q717" s="35"/>
      <c r="R717" s="35"/>
      <c r="S717" s="35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D717" s="35"/>
      <c r="AE717" s="35"/>
      <c r="AF717" s="35"/>
      <c r="AG717" s="35"/>
      <c r="AH717" s="35"/>
      <c r="AI717" s="35"/>
      <c r="AJ717" s="35"/>
      <c r="AK717" s="35"/>
    </row>
    <row r="718" ht="12.75" customHeight="1">
      <c r="A718" s="35"/>
      <c r="B718" s="35"/>
      <c r="C718" s="35"/>
      <c r="D718" s="35"/>
      <c r="E718" s="35"/>
      <c r="F718" s="35"/>
      <c r="G718" s="35"/>
      <c r="H718" s="35"/>
      <c r="I718" s="35"/>
      <c r="J718" s="35"/>
      <c r="K718" s="35"/>
      <c r="L718" s="35"/>
      <c r="M718" s="35"/>
      <c r="N718" s="35"/>
      <c r="O718" s="35"/>
      <c r="P718" s="35"/>
      <c r="Q718" s="35"/>
      <c r="R718" s="35"/>
      <c r="S718" s="35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D718" s="35"/>
      <c r="AE718" s="35"/>
      <c r="AF718" s="35"/>
      <c r="AG718" s="35"/>
      <c r="AH718" s="35"/>
      <c r="AI718" s="35"/>
      <c r="AJ718" s="35"/>
      <c r="AK718" s="35"/>
    </row>
    <row r="719" ht="12.75" customHeight="1">
      <c r="A719" s="35"/>
      <c r="B719" s="35"/>
      <c r="C719" s="35"/>
      <c r="D719" s="35"/>
      <c r="E719" s="35"/>
      <c r="F719" s="35"/>
      <c r="G719" s="35"/>
      <c r="H719" s="35"/>
      <c r="I719" s="35"/>
      <c r="J719" s="35"/>
      <c r="K719" s="35"/>
      <c r="L719" s="35"/>
      <c r="M719" s="35"/>
      <c r="N719" s="35"/>
      <c r="O719" s="35"/>
      <c r="P719" s="35"/>
      <c r="Q719" s="35"/>
      <c r="R719" s="35"/>
      <c r="S719" s="35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D719" s="35"/>
      <c r="AE719" s="35"/>
      <c r="AF719" s="35"/>
      <c r="AG719" s="35"/>
      <c r="AH719" s="35"/>
      <c r="AI719" s="35"/>
      <c r="AJ719" s="35"/>
      <c r="AK719" s="35"/>
    </row>
    <row r="720" ht="12.75" customHeight="1">
      <c r="A720" s="35"/>
      <c r="B720" s="35"/>
      <c r="C720" s="35"/>
      <c r="D720" s="35"/>
      <c r="E720" s="35"/>
      <c r="F720" s="35"/>
      <c r="G720" s="35"/>
      <c r="H720" s="35"/>
      <c r="I720" s="35"/>
      <c r="J720" s="35"/>
      <c r="K720" s="35"/>
      <c r="L720" s="35"/>
      <c r="M720" s="35"/>
      <c r="N720" s="35"/>
      <c r="O720" s="35"/>
      <c r="P720" s="35"/>
      <c r="Q720" s="35"/>
      <c r="R720" s="35"/>
      <c r="S720" s="35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D720" s="35"/>
      <c r="AE720" s="35"/>
      <c r="AF720" s="35"/>
      <c r="AG720" s="35"/>
      <c r="AH720" s="35"/>
      <c r="AI720" s="35"/>
      <c r="AJ720" s="35"/>
      <c r="AK720" s="35"/>
    </row>
    <row r="721" ht="12.75" customHeight="1">
      <c r="A721" s="35"/>
      <c r="B721" s="35"/>
      <c r="C721" s="35"/>
      <c r="D721" s="35"/>
      <c r="E721" s="35"/>
      <c r="F721" s="35"/>
      <c r="G721" s="35"/>
      <c r="H721" s="35"/>
      <c r="I721" s="35"/>
      <c r="J721" s="35"/>
      <c r="K721" s="35"/>
      <c r="L721" s="35"/>
      <c r="M721" s="35"/>
      <c r="N721" s="35"/>
      <c r="O721" s="35"/>
      <c r="P721" s="35"/>
      <c r="Q721" s="35"/>
      <c r="R721" s="35"/>
      <c r="S721" s="35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D721" s="35"/>
      <c r="AE721" s="35"/>
      <c r="AF721" s="35"/>
      <c r="AG721" s="35"/>
      <c r="AH721" s="35"/>
      <c r="AI721" s="35"/>
      <c r="AJ721" s="35"/>
      <c r="AK721" s="35"/>
    </row>
    <row r="722" ht="12.75" customHeight="1">
      <c r="A722" s="35"/>
      <c r="B722" s="35"/>
      <c r="C722" s="35"/>
      <c r="D722" s="35"/>
      <c r="E722" s="35"/>
      <c r="F722" s="35"/>
      <c r="G722" s="35"/>
      <c r="H722" s="35"/>
      <c r="I722" s="35"/>
      <c r="J722" s="35"/>
      <c r="K722" s="35"/>
      <c r="L722" s="35"/>
      <c r="M722" s="35"/>
      <c r="N722" s="35"/>
      <c r="O722" s="35"/>
      <c r="P722" s="35"/>
      <c r="Q722" s="35"/>
      <c r="R722" s="35"/>
      <c r="S722" s="35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D722" s="35"/>
      <c r="AE722" s="35"/>
      <c r="AF722" s="35"/>
      <c r="AG722" s="35"/>
      <c r="AH722" s="35"/>
      <c r="AI722" s="35"/>
      <c r="AJ722" s="35"/>
      <c r="AK722" s="35"/>
    </row>
    <row r="723" ht="12.75" customHeight="1">
      <c r="A723" s="35"/>
      <c r="B723" s="35"/>
      <c r="C723" s="35"/>
      <c r="D723" s="35"/>
      <c r="E723" s="35"/>
      <c r="F723" s="35"/>
      <c r="G723" s="35"/>
      <c r="H723" s="35"/>
      <c r="I723" s="35"/>
      <c r="J723" s="35"/>
      <c r="K723" s="35"/>
      <c r="L723" s="35"/>
      <c r="M723" s="35"/>
      <c r="N723" s="35"/>
      <c r="O723" s="35"/>
      <c r="P723" s="35"/>
      <c r="Q723" s="35"/>
      <c r="R723" s="35"/>
      <c r="S723" s="35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D723" s="35"/>
      <c r="AE723" s="35"/>
      <c r="AF723" s="35"/>
      <c r="AG723" s="35"/>
      <c r="AH723" s="35"/>
      <c r="AI723" s="35"/>
      <c r="AJ723" s="35"/>
      <c r="AK723" s="35"/>
    </row>
    <row r="724" ht="12.75" customHeight="1">
      <c r="A724" s="35"/>
      <c r="B724" s="35"/>
      <c r="C724" s="35"/>
      <c r="D724" s="35"/>
      <c r="E724" s="35"/>
      <c r="F724" s="35"/>
      <c r="G724" s="35"/>
      <c r="H724" s="35"/>
      <c r="I724" s="35"/>
      <c r="J724" s="35"/>
      <c r="K724" s="35"/>
      <c r="L724" s="35"/>
      <c r="M724" s="35"/>
      <c r="N724" s="35"/>
      <c r="O724" s="35"/>
      <c r="P724" s="35"/>
      <c r="Q724" s="35"/>
      <c r="R724" s="35"/>
      <c r="S724" s="35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D724" s="35"/>
      <c r="AE724" s="35"/>
      <c r="AF724" s="35"/>
      <c r="AG724" s="35"/>
      <c r="AH724" s="35"/>
      <c r="AI724" s="35"/>
      <c r="AJ724" s="35"/>
      <c r="AK724" s="35"/>
    </row>
    <row r="725" ht="12.75" customHeight="1">
      <c r="A725" s="35"/>
      <c r="B725" s="35"/>
      <c r="C725" s="35"/>
      <c r="D725" s="35"/>
      <c r="E725" s="35"/>
      <c r="F725" s="35"/>
      <c r="G725" s="35"/>
      <c r="H725" s="35"/>
      <c r="I725" s="35"/>
      <c r="J725" s="35"/>
      <c r="K725" s="35"/>
      <c r="L725" s="35"/>
      <c r="M725" s="35"/>
      <c r="N725" s="35"/>
      <c r="O725" s="35"/>
      <c r="P725" s="35"/>
      <c r="Q725" s="35"/>
      <c r="R725" s="35"/>
      <c r="S725" s="35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D725" s="35"/>
      <c r="AE725" s="35"/>
      <c r="AF725" s="35"/>
      <c r="AG725" s="35"/>
      <c r="AH725" s="35"/>
      <c r="AI725" s="35"/>
      <c r="AJ725" s="35"/>
      <c r="AK725" s="35"/>
    </row>
    <row r="726" ht="12.75" customHeight="1">
      <c r="A726" s="35"/>
      <c r="B726" s="35"/>
      <c r="C726" s="35"/>
      <c r="D726" s="35"/>
      <c r="E726" s="35"/>
      <c r="F726" s="35"/>
      <c r="G726" s="35"/>
      <c r="H726" s="35"/>
      <c r="I726" s="35"/>
      <c r="J726" s="35"/>
      <c r="K726" s="35"/>
      <c r="L726" s="35"/>
      <c r="M726" s="35"/>
      <c r="N726" s="35"/>
      <c r="O726" s="35"/>
      <c r="P726" s="35"/>
      <c r="Q726" s="35"/>
      <c r="R726" s="35"/>
      <c r="S726" s="35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D726" s="35"/>
      <c r="AE726" s="35"/>
      <c r="AF726" s="35"/>
      <c r="AG726" s="35"/>
      <c r="AH726" s="35"/>
      <c r="AI726" s="35"/>
      <c r="AJ726" s="35"/>
      <c r="AK726" s="35"/>
    </row>
    <row r="727" ht="12.75" customHeight="1">
      <c r="A727" s="35"/>
      <c r="B727" s="35"/>
      <c r="C727" s="35"/>
      <c r="D727" s="35"/>
      <c r="E727" s="35"/>
      <c r="F727" s="35"/>
      <c r="G727" s="35"/>
      <c r="H727" s="35"/>
      <c r="I727" s="35"/>
      <c r="J727" s="35"/>
      <c r="K727" s="35"/>
      <c r="L727" s="35"/>
      <c r="M727" s="35"/>
      <c r="N727" s="35"/>
      <c r="O727" s="35"/>
      <c r="P727" s="35"/>
      <c r="Q727" s="35"/>
      <c r="R727" s="35"/>
      <c r="S727" s="35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D727" s="35"/>
      <c r="AE727" s="35"/>
      <c r="AF727" s="35"/>
      <c r="AG727" s="35"/>
      <c r="AH727" s="35"/>
      <c r="AI727" s="35"/>
      <c r="AJ727" s="35"/>
      <c r="AK727" s="35"/>
    </row>
    <row r="728" ht="12.75" customHeight="1">
      <c r="A728" s="35"/>
      <c r="B728" s="35"/>
      <c r="C728" s="35"/>
      <c r="D728" s="35"/>
      <c r="E728" s="35"/>
      <c r="F728" s="35"/>
      <c r="G728" s="35"/>
      <c r="H728" s="35"/>
      <c r="I728" s="35"/>
      <c r="J728" s="35"/>
      <c r="K728" s="35"/>
      <c r="L728" s="35"/>
      <c r="M728" s="35"/>
      <c r="N728" s="35"/>
      <c r="O728" s="35"/>
      <c r="P728" s="35"/>
      <c r="Q728" s="35"/>
      <c r="R728" s="35"/>
      <c r="S728" s="35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D728" s="35"/>
      <c r="AE728" s="35"/>
      <c r="AF728" s="35"/>
      <c r="AG728" s="35"/>
      <c r="AH728" s="35"/>
      <c r="AI728" s="35"/>
      <c r="AJ728" s="35"/>
      <c r="AK728" s="35"/>
    </row>
    <row r="729" ht="12.75" customHeight="1">
      <c r="A729" s="35"/>
      <c r="B729" s="35"/>
      <c r="C729" s="35"/>
      <c r="D729" s="35"/>
      <c r="E729" s="35"/>
      <c r="F729" s="35"/>
      <c r="G729" s="35"/>
      <c r="H729" s="35"/>
      <c r="I729" s="35"/>
      <c r="J729" s="35"/>
      <c r="K729" s="35"/>
      <c r="L729" s="35"/>
      <c r="M729" s="35"/>
      <c r="N729" s="35"/>
      <c r="O729" s="35"/>
      <c r="P729" s="35"/>
      <c r="Q729" s="35"/>
      <c r="R729" s="35"/>
      <c r="S729" s="35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D729" s="35"/>
      <c r="AE729" s="35"/>
      <c r="AF729" s="35"/>
      <c r="AG729" s="35"/>
      <c r="AH729" s="35"/>
      <c r="AI729" s="35"/>
      <c r="AJ729" s="35"/>
      <c r="AK729" s="35"/>
    </row>
    <row r="730" ht="12.75" customHeight="1">
      <c r="A730" s="35"/>
      <c r="B730" s="35"/>
      <c r="C730" s="35"/>
      <c r="D730" s="35"/>
      <c r="E730" s="35"/>
      <c r="F730" s="35"/>
      <c r="G730" s="35"/>
      <c r="H730" s="35"/>
      <c r="I730" s="35"/>
      <c r="J730" s="35"/>
      <c r="K730" s="35"/>
      <c r="L730" s="35"/>
      <c r="M730" s="35"/>
      <c r="N730" s="35"/>
      <c r="O730" s="35"/>
      <c r="P730" s="35"/>
      <c r="Q730" s="35"/>
      <c r="R730" s="35"/>
      <c r="S730" s="35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D730" s="35"/>
      <c r="AE730" s="35"/>
      <c r="AF730" s="35"/>
      <c r="AG730" s="35"/>
      <c r="AH730" s="35"/>
      <c r="AI730" s="35"/>
      <c r="AJ730" s="35"/>
      <c r="AK730" s="35"/>
    </row>
    <row r="731" ht="12.75" customHeight="1">
      <c r="A731" s="35"/>
      <c r="B731" s="35"/>
      <c r="C731" s="35"/>
      <c r="D731" s="35"/>
      <c r="E731" s="35"/>
      <c r="F731" s="35"/>
      <c r="G731" s="35"/>
      <c r="H731" s="35"/>
      <c r="I731" s="35"/>
      <c r="J731" s="35"/>
      <c r="K731" s="35"/>
      <c r="L731" s="35"/>
      <c r="M731" s="35"/>
      <c r="N731" s="35"/>
      <c r="O731" s="35"/>
      <c r="P731" s="35"/>
      <c r="Q731" s="35"/>
      <c r="R731" s="35"/>
      <c r="S731" s="35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D731" s="35"/>
      <c r="AE731" s="35"/>
      <c r="AF731" s="35"/>
      <c r="AG731" s="35"/>
      <c r="AH731" s="35"/>
      <c r="AI731" s="35"/>
      <c r="AJ731" s="35"/>
      <c r="AK731" s="35"/>
    </row>
    <row r="732" ht="12.75" customHeight="1">
      <c r="A732" s="35"/>
      <c r="B732" s="35"/>
      <c r="C732" s="35"/>
      <c r="D732" s="35"/>
      <c r="E732" s="35"/>
      <c r="F732" s="35"/>
      <c r="G732" s="35"/>
      <c r="H732" s="35"/>
      <c r="I732" s="35"/>
      <c r="J732" s="35"/>
      <c r="K732" s="35"/>
      <c r="L732" s="35"/>
      <c r="M732" s="35"/>
      <c r="N732" s="35"/>
      <c r="O732" s="35"/>
      <c r="P732" s="35"/>
      <c r="Q732" s="35"/>
      <c r="R732" s="35"/>
      <c r="S732" s="35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D732" s="35"/>
      <c r="AE732" s="35"/>
      <c r="AF732" s="35"/>
      <c r="AG732" s="35"/>
      <c r="AH732" s="35"/>
      <c r="AI732" s="35"/>
      <c r="AJ732" s="35"/>
      <c r="AK732" s="35"/>
    </row>
    <row r="733" ht="12.75" customHeight="1">
      <c r="A733" s="35"/>
      <c r="B733" s="35"/>
      <c r="C733" s="35"/>
      <c r="D733" s="35"/>
      <c r="E733" s="35"/>
      <c r="F733" s="35"/>
      <c r="G733" s="35"/>
      <c r="H733" s="35"/>
      <c r="I733" s="35"/>
      <c r="J733" s="35"/>
      <c r="K733" s="35"/>
      <c r="L733" s="35"/>
      <c r="M733" s="35"/>
      <c r="N733" s="35"/>
      <c r="O733" s="35"/>
      <c r="P733" s="35"/>
      <c r="Q733" s="35"/>
      <c r="R733" s="35"/>
      <c r="S733" s="35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D733" s="35"/>
      <c r="AE733" s="35"/>
      <c r="AF733" s="35"/>
      <c r="AG733" s="35"/>
      <c r="AH733" s="35"/>
      <c r="AI733" s="35"/>
      <c r="AJ733" s="35"/>
      <c r="AK733" s="35"/>
    </row>
    <row r="734" ht="12.75" customHeight="1">
      <c r="A734" s="35"/>
      <c r="B734" s="35"/>
      <c r="C734" s="35"/>
      <c r="D734" s="35"/>
      <c r="E734" s="35"/>
      <c r="F734" s="35"/>
      <c r="G734" s="35"/>
      <c r="H734" s="35"/>
      <c r="I734" s="35"/>
      <c r="J734" s="35"/>
      <c r="K734" s="35"/>
      <c r="L734" s="35"/>
      <c r="M734" s="35"/>
      <c r="N734" s="35"/>
      <c r="O734" s="35"/>
      <c r="P734" s="35"/>
      <c r="Q734" s="35"/>
      <c r="R734" s="35"/>
      <c r="S734" s="35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D734" s="35"/>
      <c r="AE734" s="35"/>
      <c r="AF734" s="35"/>
      <c r="AG734" s="35"/>
      <c r="AH734" s="35"/>
      <c r="AI734" s="35"/>
      <c r="AJ734" s="35"/>
      <c r="AK734" s="35"/>
    </row>
    <row r="735" ht="12.75" customHeight="1">
      <c r="A735" s="35"/>
      <c r="B735" s="35"/>
      <c r="C735" s="35"/>
      <c r="D735" s="35"/>
      <c r="E735" s="35"/>
      <c r="F735" s="35"/>
      <c r="G735" s="35"/>
      <c r="H735" s="35"/>
      <c r="I735" s="35"/>
      <c r="J735" s="35"/>
      <c r="K735" s="35"/>
      <c r="L735" s="35"/>
      <c r="M735" s="35"/>
      <c r="N735" s="35"/>
      <c r="O735" s="35"/>
      <c r="P735" s="35"/>
      <c r="Q735" s="35"/>
      <c r="R735" s="35"/>
      <c r="S735" s="35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D735" s="35"/>
      <c r="AE735" s="35"/>
      <c r="AF735" s="35"/>
      <c r="AG735" s="35"/>
      <c r="AH735" s="35"/>
      <c r="AI735" s="35"/>
      <c r="AJ735" s="35"/>
      <c r="AK735" s="35"/>
    </row>
    <row r="736" ht="12.75" customHeight="1">
      <c r="A736" s="35"/>
      <c r="B736" s="35"/>
      <c r="C736" s="35"/>
      <c r="D736" s="35"/>
      <c r="E736" s="35"/>
      <c r="F736" s="35"/>
      <c r="G736" s="35"/>
      <c r="H736" s="35"/>
      <c r="I736" s="35"/>
      <c r="J736" s="35"/>
      <c r="K736" s="35"/>
      <c r="L736" s="35"/>
      <c r="M736" s="35"/>
      <c r="N736" s="35"/>
      <c r="O736" s="35"/>
      <c r="P736" s="35"/>
      <c r="Q736" s="35"/>
      <c r="R736" s="35"/>
      <c r="S736" s="35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D736" s="35"/>
      <c r="AE736" s="35"/>
      <c r="AF736" s="35"/>
      <c r="AG736" s="35"/>
      <c r="AH736" s="35"/>
      <c r="AI736" s="35"/>
      <c r="AJ736" s="35"/>
      <c r="AK736" s="35"/>
    </row>
    <row r="737" ht="12.75" customHeight="1">
      <c r="A737" s="35"/>
      <c r="B737" s="35"/>
      <c r="C737" s="35"/>
      <c r="D737" s="35"/>
      <c r="E737" s="35"/>
      <c r="F737" s="35"/>
      <c r="G737" s="35"/>
      <c r="H737" s="35"/>
      <c r="I737" s="35"/>
      <c r="J737" s="35"/>
      <c r="K737" s="35"/>
      <c r="L737" s="35"/>
      <c r="M737" s="35"/>
      <c r="N737" s="35"/>
      <c r="O737" s="35"/>
      <c r="P737" s="35"/>
      <c r="Q737" s="35"/>
      <c r="R737" s="35"/>
      <c r="S737" s="35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D737" s="35"/>
      <c r="AE737" s="35"/>
      <c r="AF737" s="35"/>
      <c r="AG737" s="35"/>
      <c r="AH737" s="35"/>
      <c r="AI737" s="35"/>
      <c r="AJ737" s="35"/>
      <c r="AK737" s="35"/>
    </row>
    <row r="738" ht="12.75" customHeight="1">
      <c r="A738" s="35"/>
      <c r="B738" s="35"/>
      <c r="C738" s="35"/>
      <c r="D738" s="35"/>
      <c r="E738" s="35"/>
      <c r="F738" s="35"/>
      <c r="G738" s="35"/>
      <c r="H738" s="35"/>
      <c r="I738" s="35"/>
      <c r="J738" s="35"/>
      <c r="K738" s="35"/>
      <c r="L738" s="35"/>
      <c r="M738" s="35"/>
      <c r="N738" s="35"/>
      <c r="O738" s="35"/>
      <c r="P738" s="35"/>
      <c r="Q738" s="35"/>
      <c r="R738" s="35"/>
      <c r="S738" s="35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D738" s="35"/>
      <c r="AE738" s="35"/>
      <c r="AF738" s="35"/>
      <c r="AG738" s="35"/>
      <c r="AH738" s="35"/>
      <c r="AI738" s="35"/>
      <c r="AJ738" s="35"/>
      <c r="AK738" s="35"/>
    </row>
    <row r="739" ht="12.75" customHeight="1">
      <c r="A739" s="35"/>
      <c r="B739" s="35"/>
      <c r="C739" s="35"/>
      <c r="D739" s="35"/>
      <c r="E739" s="35"/>
      <c r="F739" s="35"/>
      <c r="G739" s="35"/>
      <c r="H739" s="35"/>
      <c r="I739" s="35"/>
      <c r="J739" s="35"/>
      <c r="K739" s="35"/>
      <c r="L739" s="35"/>
      <c r="M739" s="35"/>
      <c r="N739" s="35"/>
      <c r="O739" s="35"/>
      <c r="P739" s="35"/>
      <c r="Q739" s="35"/>
      <c r="R739" s="35"/>
      <c r="S739" s="35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D739" s="35"/>
      <c r="AE739" s="35"/>
      <c r="AF739" s="35"/>
      <c r="AG739" s="35"/>
      <c r="AH739" s="35"/>
      <c r="AI739" s="35"/>
      <c r="AJ739" s="35"/>
      <c r="AK739" s="35"/>
    </row>
    <row r="740" ht="12.75" customHeight="1">
      <c r="A740" s="35"/>
      <c r="B740" s="35"/>
      <c r="C740" s="35"/>
      <c r="D740" s="35"/>
      <c r="E740" s="35"/>
      <c r="F740" s="35"/>
      <c r="G740" s="35"/>
      <c r="H740" s="35"/>
      <c r="I740" s="35"/>
      <c r="J740" s="35"/>
      <c r="K740" s="35"/>
      <c r="L740" s="35"/>
      <c r="M740" s="35"/>
      <c r="N740" s="35"/>
      <c r="O740" s="35"/>
      <c r="P740" s="35"/>
      <c r="Q740" s="35"/>
      <c r="R740" s="35"/>
      <c r="S740" s="35"/>
      <c r="T740" s="35"/>
      <c r="U740" s="35"/>
      <c r="V740" s="35"/>
      <c r="W740" s="35"/>
      <c r="X740" s="35"/>
      <c r="Y740" s="35"/>
      <c r="Z740" s="35"/>
      <c r="AA740" s="35"/>
      <c r="AB740" s="35"/>
      <c r="AC740" s="35"/>
      <c r="AD740" s="35"/>
      <c r="AE740" s="35"/>
      <c r="AF740" s="35"/>
      <c r="AG740" s="35"/>
      <c r="AH740" s="35"/>
      <c r="AI740" s="35"/>
      <c r="AJ740" s="35"/>
      <c r="AK740" s="35"/>
    </row>
    <row r="741" ht="12.75" customHeight="1">
      <c r="A741" s="35"/>
      <c r="B741" s="35"/>
      <c r="C741" s="35"/>
      <c r="D741" s="35"/>
      <c r="E741" s="35"/>
      <c r="F741" s="35"/>
      <c r="G741" s="35"/>
      <c r="H741" s="35"/>
      <c r="I741" s="35"/>
      <c r="J741" s="35"/>
      <c r="K741" s="35"/>
      <c r="L741" s="35"/>
      <c r="M741" s="35"/>
      <c r="N741" s="35"/>
      <c r="O741" s="35"/>
      <c r="P741" s="35"/>
      <c r="Q741" s="35"/>
      <c r="R741" s="35"/>
      <c r="S741" s="35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D741" s="35"/>
      <c r="AE741" s="35"/>
      <c r="AF741" s="35"/>
      <c r="AG741" s="35"/>
      <c r="AH741" s="35"/>
      <c r="AI741" s="35"/>
      <c r="AJ741" s="35"/>
      <c r="AK741" s="35"/>
    </row>
    <row r="742" ht="12.75" customHeight="1">
      <c r="A742" s="35"/>
      <c r="B742" s="35"/>
      <c r="C742" s="35"/>
      <c r="D742" s="35"/>
      <c r="E742" s="35"/>
      <c r="F742" s="35"/>
      <c r="G742" s="35"/>
      <c r="H742" s="35"/>
      <c r="I742" s="35"/>
      <c r="J742" s="35"/>
      <c r="K742" s="35"/>
      <c r="L742" s="35"/>
      <c r="M742" s="35"/>
      <c r="N742" s="35"/>
      <c r="O742" s="35"/>
      <c r="P742" s="35"/>
      <c r="Q742" s="35"/>
      <c r="R742" s="35"/>
      <c r="S742" s="35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D742" s="35"/>
      <c r="AE742" s="35"/>
      <c r="AF742" s="35"/>
      <c r="AG742" s="35"/>
      <c r="AH742" s="35"/>
      <c r="AI742" s="35"/>
      <c r="AJ742" s="35"/>
      <c r="AK742" s="35"/>
    </row>
    <row r="743" ht="12.75" customHeight="1">
      <c r="A743" s="35"/>
      <c r="B743" s="35"/>
      <c r="C743" s="35"/>
      <c r="D743" s="35"/>
      <c r="E743" s="35"/>
      <c r="F743" s="35"/>
      <c r="G743" s="35"/>
      <c r="H743" s="35"/>
      <c r="I743" s="35"/>
      <c r="J743" s="35"/>
      <c r="K743" s="35"/>
      <c r="L743" s="35"/>
      <c r="M743" s="35"/>
      <c r="N743" s="35"/>
      <c r="O743" s="35"/>
      <c r="P743" s="35"/>
      <c r="Q743" s="35"/>
      <c r="R743" s="35"/>
      <c r="S743" s="35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D743" s="35"/>
      <c r="AE743" s="35"/>
      <c r="AF743" s="35"/>
      <c r="AG743" s="35"/>
      <c r="AH743" s="35"/>
      <c r="AI743" s="35"/>
      <c r="AJ743" s="35"/>
      <c r="AK743" s="35"/>
    </row>
    <row r="744" ht="12.75" customHeight="1">
      <c r="A744" s="35"/>
      <c r="B744" s="35"/>
      <c r="C744" s="35"/>
      <c r="D744" s="35"/>
      <c r="E744" s="35"/>
      <c r="F744" s="35"/>
      <c r="G744" s="35"/>
      <c r="H744" s="35"/>
      <c r="I744" s="35"/>
      <c r="J744" s="35"/>
      <c r="K744" s="35"/>
      <c r="L744" s="35"/>
      <c r="M744" s="35"/>
      <c r="N744" s="35"/>
      <c r="O744" s="35"/>
      <c r="P744" s="35"/>
      <c r="Q744" s="35"/>
      <c r="R744" s="35"/>
      <c r="S744" s="35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D744" s="35"/>
      <c r="AE744" s="35"/>
      <c r="AF744" s="35"/>
      <c r="AG744" s="35"/>
      <c r="AH744" s="35"/>
      <c r="AI744" s="35"/>
      <c r="AJ744" s="35"/>
      <c r="AK744" s="35"/>
    </row>
    <row r="745" ht="12.75" customHeight="1">
      <c r="A745" s="35"/>
      <c r="B745" s="35"/>
      <c r="C745" s="35"/>
      <c r="D745" s="35"/>
      <c r="E745" s="35"/>
      <c r="F745" s="35"/>
      <c r="G745" s="35"/>
      <c r="H745" s="35"/>
      <c r="I745" s="35"/>
      <c r="J745" s="35"/>
      <c r="K745" s="35"/>
      <c r="L745" s="35"/>
      <c r="M745" s="35"/>
      <c r="N745" s="35"/>
      <c r="O745" s="35"/>
      <c r="P745" s="35"/>
      <c r="Q745" s="35"/>
      <c r="R745" s="35"/>
      <c r="S745" s="35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D745" s="35"/>
      <c r="AE745" s="35"/>
      <c r="AF745" s="35"/>
      <c r="AG745" s="35"/>
      <c r="AH745" s="35"/>
      <c r="AI745" s="35"/>
      <c r="AJ745" s="35"/>
      <c r="AK745" s="35"/>
    </row>
    <row r="746" ht="12.75" customHeight="1">
      <c r="A746" s="35"/>
      <c r="B746" s="35"/>
      <c r="C746" s="35"/>
      <c r="D746" s="35"/>
      <c r="E746" s="35"/>
      <c r="F746" s="35"/>
      <c r="G746" s="35"/>
      <c r="H746" s="35"/>
      <c r="I746" s="35"/>
      <c r="J746" s="35"/>
      <c r="K746" s="35"/>
      <c r="L746" s="35"/>
      <c r="M746" s="35"/>
      <c r="N746" s="35"/>
      <c r="O746" s="35"/>
      <c r="P746" s="35"/>
      <c r="Q746" s="35"/>
      <c r="R746" s="35"/>
      <c r="S746" s="35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D746" s="35"/>
      <c r="AE746" s="35"/>
      <c r="AF746" s="35"/>
      <c r="AG746" s="35"/>
      <c r="AH746" s="35"/>
      <c r="AI746" s="35"/>
      <c r="AJ746" s="35"/>
      <c r="AK746" s="35"/>
    </row>
    <row r="747" ht="12.75" customHeight="1">
      <c r="A747" s="35"/>
      <c r="B747" s="35"/>
      <c r="C747" s="35"/>
      <c r="D747" s="35"/>
      <c r="E747" s="35"/>
      <c r="F747" s="35"/>
      <c r="G747" s="35"/>
      <c r="H747" s="35"/>
      <c r="I747" s="35"/>
      <c r="J747" s="35"/>
      <c r="K747" s="35"/>
      <c r="L747" s="35"/>
      <c r="M747" s="35"/>
      <c r="N747" s="35"/>
      <c r="O747" s="35"/>
      <c r="P747" s="35"/>
      <c r="Q747" s="35"/>
      <c r="R747" s="35"/>
      <c r="S747" s="35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D747" s="35"/>
      <c r="AE747" s="35"/>
      <c r="AF747" s="35"/>
      <c r="AG747" s="35"/>
      <c r="AH747" s="35"/>
      <c r="AI747" s="35"/>
      <c r="AJ747" s="35"/>
      <c r="AK747" s="35"/>
    </row>
    <row r="748" ht="12.75" customHeight="1">
      <c r="A748" s="35"/>
      <c r="B748" s="35"/>
      <c r="C748" s="35"/>
      <c r="D748" s="35"/>
      <c r="E748" s="35"/>
      <c r="F748" s="35"/>
      <c r="G748" s="35"/>
      <c r="H748" s="35"/>
      <c r="I748" s="35"/>
      <c r="J748" s="35"/>
      <c r="K748" s="35"/>
      <c r="L748" s="35"/>
      <c r="M748" s="35"/>
      <c r="N748" s="35"/>
      <c r="O748" s="35"/>
      <c r="P748" s="35"/>
      <c r="Q748" s="35"/>
      <c r="R748" s="35"/>
      <c r="S748" s="35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D748" s="35"/>
      <c r="AE748" s="35"/>
      <c r="AF748" s="35"/>
      <c r="AG748" s="35"/>
      <c r="AH748" s="35"/>
      <c r="AI748" s="35"/>
      <c r="AJ748" s="35"/>
      <c r="AK748" s="35"/>
    </row>
    <row r="749" ht="12.75" customHeight="1">
      <c r="A749" s="35"/>
      <c r="B749" s="35"/>
      <c r="C749" s="35"/>
      <c r="D749" s="35"/>
      <c r="E749" s="35"/>
      <c r="F749" s="35"/>
      <c r="G749" s="35"/>
      <c r="H749" s="35"/>
      <c r="I749" s="35"/>
      <c r="J749" s="35"/>
      <c r="K749" s="35"/>
      <c r="L749" s="35"/>
      <c r="M749" s="35"/>
      <c r="N749" s="35"/>
      <c r="O749" s="35"/>
      <c r="P749" s="35"/>
      <c r="Q749" s="35"/>
      <c r="R749" s="35"/>
      <c r="S749" s="35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D749" s="35"/>
      <c r="AE749" s="35"/>
      <c r="AF749" s="35"/>
      <c r="AG749" s="35"/>
      <c r="AH749" s="35"/>
      <c r="AI749" s="35"/>
      <c r="AJ749" s="35"/>
      <c r="AK749" s="35"/>
    </row>
    <row r="750" ht="12.75" customHeight="1">
      <c r="A750" s="35"/>
      <c r="B750" s="35"/>
      <c r="C750" s="35"/>
      <c r="D750" s="35"/>
      <c r="E750" s="35"/>
      <c r="F750" s="35"/>
      <c r="G750" s="35"/>
      <c r="H750" s="35"/>
      <c r="I750" s="35"/>
      <c r="J750" s="35"/>
      <c r="K750" s="35"/>
      <c r="L750" s="35"/>
      <c r="M750" s="35"/>
      <c r="N750" s="35"/>
      <c r="O750" s="35"/>
      <c r="P750" s="35"/>
      <c r="Q750" s="35"/>
      <c r="R750" s="35"/>
      <c r="S750" s="35"/>
      <c r="T750" s="35"/>
      <c r="U750" s="35"/>
      <c r="V750" s="35"/>
      <c r="W750" s="35"/>
      <c r="X750" s="35"/>
      <c r="Y750" s="35"/>
      <c r="Z750" s="35"/>
      <c r="AA750" s="35"/>
      <c r="AB750" s="35"/>
      <c r="AC750" s="35"/>
      <c r="AD750" s="35"/>
      <c r="AE750" s="35"/>
      <c r="AF750" s="35"/>
      <c r="AG750" s="35"/>
      <c r="AH750" s="35"/>
      <c r="AI750" s="35"/>
      <c r="AJ750" s="35"/>
      <c r="AK750" s="35"/>
    </row>
    <row r="751" ht="12.75" customHeight="1">
      <c r="A751" s="35"/>
      <c r="B751" s="35"/>
      <c r="C751" s="35"/>
      <c r="D751" s="35"/>
      <c r="E751" s="35"/>
      <c r="F751" s="35"/>
      <c r="G751" s="35"/>
      <c r="H751" s="35"/>
      <c r="I751" s="35"/>
      <c r="J751" s="35"/>
      <c r="K751" s="35"/>
      <c r="L751" s="35"/>
      <c r="M751" s="35"/>
      <c r="N751" s="35"/>
      <c r="O751" s="35"/>
      <c r="P751" s="35"/>
      <c r="Q751" s="35"/>
      <c r="R751" s="35"/>
      <c r="S751" s="35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D751" s="35"/>
      <c r="AE751" s="35"/>
      <c r="AF751" s="35"/>
      <c r="AG751" s="35"/>
      <c r="AH751" s="35"/>
      <c r="AI751" s="35"/>
      <c r="AJ751" s="35"/>
      <c r="AK751" s="35"/>
    </row>
    <row r="752" ht="12.75" customHeight="1">
      <c r="A752" s="35"/>
      <c r="B752" s="35"/>
      <c r="C752" s="35"/>
      <c r="D752" s="35"/>
      <c r="E752" s="35"/>
      <c r="F752" s="35"/>
      <c r="G752" s="35"/>
      <c r="H752" s="35"/>
      <c r="I752" s="35"/>
      <c r="J752" s="35"/>
      <c r="K752" s="35"/>
      <c r="L752" s="35"/>
      <c r="M752" s="35"/>
      <c r="N752" s="35"/>
      <c r="O752" s="35"/>
      <c r="P752" s="35"/>
      <c r="Q752" s="35"/>
      <c r="R752" s="35"/>
      <c r="S752" s="35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D752" s="35"/>
      <c r="AE752" s="35"/>
      <c r="AF752" s="35"/>
      <c r="AG752" s="35"/>
      <c r="AH752" s="35"/>
      <c r="AI752" s="35"/>
      <c r="AJ752" s="35"/>
      <c r="AK752" s="35"/>
    </row>
    <row r="753" ht="12.75" customHeight="1">
      <c r="A753" s="35"/>
      <c r="B753" s="35"/>
      <c r="C753" s="35"/>
      <c r="D753" s="35"/>
      <c r="E753" s="35"/>
      <c r="F753" s="35"/>
      <c r="G753" s="35"/>
      <c r="H753" s="35"/>
      <c r="I753" s="35"/>
      <c r="J753" s="35"/>
      <c r="K753" s="35"/>
      <c r="L753" s="35"/>
      <c r="M753" s="35"/>
      <c r="N753" s="35"/>
      <c r="O753" s="35"/>
      <c r="P753" s="35"/>
      <c r="Q753" s="35"/>
      <c r="R753" s="35"/>
      <c r="S753" s="35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D753" s="35"/>
      <c r="AE753" s="35"/>
      <c r="AF753" s="35"/>
      <c r="AG753" s="35"/>
      <c r="AH753" s="35"/>
      <c r="AI753" s="35"/>
      <c r="AJ753" s="35"/>
      <c r="AK753" s="35"/>
    </row>
    <row r="754" ht="12.75" customHeight="1">
      <c r="A754" s="35"/>
      <c r="B754" s="35"/>
      <c r="C754" s="35"/>
      <c r="D754" s="35"/>
      <c r="E754" s="35"/>
      <c r="F754" s="35"/>
      <c r="G754" s="35"/>
      <c r="H754" s="35"/>
      <c r="I754" s="35"/>
      <c r="J754" s="35"/>
      <c r="K754" s="35"/>
      <c r="L754" s="35"/>
      <c r="M754" s="35"/>
      <c r="N754" s="35"/>
      <c r="O754" s="35"/>
      <c r="P754" s="35"/>
      <c r="Q754" s="35"/>
      <c r="R754" s="35"/>
      <c r="S754" s="35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D754" s="35"/>
      <c r="AE754" s="35"/>
      <c r="AF754" s="35"/>
      <c r="AG754" s="35"/>
      <c r="AH754" s="35"/>
      <c r="AI754" s="35"/>
      <c r="AJ754" s="35"/>
      <c r="AK754" s="35"/>
    </row>
    <row r="755" ht="12.75" customHeight="1">
      <c r="A755" s="35"/>
      <c r="B755" s="35"/>
      <c r="C755" s="35"/>
      <c r="D755" s="35"/>
      <c r="E755" s="35"/>
      <c r="F755" s="35"/>
      <c r="G755" s="35"/>
      <c r="H755" s="35"/>
      <c r="I755" s="35"/>
      <c r="J755" s="35"/>
      <c r="K755" s="35"/>
      <c r="L755" s="35"/>
      <c r="M755" s="35"/>
      <c r="N755" s="35"/>
      <c r="O755" s="35"/>
      <c r="P755" s="35"/>
      <c r="Q755" s="35"/>
      <c r="R755" s="35"/>
      <c r="S755" s="35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D755" s="35"/>
      <c r="AE755" s="35"/>
      <c r="AF755" s="35"/>
      <c r="AG755" s="35"/>
      <c r="AH755" s="35"/>
      <c r="AI755" s="35"/>
      <c r="AJ755" s="35"/>
      <c r="AK755" s="35"/>
    </row>
    <row r="756" ht="12.75" customHeight="1">
      <c r="A756" s="35"/>
      <c r="B756" s="35"/>
      <c r="C756" s="35"/>
      <c r="D756" s="35"/>
      <c r="E756" s="35"/>
      <c r="F756" s="35"/>
      <c r="G756" s="35"/>
      <c r="H756" s="35"/>
      <c r="I756" s="35"/>
      <c r="J756" s="35"/>
      <c r="K756" s="35"/>
      <c r="L756" s="35"/>
      <c r="M756" s="35"/>
      <c r="N756" s="35"/>
      <c r="O756" s="35"/>
      <c r="P756" s="35"/>
      <c r="Q756" s="35"/>
      <c r="R756" s="35"/>
      <c r="S756" s="35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D756" s="35"/>
      <c r="AE756" s="35"/>
      <c r="AF756" s="35"/>
      <c r="AG756" s="35"/>
      <c r="AH756" s="35"/>
      <c r="AI756" s="35"/>
      <c r="AJ756" s="35"/>
      <c r="AK756" s="35"/>
    </row>
    <row r="757" ht="12.75" customHeight="1">
      <c r="A757" s="35"/>
      <c r="B757" s="35"/>
      <c r="C757" s="35"/>
      <c r="D757" s="35"/>
      <c r="E757" s="35"/>
      <c r="F757" s="35"/>
      <c r="G757" s="35"/>
      <c r="H757" s="35"/>
      <c r="I757" s="35"/>
      <c r="J757" s="35"/>
      <c r="K757" s="35"/>
      <c r="L757" s="35"/>
      <c r="M757" s="35"/>
      <c r="N757" s="35"/>
      <c r="O757" s="35"/>
      <c r="P757" s="35"/>
      <c r="Q757" s="35"/>
      <c r="R757" s="35"/>
      <c r="S757" s="35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D757" s="35"/>
      <c r="AE757" s="35"/>
      <c r="AF757" s="35"/>
      <c r="AG757" s="35"/>
      <c r="AH757" s="35"/>
      <c r="AI757" s="35"/>
      <c r="AJ757" s="35"/>
      <c r="AK757" s="35"/>
    </row>
    <row r="758" ht="12.75" customHeight="1">
      <c r="A758" s="35"/>
      <c r="B758" s="35"/>
      <c r="C758" s="35"/>
      <c r="D758" s="35"/>
      <c r="E758" s="35"/>
      <c r="F758" s="35"/>
      <c r="G758" s="35"/>
      <c r="H758" s="35"/>
      <c r="I758" s="35"/>
      <c r="J758" s="35"/>
      <c r="K758" s="35"/>
      <c r="L758" s="35"/>
      <c r="M758" s="35"/>
      <c r="N758" s="35"/>
      <c r="O758" s="35"/>
      <c r="P758" s="35"/>
      <c r="Q758" s="35"/>
      <c r="R758" s="35"/>
      <c r="S758" s="35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D758" s="35"/>
      <c r="AE758" s="35"/>
      <c r="AF758" s="35"/>
      <c r="AG758" s="35"/>
      <c r="AH758" s="35"/>
      <c r="AI758" s="35"/>
      <c r="AJ758" s="35"/>
      <c r="AK758" s="35"/>
    </row>
    <row r="759" ht="12.75" customHeight="1">
      <c r="A759" s="35"/>
      <c r="B759" s="35"/>
      <c r="C759" s="35"/>
      <c r="D759" s="35"/>
      <c r="E759" s="35"/>
      <c r="F759" s="35"/>
      <c r="G759" s="35"/>
      <c r="H759" s="35"/>
      <c r="I759" s="35"/>
      <c r="J759" s="35"/>
      <c r="K759" s="35"/>
      <c r="L759" s="35"/>
      <c r="M759" s="35"/>
      <c r="N759" s="35"/>
      <c r="O759" s="35"/>
      <c r="P759" s="35"/>
      <c r="Q759" s="35"/>
      <c r="R759" s="35"/>
      <c r="S759" s="35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D759" s="35"/>
      <c r="AE759" s="35"/>
      <c r="AF759" s="35"/>
      <c r="AG759" s="35"/>
      <c r="AH759" s="35"/>
      <c r="AI759" s="35"/>
      <c r="AJ759" s="35"/>
      <c r="AK759" s="35"/>
    </row>
    <row r="760" ht="12.75" customHeight="1">
      <c r="A760" s="35"/>
      <c r="B760" s="35"/>
      <c r="C760" s="35"/>
      <c r="D760" s="35"/>
      <c r="E760" s="35"/>
      <c r="F760" s="35"/>
      <c r="G760" s="35"/>
      <c r="H760" s="35"/>
      <c r="I760" s="35"/>
      <c r="J760" s="35"/>
      <c r="K760" s="35"/>
      <c r="L760" s="35"/>
      <c r="M760" s="35"/>
      <c r="N760" s="35"/>
      <c r="O760" s="35"/>
      <c r="P760" s="35"/>
      <c r="Q760" s="35"/>
      <c r="R760" s="35"/>
      <c r="S760" s="35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D760" s="35"/>
      <c r="AE760" s="35"/>
      <c r="AF760" s="35"/>
      <c r="AG760" s="35"/>
      <c r="AH760" s="35"/>
      <c r="AI760" s="35"/>
      <c r="AJ760" s="35"/>
      <c r="AK760" s="35"/>
    </row>
    <row r="761" ht="12.75" customHeight="1">
      <c r="A761" s="35"/>
      <c r="B761" s="35"/>
      <c r="C761" s="35"/>
      <c r="D761" s="35"/>
      <c r="E761" s="35"/>
      <c r="F761" s="35"/>
      <c r="G761" s="35"/>
      <c r="H761" s="35"/>
      <c r="I761" s="35"/>
      <c r="J761" s="35"/>
      <c r="K761" s="35"/>
      <c r="L761" s="35"/>
      <c r="M761" s="35"/>
      <c r="N761" s="35"/>
      <c r="O761" s="35"/>
      <c r="P761" s="35"/>
      <c r="Q761" s="35"/>
      <c r="R761" s="35"/>
      <c r="S761" s="35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D761" s="35"/>
      <c r="AE761" s="35"/>
      <c r="AF761" s="35"/>
      <c r="AG761" s="35"/>
      <c r="AH761" s="35"/>
      <c r="AI761" s="35"/>
      <c r="AJ761" s="35"/>
      <c r="AK761" s="35"/>
    </row>
    <row r="762" ht="12.75" customHeight="1">
      <c r="A762" s="35"/>
      <c r="B762" s="35"/>
      <c r="C762" s="35"/>
      <c r="D762" s="35"/>
      <c r="E762" s="35"/>
      <c r="F762" s="35"/>
      <c r="G762" s="35"/>
      <c r="H762" s="35"/>
      <c r="I762" s="35"/>
      <c r="J762" s="35"/>
      <c r="K762" s="35"/>
      <c r="L762" s="35"/>
      <c r="M762" s="35"/>
      <c r="N762" s="35"/>
      <c r="O762" s="35"/>
      <c r="P762" s="35"/>
      <c r="Q762" s="35"/>
      <c r="R762" s="35"/>
      <c r="S762" s="35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D762" s="35"/>
      <c r="AE762" s="35"/>
      <c r="AF762" s="35"/>
      <c r="AG762" s="35"/>
      <c r="AH762" s="35"/>
      <c r="AI762" s="35"/>
      <c r="AJ762" s="35"/>
      <c r="AK762" s="35"/>
    </row>
    <row r="763" ht="12.75" customHeight="1">
      <c r="A763" s="35"/>
      <c r="B763" s="35"/>
      <c r="C763" s="35"/>
      <c r="D763" s="35"/>
      <c r="E763" s="35"/>
      <c r="F763" s="35"/>
      <c r="G763" s="35"/>
      <c r="H763" s="35"/>
      <c r="I763" s="35"/>
      <c r="J763" s="35"/>
      <c r="K763" s="35"/>
      <c r="L763" s="35"/>
      <c r="M763" s="35"/>
      <c r="N763" s="35"/>
      <c r="O763" s="35"/>
      <c r="P763" s="35"/>
      <c r="Q763" s="35"/>
      <c r="R763" s="35"/>
      <c r="S763" s="35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D763" s="35"/>
      <c r="AE763" s="35"/>
      <c r="AF763" s="35"/>
      <c r="AG763" s="35"/>
      <c r="AH763" s="35"/>
      <c r="AI763" s="35"/>
      <c r="AJ763" s="35"/>
      <c r="AK763" s="35"/>
    </row>
    <row r="764" ht="12.75" customHeight="1">
      <c r="A764" s="35"/>
      <c r="B764" s="35"/>
      <c r="C764" s="35"/>
      <c r="D764" s="35"/>
      <c r="E764" s="35"/>
      <c r="F764" s="35"/>
      <c r="G764" s="35"/>
      <c r="H764" s="35"/>
      <c r="I764" s="35"/>
      <c r="J764" s="35"/>
      <c r="K764" s="35"/>
      <c r="L764" s="35"/>
      <c r="M764" s="35"/>
      <c r="N764" s="35"/>
      <c r="O764" s="35"/>
      <c r="P764" s="35"/>
      <c r="Q764" s="35"/>
      <c r="R764" s="35"/>
      <c r="S764" s="35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D764" s="35"/>
      <c r="AE764" s="35"/>
      <c r="AF764" s="35"/>
      <c r="AG764" s="35"/>
      <c r="AH764" s="35"/>
      <c r="AI764" s="35"/>
      <c r="AJ764" s="35"/>
      <c r="AK764" s="35"/>
    </row>
    <row r="765" ht="12.75" customHeight="1">
      <c r="A765" s="35"/>
      <c r="B765" s="35"/>
      <c r="C765" s="35"/>
      <c r="D765" s="35"/>
      <c r="E765" s="35"/>
      <c r="F765" s="35"/>
      <c r="G765" s="35"/>
      <c r="H765" s="35"/>
      <c r="I765" s="35"/>
      <c r="J765" s="35"/>
      <c r="K765" s="35"/>
      <c r="L765" s="35"/>
      <c r="M765" s="35"/>
      <c r="N765" s="35"/>
      <c r="O765" s="35"/>
      <c r="P765" s="35"/>
      <c r="Q765" s="35"/>
      <c r="R765" s="35"/>
      <c r="S765" s="35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D765" s="35"/>
      <c r="AE765" s="35"/>
      <c r="AF765" s="35"/>
      <c r="AG765" s="35"/>
      <c r="AH765" s="35"/>
      <c r="AI765" s="35"/>
      <c r="AJ765" s="35"/>
      <c r="AK765" s="35"/>
    </row>
    <row r="766" ht="12.75" customHeight="1">
      <c r="A766" s="35"/>
      <c r="B766" s="35"/>
      <c r="C766" s="35"/>
      <c r="D766" s="35"/>
      <c r="E766" s="35"/>
      <c r="F766" s="35"/>
      <c r="G766" s="35"/>
      <c r="H766" s="35"/>
      <c r="I766" s="35"/>
      <c r="J766" s="35"/>
      <c r="K766" s="35"/>
      <c r="L766" s="35"/>
      <c r="M766" s="35"/>
      <c r="N766" s="35"/>
      <c r="O766" s="35"/>
      <c r="P766" s="35"/>
      <c r="Q766" s="35"/>
      <c r="R766" s="35"/>
      <c r="S766" s="35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D766" s="35"/>
      <c r="AE766" s="35"/>
      <c r="AF766" s="35"/>
      <c r="AG766" s="35"/>
      <c r="AH766" s="35"/>
      <c r="AI766" s="35"/>
      <c r="AJ766" s="35"/>
      <c r="AK766" s="35"/>
    </row>
    <row r="767" ht="12.75" customHeight="1">
      <c r="A767" s="35"/>
      <c r="B767" s="35"/>
      <c r="C767" s="35"/>
      <c r="D767" s="35"/>
      <c r="E767" s="35"/>
      <c r="F767" s="35"/>
      <c r="G767" s="35"/>
      <c r="H767" s="35"/>
      <c r="I767" s="35"/>
      <c r="J767" s="35"/>
      <c r="K767" s="35"/>
      <c r="L767" s="35"/>
      <c r="M767" s="35"/>
      <c r="N767" s="35"/>
      <c r="O767" s="35"/>
      <c r="P767" s="35"/>
      <c r="Q767" s="35"/>
      <c r="R767" s="35"/>
      <c r="S767" s="35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D767" s="35"/>
      <c r="AE767" s="35"/>
      <c r="AF767" s="35"/>
      <c r="AG767" s="35"/>
      <c r="AH767" s="35"/>
      <c r="AI767" s="35"/>
      <c r="AJ767" s="35"/>
      <c r="AK767" s="35"/>
    </row>
    <row r="768" ht="12.75" customHeight="1">
      <c r="A768" s="35"/>
      <c r="B768" s="35"/>
      <c r="C768" s="35"/>
      <c r="D768" s="35"/>
      <c r="E768" s="35"/>
      <c r="F768" s="35"/>
      <c r="G768" s="35"/>
      <c r="H768" s="35"/>
      <c r="I768" s="35"/>
      <c r="J768" s="35"/>
      <c r="K768" s="35"/>
      <c r="L768" s="35"/>
      <c r="M768" s="35"/>
      <c r="N768" s="35"/>
      <c r="O768" s="35"/>
      <c r="P768" s="35"/>
      <c r="Q768" s="35"/>
      <c r="R768" s="35"/>
      <c r="S768" s="35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D768" s="35"/>
      <c r="AE768" s="35"/>
      <c r="AF768" s="35"/>
      <c r="AG768" s="35"/>
      <c r="AH768" s="35"/>
      <c r="AI768" s="35"/>
      <c r="AJ768" s="35"/>
      <c r="AK768" s="35"/>
    </row>
    <row r="769" ht="12.75" customHeight="1">
      <c r="A769" s="35"/>
      <c r="B769" s="35"/>
      <c r="C769" s="35"/>
      <c r="D769" s="35"/>
      <c r="E769" s="35"/>
      <c r="F769" s="35"/>
      <c r="G769" s="35"/>
      <c r="H769" s="35"/>
      <c r="I769" s="35"/>
      <c r="J769" s="35"/>
      <c r="K769" s="35"/>
      <c r="L769" s="35"/>
      <c r="M769" s="35"/>
      <c r="N769" s="35"/>
      <c r="O769" s="35"/>
      <c r="P769" s="35"/>
      <c r="Q769" s="35"/>
      <c r="R769" s="35"/>
      <c r="S769" s="35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D769" s="35"/>
      <c r="AE769" s="35"/>
      <c r="AF769" s="35"/>
      <c r="AG769" s="35"/>
      <c r="AH769" s="35"/>
      <c r="AI769" s="35"/>
      <c r="AJ769" s="35"/>
      <c r="AK769" s="35"/>
    </row>
    <row r="770" ht="12.75" customHeight="1">
      <c r="A770" s="35"/>
      <c r="B770" s="35"/>
      <c r="C770" s="35"/>
      <c r="D770" s="35"/>
      <c r="E770" s="35"/>
      <c r="F770" s="35"/>
      <c r="G770" s="35"/>
      <c r="H770" s="35"/>
      <c r="I770" s="35"/>
      <c r="J770" s="35"/>
      <c r="K770" s="35"/>
      <c r="L770" s="35"/>
      <c r="M770" s="35"/>
      <c r="N770" s="35"/>
      <c r="O770" s="35"/>
      <c r="P770" s="35"/>
      <c r="Q770" s="35"/>
      <c r="R770" s="35"/>
      <c r="S770" s="35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D770" s="35"/>
      <c r="AE770" s="35"/>
      <c r="AF770" s="35"/>
      <c r="AG770" s="35"/>
      <c r="AH770" s="35"/>
      <c r="AI770" s="35"/>
      <c r="AJ770" s="35"/>
      <c r="AK770" s="35"/>
    </row>
    <row r="771" ht="12.75" customHeight="1">
      <c r="A771" s="35"/>
      <c r="B771" s="35"/>
      <c r="C771" s="35"/>
      <c r="D771" s="35"/>
      <c r="E771" s="35"/>
      <c r="F771" s="35"/>
      <c r="G771" s="35"/>
      <c r="H771" s="35"/>
      <c r="I771" s="35"/>
      <c r="J771" s="35"/>
      <c r="K771" s="35"/>
      <c r="L771" s="35"/>
      <c r="M771" s="35"/>
      <c r="N771" s="35"/>
      <c r="O771" s="35"/>
      <c r="P771" s="35"/>
      <c r="Q771" s="35"/>
      <c r="R771" s="35"/>
      <c r="S771" s="35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D771" s="35"/>
      <c r="AE771" s="35"/>
      <c r="AF771" s="35"/>
      <c r="AG771" s="35"/>
      <c r="AH771" s="35"/>
      <c r="AI771" s="35"/>
      <c r="AJ771" s="35"/>
      <c r="AK771" s="35"/>
    </row>
    <row r="772" ht="12.75" customHeight="1">
      <c r="A772" s="35"/>
      <c r="B772" s="35"/>
      <c r="C772" s="35"/>
      <c r="D772" s="35"/>
      <c r="E772" s="35"/>
      <c r="F772" s="35"/>
      <c r="G772" s="35"/>
      <c r="H772" s="35"/>
      <c r="I772" s="35"/>
      <c r="J772" s="35"/>
      <c r="K772" s="35"/>
      <c r="L772" s="35"/>
      <c r="M772" s="35"/>
      <c r="N772" s="35"/>
      <c r="O772" s="35"/>
      <c r="P772" s="35"/>
      <c r="Q772" s="35"/>
      <c r="R772" s="35"/>
      <c r="S772" s="35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D772" s="35"/>
      <c r="AE772" s="35"/>
      <c r="AF772" s="35"/>
      <c r="AG772" s="35"/>
      <c r="AH772" s="35"/>
      <c r="AI772" s="35"/>
      <c r="AJ772" s="35"/>
      <c r="AK772" s="35"/>
    </row>
    <row r="773" ht="12.75" customHeight="1">
      <c r="A773" s="35"/>
      <c r="B773" s="35"/>
      <c r="C773" s="35"/>
      <c r="D773" s="35"/>
      <c r="E773" s="35"/>
      <c r="F773" s="35"/>
      <c r="G773" s="35"/>
      <c r="H773" s="35"/>
      <c r="I773" s="35"/>
      <c r="J773" s="35"/>
      <c r="K773" s="35"/>
      <c r="L773" s="35"/>
      <c r="M773" s="35"/>
      <c r="N773" s="35"/>
      <c r="O773" s="35"/>
      <c r="P773" s="35"/>
      <c r="Q773" s="35"/>
      <c r="R773" s="35"/>
      <c r="S773" s="35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D773" s="35"/>
      <c r="AE773" s="35"/>
      <c r="AF773" s="35"/>
      <c r="AG773" s="35"/>
      <c r="AH773" s="35"/>
      <c r="AI773" s="35"/>
      <c r="AJ773" s="35"/>
      <c r="AK773" s="35"/>
    </row>
    <row r="774" ht="12.75" customHeight="1">
      <c r="A774" s="35"/>
      <c r="B774" s="35"/>
      <c r="C774" s="35"/>
      <c r="D774" s="35"/>
      <c r="E774" s="35"/>
      <c r="F774" s="35"/>
      <c r="G774" s="35"/>
      <c r="H774" s="35"/>
      <c r="I774" s="35"/>
      <c r="J774" s="35"/>
      <c r="K774" s="35"/>
      <c r="L774" s="35"/>
      <c r="M774" s="35"/>
      <c r="N774" s="35"/>
      <c r="O774" s="35"/>
      <c r="P774" s="35"/>
      <c r="Q774" s="35"/>
      <c r="R774" s="35"/>
      <c r="S774" s="35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D774" s="35"/>
      <c r="AE774" s="35"/>
      <c r="AF774" s="35"/>
      <c r="AG774" s="35"/>
      <c r="AH774" s="35"/>
      <c r="AI774" s="35"/>
      <c r="AJ774" s="35"/>
      <c r="AK774" s="35"/>
    </row>
    <row r="775" ht="12.75" customHeight="1">
      <c r="A775" s="35"/>
      <c r="B775" s="35"/>
      <c r="C775" s="35"/>
      <c r="D775" s="35"/>
      <c r="E775" s="35"/>
      <c r="F775" s="35"/>
      <c r="G775" s="35"/>
      <c r="H775" s="35"/>
      <c r="I775" s="35"/>
      <c r="J775" s="35"/>
      <c r="K775" s="35"/>
      <c r="L775" s="35"/>
      <c r="M775" s="35"/>
      <c r="N775" s="35"/>
      <c r="O775" s="35"/>
      <c r="P775" s="35"/>
      <c r="Q775" s="35"/>
      <c r="R775" s="35"/>
      <c r="S775" s="35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D775" s="35"/>
      <c r="AE775" s="35"/>
      <c r="AF775" s="35"/>
      <c r="AG775" s="35"/>
      <c r="AH775" s="35"/>
      <c r="AI775" s="35"/>
      <c r="AJ775" s="35"/>
      <c r="AK775" s="35"/>
    </row>
    <row r="776" ht="12.75" customHeight="1">
      <c r="A776" s="35"/>
      <c r="B776" s="35"/>
      <c r="C776" s="35"/>
      <c r="D776" s="35"/>
      <c r="E776" s="35"/>
      <c r="F776" s="35"/>
      <c r="G776" s="35"/>
      <c r="H776" s="35"/>
      <c r="I776" s="35"/>
      <c r="J776" s="35"/>
      <c r="K776" s="35"/>
      <c r="L776" s="35"/>
      <c r="M776" s="35"/>
      <c r="N776" s="35"/>
      <c r="O776" s="35"/>
      <c r="P776" s="35"/>
      <c r="Q776" s="35"/>
      <c r="R776" s="35"/>
      <c r="S776" s="35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D776" s="35"/>
      <c r="AE776" s="35"/>
      <c r="AF776" s="35"/>
      <c r="AG776" s="35"/>
      <c r="AH776" s="35"/>
      <c r="AI776" s="35"/>
      <c r="AJ776" s="35"/>
      <c r="AK776" s="35"/>
    </row>
    <row r="777" ht="12.75" customHeight="1">
      <c r="A777" s="35"/>
      <c r="B777" s="35"/>
      <c r="C777" s="35"/>
      <c r="D777" s="35"/>
      <c r="E777" s="35"/>
      <c r="F777" s="35"/>
      <c r="G777" s="35"/>
      <c r="H777" s="35"/>
      <c r="I777" s="35"/>
      <c r="J777" s="35"/>
      <c r="K777" s="35"/>
      <c r="L777" s="35"/>
      <c r="M777" s="35"/>
      <c r="N777" s="35"/>
      <c r="O777" s="35"/>
      <c r="P777" s="35"/>
      <c r="Q777" s="35"/>
      <c r="R777" s="35"/>
      <c r="S777" s="35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D777" s="35"/>
      <c r="AE777" s="35"/>
      <c r="AF777" s="35"/>
      <c r="AG777" s="35"/>
      <c r="AH777" s="35"/>
      <c r="AI777" s="35"/>
      <c r="AJ777" s="35"/>
      <c r="AK777" s="35"/>
    </row>
    <row r="778" ht="12.75" customHeight="1">
      <c r="A778" s="35"/>
      <c r="B778" s="35"/>
      <c r="C778" s="35"/>
      <c r="D778" s="35"/>
      <c r="E778" s="35"/>
      <c r="F778" s="35"/>
      <c r="G778" s="35"/>
      <c r="H778" s="35"/>
      <c r="I778" s="35"/>
      <c r="J778" s="35"/>
      <c r="K778" s="35"/>
      <c r="L778" s="35"/>
      <c r="M778" s="35"/>
      <c r="N778" s="35"/>
      <c r="O778" s="35"/>
      <c r="P778" s="35"/>
      <c r="Q778" s="35"/>
      <c r="R778" s="35"/>
      <c r="S778" s="35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D778" s="35"/>
      <c r="AE778" s="35"/>
      <c r="AF778" s="35"/>
      <c r="AG778" s="35"/>
      <c r="AH778" s="35"/>
      <c r="AI778" s="35"/>
      <c r="AJ778" s="35"/>
      <c r="AK778" s="35"/>
    </row>
    <row r="779" ht="12.75" customHeight="1">
      <c r="A779" s="35"/>
      <c r="B779" s="35"/>
      <c r="C779" s="35"/>
      <c r="D779" s="35"/>
      <c r="E779" s="35"/>
      <c r="F779" s="35"/>
      <c r="G779" s="35"/>
      <c r="H779" s="35"/>
      <c r="I779" s="35"/>
      <c r="J779" s="35"/>
      <c r="K779" s="35"/>
      <c r="L779" s="35"/>
      <c r="M779" s="35"/>
      <c r="N779" s="35"/>
      <c r="O779" s="35"/>
      <c r="P779" s="35"/>
      <c r="Q779" s="35"/>
      <c r="R779" s="35"/>
      <c r="S779" s="35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D779" s="35"/>
      <c r="AE779" s="35"/>
      <c r="AF779" s="35"/>
      <c r="AG779" s="35"/>
      <c r="AH779" s="35"/>
      <c r="AI779" s="35"/>
      <c r="AJ779" s="35"/>
      <c r="AK779" s="35"/>
    </row>
    <row r="780" ht="12.75" customHeight="1">
      <c r="A780" s="35"/>
      <c r="B780" s="35"/>
      <c r="C780" s="35"/>
      <c r="D780" s="35"/>
      <c r="E780" s="35"/>
      <c r="F780" s="35"/>
      <c r="G780" s="35"/>
      <c r="H780" s="35"/>
      <c r="I780" s="35"/>
      <c r="J780" s="35"/>
      <c r="K780" s="35"/>
      <c r="L780" s="35"/>
      <c r="M780" s="35"/>
      <c r="N780" s="35"/>
      <c r="O780" s="35"/>
      <c r="P780" s="35"/>
      <c r="Q780" s="35"/>
      <c r="R780" s="35"/>
      <c r="S780" s="35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D780" s="35"/>
      <c r="AE780" s="35"/>
      <c r="AF780" s="35"/>
      <c r="AG780" s="35"/>
      <c r="AH780" s="35"/>
      <c r="AI780" s="35"/>
      <c r="AJ780" s="35"/>
      <c r="AK780" s="35"/>
    </row>
    <row r="781" ht="12.75" customHeight="1">
      <c r="A781" s="35"/>
      <c r="B781" s="35"/>
      <c r="C781" s="35"/>
      <c r="D781" s="35"/>
      <c r="E781" s="35"/>
      <c r="F781" s="35"/>
      <c r="G781" s="35"/>
      <c r="H781" s="35"/>
      <c r="I781" s="35"/>
      <c r="J781" s="35"/>
      <c r="K781" s="35"/>
      <c r="L781" s="35"/>
      <c r="M781" s="35"/>
      <c r="N781" s="35"/>
      <c r="O781" s="35"/>
      <c r="P781" s="35"/>
      <c r="Q781" s="35"/>
      <c r="R781" s="35"/>
      <c r="S781" s="35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D781" s="35"/>
      <c r="AE781" s="35"/>
      <c r="AF781" s="35"/>
      <c r="AG781" s="35"/>
      <c r="AH781" s="35"/>
      <c r="AI781" s="35"/>
      <c r="AJ781" s="35"/>
      <c r="AK781" s="35"/>
    </row>
    <row r="782" ht="12.75" customHeight="1">
      <c r="A782" s="35"/>
      <c r="B782" s="35"/>
      <c r="C782" s="35"/>
      <c r="D782" s="35"/>
      <c r="E782" s="35"/>
      <c r="F782" s="35"/>
      <c r="G782" s="35"/>
      <c r="H782" s="35"/>
      <c r="I782" s="35"/>
      <c r="J782" s="35"/>
      <c r="K782" s="35"/>
      <c r="L782" s="35"/>
      <c r="M782" s="35"/>
      <c r="N782" s="35"/>
      <c r="O782" s="35"/>
      <c r="P782" s="35"/>
      <c r="Q782" s="35"/>
      <c r="R782" s="35"/>
      <c r="S782" s="35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D782" s="35"/>
      <c r="AE782" s="35"/>
      <c r="AF782" s="35"/>
      <c r="AG782" s="35"/>
      <c r="AH782" s="35"/>
      <c r="AI782" s="35"/>
      <c r="AJ782" s="35"/>
      <c r="AK782" s="35"/>
    </row>
    <row r="783" ht="12.75" customHeight="1">
      <c r="A783" s="35"/>
      <c r="B783" s="35"/>
      <c r="C783" s="35"/>
      <c r="D783" s="35"/>
      <c r="E783" s="35"/>
      <c r="F783" s="35"/>
      <c r="G783" s="35"/>
      <c r="H783" s="35"/>
      <c r="I783" s="35"/>
      <c r="J783" s="35"/>
      <c r="K783" s="35"/>
      <c r="L783" s="35"/>
      <c r="M783" s="35"/>
      <c r="N783" s="35"/>
      <c r="O783" s="35"/>
      <c r="P783" s="35"/>
      <c r="Q783" s="35"/>
      <c r="R783" s="35"/>
      <c r="S783" s="35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D783" s="35"/>
      <c r="AE783" s="35"/>
      <c r="AF783" s="35"/>
      <c r="AG783" s="35"/>
      <c r="AH783" s="35"/>
      <c r="AI783" s="35"/>
      <c r="AJ783" s="35"/>
      <c r="AK783" s="35"/>
    </row>
    <row r="784" ht="12.75" customHeight="1">
      <c r="A784" s="35"/>
      <c r="B784" s="35"/>
      <c r="C784" s="35"/>
      <c r="D784" s="35"/>
      <c r="E784" s="35"/>
      <c r="F784" s="35"/>
      <c r="G784" s="35"/>
      <c r="H784" s="35"/>
      <c r="I784" s="35"/>
      <c r="J784" s="35"/>
      <c r="K784" s="35"/>
      <c r="L784" s="35"/>
      <c r="M784" s="35"/>
      <c r="N784" s="35"/>
      <c r="O784" s="35"/>
      <c r="P784" s="35"/>
      <c r="Q784" s="35"/>
      <c r="R784" s="35"/>
      <c r="S784" s="35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D784" s="35"/>
      <c r="AE784" s="35"/>
      <c r="AF784" s="35"/>
      <c r="AG784" s="35"/>
      <c r="AH784" s="35"/>
      <c r="AI784" s="35"/>
      <c r="AJ784" s="35"/>
      <c r="AK784" s="35"/>
    </row>
    <row r="785" ht="12.75" customHeight="1">
      <c r="A785" s="35"/>
      <c r="B785" s="35"/>
      <c r="C785" s="35"/>
      <c r="D785" s="35"/>
      <c r="E785" s="35"/>
      <c r="F785" s="35"/>
      <c r="G785" s="35"/>
      <c r="H785" s="35"/>
      <c r="I785" s="35"/>
      <c r="J785" s="35"/>
      <c r="K785" s="35"/>
      <c r="L785" s="35"/>
      <c r="M785" s="35"/>
      <c r="N785" s="35"/>
      <c r="O785" s="35"/>
      <c r="P785" s="35"/>
      <c r="Q785" s="35"/>
      <c r="R785" s="35"/>
      <c r="S785" s="35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D785" s="35"/>
      <c r="AE785" s="35"/>
      <c r="AF785" s="35"/>
      <c r="AG785" s="35"/>
      <c r="AH785" s="35"/>
      <c r="AI785" s="35"/>
      <c r="AJ785" s="35"/>
      <c r="AK785" s="35"/>
    </row>
    <row r="786" ht="12.75" customHeight="1">
      <c r="A786" s="35"/>
      <c r="B786" s="35"/>
      <c r="C786" s="35"/>
      <c r="D786" s="35"/>
      <c r="E786" s="35"/>
      <c r="F786" s="35"/>
      <c r="G786" s="35"/>
      <c r="H786" s="35"/>
      <c r="I786" s="35"/>
      <c r="J786" s="35"/>
      <c r="K786" s="35"/>
      <c r="L786" s="35"/>
      <c r="M786" s="35"/>
      <c r="N786" s="35"/>
      <c r="O786" s="35"/>
      <c r="P786" s="35"/>
      <c r="Q786" s="35"/>
      <c r="R786" s="35"/>
      <c r="S786" s="35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D786" s="35"/>
      <c r="AE786" s="35"/>
      <c r="AF786" s="35"/>
      <c r="AG786" s="35"/>
      <c r="AH786" s="35"/>
      <c r="AI786" s="35"/>
      <c r="AJ786" s="35"/>
      <c r="AK786" s="35"/>
    </row>
    <row r="787" ht="12.75" customHeight="1">
      <c r="A787" s="35"/>
      <c r="B787" s="35"/>
      <c r="C787" s="35"/>
      <c r="D787" s="35"/>
      <c r="E787" s="35"/>
      <c r="F787" s="35"/>
      <c r="G787" s="35"/>
      <c r="H787" s="35"/>
      <c r="I787" s="35"/>
      <c r="J787" s="35"/>
      <c r="K787" s="35"/>
      <c r="L787" s="35"/>
      <c r="M787" s="35"/>
      <c r="N787" s="35"/>
      <c r="O787" s="35"/>
      <c r="P787" s="35"/>
      <c r="Q787" s="35"/>
      <c r="R787" s="35"/>
      <c r="S787" s="35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D787" s="35"/>
      <c r="AE787" s="35"/>
      <c r="AF787" s="35"/>
      <c r="AG787" s="35"/>
      <c r="AH787" s="35"/>
      <c r="AI787" s="35"/>
      <c r="AJ787" s="35"/>
      <c r="AK787" s="35"/>
    </row>
    <row r="788" ht="12.75" customHeight="1">
      <c r="A788" s="35"/>
      <c r="B788" s="35"/>
      <c r="C788" s="35"/>
      <c r="D788" s="35"/>
      <c r="E788" s="35"/>
      <c r="F788" s="35"/>
      <c r="G788" s="35"/>
      <c r="H788" s="35"/>
      <c r="I788" s="35"/>
      <c r="J788" s="35"/>
      <c r="K788" s="35"/>
      <c r="L788" s="35"/>
      <c r="M788" s="35"/>
      <c r="N788" s="35"/>
      <c r="O788" s="35"/>
      <c r="P788" s="35"/>
      <c r="Q788" s="35"/>
      <c r="R788" s="35"/>
      <c r="S788" s="35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D788" s="35"/>
      <c r="AE788" s="35"/>
      <c r="AF788" s="35"/>
      <c r="AG788" s="35"/>
      <c r="AH788" s="35"/>
      <c r="AI788" s="35"/>
      <c r="AJ788" s="35"/>
      <c r="AK788" s="35"/>
    </row>
    <row r="789" ht="12.75" customHeight="1">
      <c r="A789" s="35"/>
      <c r="B789" s="35"/>
      <c r="C789" s="35"/>
      <c r="D789" s="35"/>
      <c r="E789" s="35"/>
      <c r="F789" s="35"/>
      <c r="G789" s="35"/>
      <c r="H789" s="35"/>
      <c r="I789" s="35"/>
      <c r="J789" s="35"/>
      <c r="K789" s="35"/>
      <c r="L789" s="35"/>
      <c r="M789" s="35"/>
      <c r="N789" s="35"/>
      <c r="O789" s="35"/>
      <c r="P789" s="35"/>
      <c r="Q789" s="35"/>
      <c r="R789" s="35"/>
      <c r="S789" s="35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D789" s="35"/>
      <c r="AE789" s="35"/>
      <c r="AF789" s="35"/>
      <c r="AG789" s="35"/>
      <c r="AH789" s="35"/>
      <c r="AI789" s="35"/>
      <c r="AJ789" s="35"/>
      <c r="AK789" s="35"/>
    </row>
    <row r="790" ht="12.75" customHeight="1">
      <c r="A790" s="35"/>
      <c r="B790" s="35"/>
      <c r="C790" s="35"/>
      <c r="D790" s="35"/>
      <c r="E790" s="35"/>
      <c r="F790" s="35"/>
      <c r="G790" s="35"/>
      <c r="H790" s="35"/>
      <c r="I790" s="35"/>
      <c r="J790" s="35"/>
      <c r="K790" s="35"/>
      <c r="L790" s="35"/>
      <c r="M790" s="35"/>
      <c r="N790" s="35"/>
      <c r="O790" s="35"/>
      <c r="P790" s="35"/>
      <c r="Q790" s="35"/>
      <c r="R790" s="35"/>
      <c r="S790" s="35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D790" s="35"/>
      <c r="AE790" s="35"/>
      <c r="AF790" s="35"/>
      <c r="AG790" s="35"/>
      <c r="AH790" s="35"/>
      <c r="AI790" s="35"/>
      <c r="AJ790" s="35"/>
      <c r="AK790" s="35"/>
    </row>
    <row r="791" ht="12.75" customHeight="1">
      <c r="A791" s="35"/>
      <c r="B791" s="35"/>
      <c r="C791" s="35"/>
      <c r="D791" s="35"/>
      <c r="E791" s="35"/>
      <c r="F791" s="35"/>
      <c r="G791" s="35"/>
      <c r="H791" s="35"/>
      <c r="I791" s="35"/>
      <c r="J791" s="35"/>
      <c r="K791" s="35"/>
      <c r="L791" s="35"/>
      <c r="M791" s="35"/>
      <c r="N791" s="35"/>
      <c r="O791" s="35"/>
      <c r="P791" s="35"/>
      <c r="Q791" s="35"/>
      <c r="R791" s="35"/>
      <c r="S791" s="35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D791" s="35"/>
      <c r="AE791" s="35"/>
      <c r="AF791" s="35"/>
      <c r="AG791" s="35"/>
      <c r="AH791" s="35"/>
      <c r="AI791" s="35"/>
      <c r="AJ791" s="35"/>
      <c r="AK791" s="35"/>
    </row>
    <row r="792" ht="12.75" customHeight="1">
      <c r="A792" s="35"/>
      <c r="B792" s="35"/>
      <c r="C792" s="35"/>
      <c r="D792" s="35"/>
      <c r="E792" s="35"/>
      <c r="F792" s="35"/>
      <c r="G792" s="35"/>
      <c r="H792" s="35"/>
      <c r="I792" s="35"/>
      <c r="J792" s="35"/>
      <c r="K792" s="35"/>
      <c r="L792" s="35"/>
      <c r="M792" s="35"/>
      <c r="N792" s="35"/>
      <c r="O792" s="35"/>
      <c r="P792" s="35"/>
      <c r="Q792" s="35"/>
      <c r="R792" s="35"/>
      <c r="S792" s="35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D792" s="35"/>
      <c r="AE792" s="35"/>
      <c r="AF792" s="35"/>
      <c r="AG792" s="35"/>
      <c r="AH792" s="35"/>
      <c r="AI792" s="35"/>
      <c r="AJ792" s="35"/>
      <c r="AK792" s="35"/>
    </row>
    <row r="793" ht="12.75" customHeight="1">
      <c r="A793" s="35"/>
      <c r="B793" s="35"/>
      <c r="C793" s="35"/>
      <c r="D793" s="35"/>
      <c r="E793" s="35"/>
      <c r="F793" s="35"/>
      <c r="G793" s="35"/>
      <c r="H793" s="35"/>
      <c r="I793" s="35"/>
      <c r="J793" s="35"/>
      <c r="K793" s="35"/>
      <c r="L793" s="35"/>
      <c r="M793" s="35"/>
      <c r="N793" s="35"/>
      <c r="O793" s="35"/>
      <c r="P793" s="35"/>
      <c r="Q793" s="35"/>
      <c r="R793" s="35"/>
      <c r="S793" s="35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D793" s="35"/>
      <c r="AE793" s="35"/>
      <c r="AF793" s="35"/>
      <c r="AG793" s="35"/>
      <c r="AH793" s="35"/>
      <c r="AI793" s="35"/>
      <c r="AJ793" s="35"/>
      <c r="AK793" s="35"/>
    </row>
    <row r="794" ht="12.75" customHeight="1">
      <c r="A794" s="35"/>
      <c r="B794" s="35"/>
      <c r="C794" s="35"/>
      <c r="D794" s="35"/>
      <c r="E794" s="35"/>
      <c r="F794" s="35"/>
      <c r="G794" s="35"/>
      <c r="H794" s="35"/>
      <c r="I794" s="35"/>
      <c r="J794" s="35"/>
      <c r="K794" s="35"/>
      <c r="L794" s="35"/>
      <c r="M794" s="35"/>
      <c r="N794" s="35"/>
      <c r="O794" s="35"/>
      <c r="P794" s="35"/>
      <c r="Q794" s="35"/>
      <c r="R794" s="35"/>
      <c r="S794" s="35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D794" s="35"/>
      <c r="AE794" s="35"/>
      <c r="AF794" s="35"/>
      <c r="AG794" s="35"/>
      <c r="AH794" s="35"/>
      <c r="AI794" s="35"/>
      <c r="AJ794" s="35"/>
      <c r="AK794" s="35"/>
    </row>
    <row r="795" ht="12.75" customHeight="1">
      <c r="A795" s="35"/>
      <c r="B795" s="35"/>
      <c r="C795" s="35"/>
      <c r="D795" s="35"/>
      <c r="E795" s="35"/>
      <c r="F795" s="35"/>
      <c r="G795" s="35"/>
      <c r="H795" s="35"/>
      <c r="I795" s="35"/>
      <c r="J795" s="35"/>
      <c r="K795" s="35"/>
      <c r="L795" s="35"/>
      <c r="M795" s="35"/>
      <c r="N795" s="35"/>
      <c r="O795" s="35"/>
      <c r="P795" s="35"/>
      <c r="Q795" s="35"/>
      <c r="R795" s="35"/>
      <c r="S795" s="35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D795" s="35"/>
      <c r="AE795" s="35"/>
      <c r="AF795" s="35"/>
      <c r="AG795" s="35"/>
      <c r="AH795" s="35"/>
      <c r="AI795" s="35"/>
      <c r="AJ795" s="35"/>
      <c r="AK795" s="35"/>
    </row>
    <row r="796" ht="12.75" customHeight="1">
      <c r="A796" s="35"/>
      <c r="B796" s="35"/>
      <c r="C796" s="35"/>
      <c r="D796" s="35"/>
      <c r="E796" s="35"/>
      <c r="F796" s="35"/>
      <c r="G796" s="35"/>
      <c r="H796" s="35"/>
      <c r="I796" s="35"/>
      <c r="J796" s="35"/>
      <c r="K796" s="35"/>
      <c r="L796" s="35"/>
      <c r="M796" s="35"/>
      <c r="N796" s="35"/>
      <c r="O796" s="35"/>
      <c r="P796" s="35"/>
      <c r="Q796" s="35"/>
      <c r="R796" s="35"/>
      <c r="S796" s="35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D796" s="35"/>
      <c r="AE796" s="35"/>
      <c r="AF796" s="35"/>
      <c r="AG796" s="35"/>
      <c r="AH796" s="35"/>
      <c r="AI796" s="35"/>
      <c r="AJ796" s="35"/>
      <c r="AK796" s="35"/>
    </row>
    <row r="797" ht="12.75" customHeight="1">
      <c r="A797" s="35"/>
      <c r="B797" s="35"/>
      <c r="C797" s="35"/>
      <c r="D797" s="35"/>
      <c r="E797" s="35"/>
      <c r="F797" s="35"/>
      <c r="G797" s="35"/>
      <c r="H797" s="35"/>
      <c r="I797" s="35"/>
      <c r="J797" s="35"/>
      <c r="K797" s="35"/>
      <c r="L797" s="35"/>
      <c r="M797" s="35"/>
      <c r="N797" s="35"/>
      <c r="O797" s="35"/>
      <c r="P797" s="35"/>
      <c r="Q797" s="35"/>
      <c r="R797" s="35"/>
      <c r="S797" s="35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D797" s="35"/>
      <c r="AE797" s="35"/>
      <c r="AF797" s="35"/>
      <c r="AG797" s="35"/>
      <c r="AH797" s="35"/>
      <c r="AI797" s="35"/>
      <c r="AJ797" s="35"/>
      <c r="AK797" s="35"/>
    </row>
    <row r="798" ht="12.75" customHeight="1">
      <c r="A798" s="35"/>
      <c r="B798" s="35"/>
      <c r="C798" s="35"/>
      <c r="D798" s="35"/>
      <c r="E798" s="35"/>
      <c r="F798" s="35"/>
      <c r="G798" s="35"/>
      <c r="H798" s="35"/>
      <c r="I798" s="35"/>
      <c r="J798" s="35"/>
      <c r="K798" s="35"/>
      <c r="L798" s="35"/>
      <c r="M798" s="35"/>
      <c r="N798" s="35"/>
      <c r="O798" s="35"/>
      <c r="P798" s="35"/>
      <c r="Q798" s="35"/>
      <c r="R798" s="35"/>
      <c r="S798" s="35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D798" s="35"/>
      <c r="AE798" s="35"/>
      <c r="AF798" s="35"/>
      <c r="AG798" s="35"/>
      <c r="AH798" s="35"/>
      <c r="AI798" s="35"/>
      <c r="AJ798" s="35"/>
      <c r="AK798" s="35"/>
    </row>
    <row r="799" ht="12.75" customHeight="1">
      <c r="A799" s="35"/>
      <c r="B799" s="35"/>
      <c r="C799" s="35"/>
      <c r="D799" s="35"/>
      <c r="E799" s="35"/>
      <c r="F799" s="35"/>
      <c r="G799" s="35"/>
      <c r="H799" s="35"/>
      <c r="I799" s="35"/>
      <c r="J799" s="35"/>
      <c r="K799" s="35"/>
      <c r="L799" s="35"/>
      <c r="M799" s="35"/>
      <c r="N799" s="35"/>
      <c r="O799" s="35"/>
      <c r="P799" s="35"/>
      <c r="Q799" s="35"/>
      <c r="R799" s="35"/>
      <c r="S799" s="35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D799" s="35"/>
      <c r="AE799" s="35"/>
      <c r="AF799" s="35"/>
      <c r="AG799" s="35"/>
      <c r="AH799" s="35"/>
      <c r="AI799" s="35"/>
      <c r="AJ799" s="35"/>
      <c r="AK799" s="35"/>
    </row>
    <row r="800" ht="12.75" customHeight="1">
      <c r="A800" s="35"/>
      <c r="B800" s="35"/>
      <c r="C800" s="35"/>
      <c r="D800" s="35"/>
      <c r="E800" s="35"/>
      <c r="F800" s="35"/>
      <c r="G800" s="35"/>
      <c r="H800" s="35"/>
      <c r="I800" s="35"/>
      <c r="J800" s="35"/>
      <c r="K800" s="35"/>
      <c r="L800" s="35"/>
      <c r="M800" s="35"/>
      <c r="N800" s="35"/>
      <c r="O800" s="35"/>
      <c r="P800" s="35"/>
      <c r="Q800" s="35"/>
      <c r="R800" s="35"/>
      <c r="S800" s="35"/>
      <c r="T800" s="35"/>
      <c r="U800" s="35"/>
      <c r="V800" s="35"/>
      <c r="W800" s="35"/>
      <c r="X800" s="35"/>
      <c r="Y800" s="35"/>
      <c r="Z800" s="35"/>
      <c r="AA800" s="35"/>
      <c r="AB800" s="35"/>
      <c r="AC800" s="35"/>
      <c r="AD800" s="35"/>
      <c r="AE800" s="35"/>
      <c r="AF800" s="35"/>
      <c r="AG800" s="35"/>
      <c r="AH800" s="35"/>
      <c r="AI800" s="35"/>
      <c r="AJ800" s="35"/>
      <c r="AK800" s="35"/>
    </row>
    <row r="801" ht="12.75" customHeight="1">
      <c r="A801" s="35"/>
      <c r="B801" s="35"/>
      <c r="C801" s="35"/>
      <c r="D801" s="35"/>
      <c r="E801" s="35"/>
      <c r="F801" s="35"/>
      <c r="G801" s="35"/>
      <c r="H801" s="35"/>
      <c r="I801" s="35"/>
      <c r="J801" s="35"/>
      <c r="K801" s="35"/>
      <c r="L801" s="35"/>
      <c r="M801" s="35"/>
      <c r="N801" s="35"/>
      <c r="O801" s="35"/>
      <c r="P801" s="35"/>
      <c r="Q801" s="35"/>
      <c r="R801" s="35"/>
      <c r="S801" s="35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D801" s="35"/>
      <c r="AE801" s="35"/>
      <c r="AF801" s="35"/>
      <c r="AG801" s="35"/>
      <c r="AH801" s="35"/>
      <c r="AI801" s="35"/>
      <c r="AJ801" s="35"/>
      <c r="AK801" s="35"/>
    </row>
    <row r="802" ht="12.75" customHeight="1">
      <c r="A802" s="35"/>
      <c r="B802" s="35"/>
      <c r="C802" s="35"/>
      <c r="D802" s="35"/>
      <c r="E802" s="35"/>
      <c r="F802" s="35"/>
      <c r="G802" s="35"/>
      <c r="H802" s="35"/>
      <c r="I802" s="35"/>
      <c r="J802" s="35"/>
      <c r="K802" s="35"/>
      <c r="L802" s="35"/>
      <c r="M802" s="35"/>
      <c r="N802" s="35"/>
      <c r="O802" s="35"/>
      <c r="P802" s="35"/>
      <c r="Q802" s="35"/>
      <c r="R802" s="35"/>
      <c r="S802" s="35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D802" s="35"/>
      <c r="AE802" s="35"/>
      <c r="AF802" s="35"/>
      <c r="AG802" s="35"/>
      <c r="AH802" s="35"/>
      <c r="AI802" s="35"/>
      <c r="AJ802" s="35"/>
      <c r="AK802" s="35"/>
    </row>
    <row r="803" ht="12.75" customHeight="1">
      <c r="A803" s="35"/>
      <c r="B803" s="35"/>
      <c r="C803" s="35"/>
      <c r="D803" s="35"/>
      <c r="E803" s="35"/>
      <c r="F803" s="35"/>
      <c r="G803" s="35"/>
      <c r="H803" s="35"/>
      <c r="I803" s="35"/>
      <c r="J803" s="35"/>
      <c r="K803" s="35"/>
      <c r="L803" s="35"/>
      <c r="M803" s="35"/>
      <c r="N803" s="35"/>
      <c r="O803" s="35"/>
      <c r="P803" s="35"/>
      <c r="Q803" s="35"/>
      <c r="R803" s="35"/>
      <c r="S803" s="35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D803" s="35"/>
      <c r="AE803" s="35"/>
      <c r="AF803" s="35"/>
      <c r="AG803" s="35"/>
      <c r="AH803" s="35"/>
      <c r="AI803" s="35"/>
      <c r="AJ803" s="35"/>
      <c r="AK803" s="35"/>
    </row>
    <row r="804" ht="12.75" customHeight="1">
      <c r="A804" s="35"/>
      <c r="B804" s="35"/>
      <c r="C804" s="35"/>
      <c r="D804" s="35"/>
      <c r="E804" s="35"/>
      <c r="F804" s="35"/>
      <c r="G804" s="35"/>
      <c r="H804" s="35"/>
      <c r="I804" s="35"/>
      <c r="J804" s="35"/>
      <c r="K804" s="35"/>
      <c r="L804" s="35"/>
      <c r="M804" s="35"/>
      <c r="N804" s="35"/>
      <c r="O804" s="35"/>
      <c r="P804" s="35"/>
      <c r="Q804" s="35"/>
      <c r="R804" s="35"/>
      <c r="S804" s="35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D804" s="35"/>
      <c r="AE804" s="35"/>
      <c r="AF804" s="35"/>
      <c r="AG804" s="35"/>
      <c r="AH804" s="35"/>
      <c r="AI804" s="35"/>
      <c r="AJ804" s="35"/>
      <c r="AK804" s="35"/>
    </row>
    <row r="805" ht="12.75" customHeight="1">
      <c r="A805" s="35"/>
      <c r="B805" s="35"/>
      <c r="C805" s="35"/>
      <c r="D805" s="35"/>
      <c r="E805" s="35"/>
      <c r="F805" s="35"/>
      <c r="G805" s="35"/>
      <c r="H805" s="35"/>
      <c r="I805" s="35"/>
      <c r="J805" s="35"/>
      <c r="K805" s="35"/>
      <c r="L805" s="35"/>
      <c r="M805" s="35"/>
      <c r="N805" s="35"/>
      <c r="O805" s="35"/>
      <c r="P805" s="35"/>
      <c r="Q805" s="35"/>
      <c r="R805" s="35"/>
      <c r="S805" s="35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D805" s="35"/>
      <c r="AE805" s="35"/>
      <c r="AF805" s="35"/>
      <c r="AG805" s="35"/>
      <c r="AH805" s="35"/>
      <c r="AI805" s="35"/>
      <c r="AJ805" s="35"/>
      <c r="AK805" s="35"/>
    </row>
    <row r="806" ht="12.75" customHeight="1">
      <c r="A806" s="35"/>
      <c r="B806" s="35"/>
      <c r="C806" s="35"/>
      <c r="D806" s="35"/>
      <c r="E806" s="35"/>
      <c r="F806" s="35"/>
      <c r="G806" s="35"/>
      <c r="H806" s="35"/>
      <c r="I806" s="35"/>
      <c r="J806" s="35"/>
      <c r="K806" s="35"/>
      <c r="L806" s="35"/>
      <c r="M806" s="35"/>
      <c r="N806" s="35"/>
      <c r="O806" s="35"/>
      <c r="P806" s="35"/>
      <c r="Q806" s="35"/>
      <c r="R806" s="35"/>
      <c r="S806" s="35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D806" s="35"/>
      <c r="AE806" s="35"/>
      <c r="AF806" s="35"/>
      <c r="AG806" s="35"/>
      <c r="AH806" s="35"/>
      <c r="AI806" s="35"/>
      <c r="AJ806" s="35"/>
      <c r="AK806" s="35"/>
    </row>
    <row r="807" ht="12.75" customHeight="1">
      <c r="A807" s="35"/>
      <c r="B807" s="35"/>
      <c r="C807" s="35"/>
      <c r="D807" s="35"/>
      <c r="E807" s="35"/>
      <c r="F807" s="35"/>
      <c r="G807" s="35"/>
      <c r="H807" s="35"/>
      <c r="I807" s="35"/>
      <c r="J807" s="35"/>
      <c r="K807" s="35"/>
      <c r="L807" s="35"/>
      <c r="M807" s="35"/>
      <c r="N807" s="35"/>
      <c r="O807" s="35"/>
      <c r="P807" s="35"/>
      <c r="Q807" s="35"/>
      <c r="R807" s="35"/>
      <c r="S807" s="35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D807" s="35"/>
      <c r="AE807" s="35"/>
      <c r="AF807" s="35"/>
      <c r="AG807" s="35"/>
      <c r="AH807" s="35"/>
      <c r="AI807" s="35"/>
      <c r="AJ807" s="35"/>
      <c r="AK807" s="35"/>
    </row>
    <row r="808" ht="12.75" customHeight="1">
      <c r="A808" s="35"/>
      <c r="B808" s="35"/>
      <c r="C808" s="35"/>
      <c r="D808" s="35"/>
      <c r="E808" s="35"/>
      <c r="F808" s="35"/>
      <c r="G808" s="35"/>
      <c r="H808" s="35"/>
      <c r="I808" s="35"/>
      <c r="J808" s="35"/>
      <c r="K808" s="35"/>
      <c r="L808" s="35"/>
      <c r="M808" s="35"/>
      <c r="N808" s="35"/>
      <c r="O808" s="35"/>
      <c r="P808" s="35"/>
      <c r="Q808" s="35"/>
      <c r="R808" s="35"/>
      <c r="S808" s="35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D808" s="35"/>
      <c r="AE808" s="35"/>
      <c r="AF808" s="35"/>
      <c r="AG808" s="35"/>
      <c r="AH808" s="35"/>
      <c r="AI808" s="35"/>
      <c r="AJ808" s="35"/>
      <c r="AK808" s="35"/>
    </row>
    <row r="809" ht="12.75" customHeight="1">
      <c r="A809" s="35"/>
      <c r="B809" s="35"/>
      <c r="C809" s="35"/>
      <c r="D809" s="35"/>
      <c r="E809" s="35"/>
      <c r="F809" s="35"/>
      <c r="G809" s="35"/>
      <c r="H809" s="35"/>
      <c r="I809" s="35"/>
      <c r="J809" s="35"/>
      <c r="K809" s="35"/>
      <c r="L809" s="35"/>
      <c r="M809" s="35"/>
      <c r="N809" s="35"/>
      <c r="O809" s="35"/>
      <c r="P809" s="35"/>
      <c r="Q809" s="35"/>
      <c r="R809" s="35"/>
      <c r="S809" s="35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D809" s="35"/>
      <c r="AE809" s="35"/>
      <c r="AF809" s="35"/>
      <c r="AG809" s="35"/>
      <c r="AH809" s="35"/>
      <c r="AI809" s="35"/>
      <c r="AJ809" s="35"/>
      <c r="AK809" s="35"/>
    </row>
    <row r="810" ht="12.75" customHeight="1">
      <c r="A810" s="35"/>
      <c r="B810" s="35"/>
      <c r="C810" s="35"/>
      <c r="D810" s="35"/>
      <c r="E810" s="35"/>
      <c r="F810" s="35"/>
      <c r="G810" s="35"/>
      <c r="H810" s="35"/>
      <c r="I810" s="35"/>
      <c r="J810" s="35"/>
      <c r="K810" s="35"/>
      <c r="L810" s="35"/>
      <c r="M810" s="35"/>
      <c r="N810" s="35"/>
      <c r="O810" s="35"/>
      <c r="P810" s="35"/>
      <c r="Q810" s="35"/>
      <c r="R810" s="35"/>
      <c r="S810" s="35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D810" s="35"/>
      <c r="AE810" s="35"/>
      <c r="AF810" s="35"/>
      <c r="AG810" s="35"/>
      <c r="AH810" s="35"/>
      <c r="AI810" s="35"/>
      <c r="AJ810" s="35"/>
      <c r="AK810" s="35"/>
    </row>
    <row r="811" ht="12.75" customHeight="1">
      <c r="A811" s="35"/>
      <c r="B811" s="35"/>
      <c r="C811" s="35"/>
      <c r="D811" s="35"/>
      <c r="E811" s="35"/>
      <c r="F811" s="35"/>
      <c r="G811" s="35"/>
      <c r="H811" s="35"/>
      <c r="I811" s="35"/>
      <c r="J811" s="35"/>
      <c r="K811" s="35"/>
      <c r="L811" s="35"/>
      <c r="M811" s="35"/>
      <c r="N811" s="35"/>
      <c r="O811" s="35"/>
      <c r="P811" s="35"/>
      <c r="Q811" s="35"/>
      <c r="R811" s="35"/>
      <c r="S811" s="35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D811" s="35"/>
      <c r="AE811" s="35"/>
      <c r="AF811" s="35"/>
      <c r="AG811" s="35"/>
      <c r="AH811" s="35"/>
      <c r="AI811" s="35"/>
      <c r="AJ811" s="35"/>
      <c r="AK811" s="35"/>
    </row>
    <row r="812" ht="12.75" customHeight="1">
      <c r="A812" s="35"/>
      <c r="B812" s="35"/>
      <c r="C812" s="35"/>
      <c r="D812" s="35"/>
      <c r="E812" s="35"/>
      <c r="F812" s="35"/>
      <c r="G812" s="35"/>
      <c r="H812" s="35"/>
      <c r="I812" s="35"/>
      <c r="J812" s="35"/>
      <c r="K812" s="35"/>
      <c r="L812" s="35"/>
      <c r="M812" s="35"/>
      <c r="N812" s="35"/>
      <c r="O812" s="35"/>
      <c r="P812" s="35"/>
      <c r="Q812" s="35"/>
      <c r="R812" s="35"/>
      <c r="S812" s="35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D812" s="35"/>
      <c r="AE812" s="35"/>
      <c r="AF812" s="35"/>
      <c r="AG812" s="35"/>
      <c r="AH812" s="35"/>
      <c r="AI812" s="35"/>
      <c r="AJ812" s="35"/>
      <c r="AK812" s="35"/>
    </row>
    <row r="813" ht="12.75" customHeight="1">
      <c r="A813" s="35"/>
      <c r="B813" s="35"/>
      <c r="C813" s="35"/>
      <c r="D813" s="35"/>
      <c r="E813" s="35"/>
      <c r="F813" s="35"/>
      <c r="G813" s="35"/>
      <c r="H813" s="35"/>
      <c r="I813" s="35"/>
      <c r="J813" s="35"/>
      <c r="K813" s="35"/>
      <c r="L813" s="35"/>
      <c r="M813" s="35"/>
      <c r="N813" s="35"/>
      <c r="O813" s="35"/>
      <c r="P813" s="35"/>
      <c r="Q813" s="35"/>
      <c r="R813" s="35"/>
      <c r="S813" s="35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D813" s="35"/>
      <c r="AE813" s="35"/>
      <c r="AF813" s="35"/>
      <c r="AG813" s="35"/>
      <c r="AH813" s="35"/>
      <c r="AI813" s="35"/>
      <c r="AJ813" s="35"/>
      <c r="AK813" s="35"/>
    </row>
    <row r="814" ht="12.75" customHeight="1">
      <c r="A814" s="35"/>
      <c r="B814" s="35"/>
      <c r="C814" s="35"/>
      <c r="D814" s="35"/>
      <c r="E814" s="35"/>
      <c r="F814" s="35"/>
      <c r="G814" s="35"/>
      <c r="H814" s="35"/>
      <c r="I814" s="35"/>
      <c r="J814" s="35"/>
      <c r="K814" s="35"/>
      <c r="L814" s="35"/>
      <c r="M814" s="35"/>
      <c r="N814" s="35"/>
      <c r="O814" s="35"/>
      <c r="P814" s="35"/>
      <c r="Q814" s="35"/>
      <c r="R814" s="35"/>
      <c r="S814" s="35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D814" s="35"/>
      <c r="AE814" s="35"/>
      <c r="AF814" s="35"/>
      <c r="AG814" s="35"/>
      <c r="AH814" s="35"/>
      <c r="AI814" s="35"/>
      <c r="AJ814" s="35"/>
      <c r="AK814" s="35"/>
    </row>
    <row r="815" ht="12.75" customHeight="1">
      <c r="A815" s="35"/>
      <c r="B815" s="35"/>
      <c r="C815" s="35"/>
      <c r="D815" s="35"/>
      <c r="E815" s="35"/>
      <c r="F815" s="35"/>
      <c r="G815" s="35"/>
      <c r="H815" s="35"/>
      <c r="I815" s="35"/>
      <c r="J815" s="35"/>
      <c r="K815" s="35"/>
      <c r="L815" s="35"/>
      <c r="M815" s="35"/>
      <c r="N815" s="35"/>
      <c r="O815" s="35"/>
      <c r="P815" s="35"/>
      <c r="Q815" s="35"/>
      <c r="R815" s="35"/>
      <c r="S815" s="35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D815" s="35"/>
      <c r="AE815" s="35"/>
      <c r="AF815" s="35"/>
      <c r="AG815" s="35"/>
      <c r="AH815" s="35"/>
      <c r="AI815" s="35"/>
      <c r="AJ815" s="35"/>
      <c r="AK815" s="35"/>
    </row>
    <row r="816" ht="12.75" customHeight="1">
      <c r="A816" s="35"/>
      <c r="B816" s="35"/>
      <c r="C816" s="35"/>
      <c r="D816" s="35"/>
      <c r="E816" s="35"/>
      <c r="F816" s="35"/>
      <c r="G816" s="35"/>
      <c r="H816" s="35"/>
      <c r="I816" s="35"/>
      <c r="J816" s="35"/>
      <c r="K816" s="35"/>
      <c r="L816" s="35"/>
      <c r="M816" s="35"/>
      <c r="N816" s="35"/>
      <c r="O816" s="35"/>
      <c r="P816" s="35"/>
      <c r="Q816" s="35"/>
      <c r="R816" s="35"/>
      <c r="S816" s="35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D816" s="35"/>
      <c r="AE816" s="35"/>
      <c r="AF816" s="35"/>
      <c r="AG816" s="35"/>
      <c r="AH816" s="35"/>
      <c r="AI816" s="35"/>
      <c r="AJ816" s="35"/>
      <c r="AK816" s="35"/>
    </row>
    <row r="817" ht="12.75" customHeight="1">
      <c r="A817" s="35"/>
      <c r="B817" s="35"/>
      <c r="C817" s="35"/>
      <c r="D817" s="35"/>
      <c r="E817" s="35"/>
      <c r="F817" s="35"/>
      <c r="G817" s="35"/>
      <c r="H817" s="35"/>
      <c r="I817" s="35"/>
      <c r="J817" s="35"/>
      <c r="K817" s="35"/>
      <c r="L817" s="35"/>
      <c r="M817" s="35"/>
      <c r="N817" s="35"/>
      <c r="O817" s="35"/>
      <c r="P817" s="35"/>
      <c r="Q817" s="35"/>
      <c r="R817" s="35"/>
      <c r="S817" s="35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D817" s="35"/>
      <c r="AE817" s="35"/>
      <c r="AF817" s="35"/>
      <c r="AG817" s="35"/>
      <c r="AH817" s="35"/>
      <c r="AI817" s="35"/>
      <c r="AJ817" s="35"/>
      <c r="AK817" s="35"/>
    </row>
    <row r="818" ht="12.75" customHeight="1">
      <c r="A818" s="35"/>
      <c r="B818" s="35"/>
      <c r="C818" s="35"/>
      <c r="D818" s="35"/>
      <c r="E818" s="35"/>
      <c r="F818" s="35"/>
      <c r="G818" s="35"/>
      <c r="H818" s="35"/>
      <c r="I818" s="35"/>
      <c r="J818" s="35"/>
      <c r="K818" s="35"/>
      <c r="L818" s="35"/>
      <c r="M818" s="35"/>
      <c r="N818" s="35"/>
      <c r="O818" s="35"/>
      <c r="P818" s="35"/>
      <c r="Q818" s="35"/>
      <c r="R818" s="35"/>
      <c r="S818" s="35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D818" s="35"/>
      <c r="AE818" s="35"/>
      <c r="AF818" s="35"/>
      <c r="AG818" s="35"/>
      <c r="AH818" s="35"/>
      <c r="AI818" s="35"/>
      <c r="AJ818" s="35"/>
      <c r="AK818" s="35"/>
    </row>
    <row r="819" ht="12.75" customHeight="1">
      <c r="A819" s="35"/>
      <c r="B819" s="35"/>
      <c r="C819" s="35"/>
      <c r="D819" s="35"/>
      <c r="E819" s="35"/>
      <c r="F819" s="35"/>
      <c r="G819" s="35"/>
      <c r="H819" s="35"/>
      <c r="I819" s="35"/>
      <c r="J819" s="35"/>
      <c r="K819" s="35"/>
      <c r="L819" s="35"/>
      <c r="M819" s="35"/>
      <c r="N819" s="35"/>
      <c r="O819" s="35"/>
      <c r="P819" s="35"/>
      <c r="Q819" s="35"/>
      <c r="R819" s="35"/>
      <c r="S819" s="35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D819" s="35"/>
      <c r="AE819" s="35"/>
      <c r="AF819" s="35"/>
      <c r="AG819" s="35"/>
      <c r="AH819" s="35"/>
      <c r="AI819" s="35"/>
      <c r="AJ819" s="35"/>
      <c r="AK819" s="35"/>
    </row>
    <row r="820" ht="12.75" customHeight="1">
      <c r="A820" s="35"/>
      <c r="B820" s="35"/>
      <c r="C820" s="35"/>
      <c r="D820" s="35"/>
      <c r="E820" s="35"/>
      <c r="F820" s="35"/>
      <c r="G820" s="35"/>
      <c r="H820" s="35"/>
      <c r="I820" s="35"/>
      <c r="J820" s="35"/>
      <c r="K820" s="35"/>
      <c r="L820" s="35"/>
      <c r="M820" s="35"/>
      <c r="N820" s="35"/>
      <c r="O820" s="35"/>
      <c r="P820" s="35"/>
      <c r="Q820" s="35"/>
      <c r="R820" s="35"/>
      <c r="S820" s="35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D820" s="35"/>
      <c r="AE820" s="35"/>
      <c r="AF820" s="35"/>
      <c r="AG820" s="35"/>
      <c r="AH820" s="35"/>
      <c r="AI820" s="35"/>
      <c r="AJ820" s="35"/>
      <c r="AK820" s="35"/>
    </row>
    <row r="821" ht="12.75" customHeight="1">
      <c r="A821" s="35"/>
      <c r="B821" s="35"/>
      <c r="C821" s="35"/>
      <c r="D821" s="35"/>
      <c r="E821" s="35"/>
      <c r="F821" s="35"/>
      <c r="G821" s="35"/>
      <c r="H821" s="35"/>
      <c r="I821" s="35"/>
      <c r="J821" s="35"/>
      <c r="K821" s="35"/>
      <c r="L821" s="35"/>
      <c r="M821" s="35"/>
      <c r="N821" s="35"/>
      <c r="O821" s="35"/>
      <c r="P821" s="35"/>
      <c r="Q821" s="35"/>
      <c r="R821" s="35"/>
      <c r="S821" s="35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D821" s="35"/>
      <c r="AE821" s="35"/>
      <c r="AF821" s="35"/>
      <c r="AG821" s="35"/>
      <c r="AH821" s="35"/>
      <c r="AI821" s="35"/>
      <c r="AJ821" s="35"/>
      <c r="AK821" s="35"/>
    </row>
    <row r="822" ht="12.75" customHeight="1">
      <c r="A822" s="35"/>
      <c r="B822" s="35"/>
      <c r="C822" s="35"/>
      <c r="D822" s="35"/>
      <c r="E822" s="35"/>
      <c r="F822" s="35"/>
      <c r="G822" s="35"/>
      <c r="H822" s="35"/>
      <c r="I822" s="35"/>
      <c r="J822" s="35"/>
      <c r="K822" s="35"/>
      <c r="L822" s="35"/>
      <c r="M822" s="35"/>
      <c r="N822" s="35"/>
      <c r="O822" s="35"/>
      <c r="P822" s="35"/>
      <c r="Q822" s="35"/>
      <c r="R822" s="35"/>
      <c r="S822" s="35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D822" s="35"/>
      <c r="AE822" s="35"/>
      <c r="AF822" s="35"/>
      <c r="AG822" s="35"/>
      <c r="AH822" s="35"/>
      <c r="AI822" s="35"/>
      <c r="AJ822" s="35"/>
      <c r="AK822" s="35"/>
    </row>
    <row r="823" ht="12.75" customHeight="1">
      <c r="A823" s="35"/>
      <c r="B823" s="35"/>
      <c r="C823" s="35"/>
      <c r="D823" s="35"/>
      <c r="E823" s="35"/>
      <c r="F823" s="35"/>
      <c r="G823" s="35"/>
      <c r="H823" s="35"/>
      <c r="I823" s="35"/>
      <c r="J823" s="35"/>
      <c r="K823" s="35"/>
      <c r="L823" s="35"/>
      <c r="M823" s="35"/>
      <c r="N823" s="35"/>
      <c r="O823" s="35"/>
      <c r="P823" s="35"/>
      <c r="Q823" s="35"/>
      <c r="R823" s="35"/>
      <c r="S823" s="35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D823" s="35"/>
      <c r="AE823" s="35"/>
      <c r="AF823" s="35"/>
      <c r="AG823" s="35"/>
      <c r="AH823" s="35"/>
      <c r="AI823" s="35"/>
      <c r="AJ823" s="35"/>
      <c r="AK823" s="35"/>
    </row>
    <row r="824" ht="12.75" customHeight="1">
      <c r="A824" s="35"/>
      <c r="B824" s="35"/>
      <c r="C824" s="35"/>
      <c r="D824" s="35"/>
      <c r="E824" s="35"/>
      <c r="F824" s="35"/>
      <c r="G824" s="35"/>
      <c r="H824" s="35"/>
      <c r="I824" s="35"/>
      <c r="J824" s="35"/>
      <c r="K824" s="35"/>
      <c r="L824" s="35"/>
      <c r="M824" s="35"/>
      <c r="N824" s="35"/>
      <c r="O824" s="35"/>
      <c r="P824" s="35"/>
      <c r="Q824" s="35"/>
      <c r="R824" s="35"/>
      <c r="S824" s="35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D824" s="35"/>
      <c r="AE824" s="35"/>
      <c r="AF824" s="35"/>
      <c r="AG824" s="35"/>
      <c r="AH824" s="35"/>
      <c r="AI824" s="35"/>
      <c r="AJ824" s="35"/>
      <c r="AK824" s="35"/>
    </row>
    <row r="825" ht="12.75" customHeight="1">
      <c r="A825" s="35"/>
      <c r="B825" s="35"/>
      <c r="C825" s="35"/>
      <c r="D825" s="35"/>
      <c r="E825" s="35"/>
      <c r="F825" s="35"/>
      <c r="G825" s="35"/>
      <c r="H825" s="35"/>
      <c r="I825" s="35"/>
      <c r="J825" s="35"/>
      <c r="K825" s="35"/>
      <c r="L825" s="35"/>
      <c r="M825" s="35"/>
      <c r="N825" s="35"/>
      <c r="O825" s="35"/>
      <c r="P825" s="35"/>
      <c r="Q825" s="35"/>
      <c r="R825" s="35"/>
      <c r="S825" s="35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D825" s="35"/>
      <c r="AE825" s="35"/>
      <c r="AF825" s="35"/>
      <c r="AG825" s="35"/>
      <c r="AH825" s="35"/>
      <c r="AI825" s="35"/>
      <c r="AJ825" s="35"/>
      <c r="AK825" s="35"/>
    </row>
    <row r="826" ht="12.75" customHeight="1">
      <c r="A826" s="35"/>
      <c r="B826" s="35"/>
      <c r="C826" s="35"/>
      <c r="D826" s="35"/>
      <c r="E826" s="35"/>
      <c r="F826" s="35"/>
      <c r="G826" s="35"/>
      <c r="H826" s="35"/>
      <c r="I826" s="35"/>
      <c r="J826" s="35"/>
      <c r="K826" s="35"/>
      <c r="L826" s="35"/>
      <c r="M826" s="35"/>
      <c r="N826" s="35"/>
      <c r="O826" s="35"/>
      <c r="P826" s="35"/>
      <c r="Q826" s="35"/>
      <c r="R826" s="35"/>
      <c r="S826" s="35"/>
      <c r="T826" s="35"/>
      <c r="U826" s="35"/>
      <c r="V826" s="35"/>
      <c r="W826" s="35"/>
      <c r="X826" s="35"/>
      <c r="Y826" s="35"/>
      <c r="Z826" s="35"/>
      <c r="AA826" s="35"/>
      <c r="AB826" s="35"/>
      <c r="AC826" s="35"/>
      <c r="AD826" s="35"/>
      <c r="AE826" s="35"/>
      <c r="AF826" s="35"/>
      <c r="AG826" s="35"/>
      <c r="AH826" s="35"/>
      <c r="AI826" s="35"/>
      <c r="AJ826" s="35"/>
      <c r="AK826" s="35"/>
    </row>
    <row r="827" ht="12.75" customHeight="1">
      <c r="A827" s="35"/>
      <c r="B827" s="35"/>
      <c r="C827" s="35"/>
      <c r="D827" s="35"/>
      <c r="E827" s="35"/>
      <c r="F827" s="35"/>
      <c r="G827" s="35"/>
      <c r="H827" s="35"/>
      <c r="I827" s="35"/>
      <c r="J827" s="35"/>
      <c r="K827" s="35"/>
      <c r="L827" s="35"/>
      <c r="M827" s="35"/>
      <c r="N827" s="35"/>
      <c r="O827" s="35"/>
      <c r="P827" s="35"/>
      <c r="Q827" s="35"/>
      <c r="R827" s="35"/>
      <c r="S827" s="35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D827" s="35"/>
      <c r="AE827" s="35"/>
      <c r="AF827" s="35"/>
      <c r="AG827" s="35"/>
      <c r="AH827" s="35"/>
      <c r="AI827" s="35"/>
      <c r="AJ827" s="35"/>
      <c r="AK827" s="35"/>
    </row>
    <row r="828" ht="12.75" customHeight="1">
      <c r="A828" s="35"/>
      <c r="B828" s="35"/>
      <c r="C828" s="35"/>
      <c r="D828" s="35"/>
      <c r="E828" s="35"/>
      <c r="F828" s="35"/>
      <c r="G828" s="35"/>
      <c r="H828" s="35"/>
      <c r="I828" s="35"/>
      <c r="J828" s="35"/>
      <c r="K828" s="35"/>
      <c r="L828" s="35"/>
      <c r="M828" s="35"/>
      <c r="N828" s="35"/>
      <c r="O828" s="35"/>
      <c r="P828" s="35"/>
      <c r="Q828" s="35"/>
      <c r="R828" s="35"/>
      <c r="S828" s="35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D828" s="35"/>
      <c r="AE828" s="35"/>
      <c r="AF828" s="35"/>
      <c r="AG828" s="35"/>
      <c r="AH828" s="35"/>
      <c r="AI828" s="35"/>
      <c r="AJ828" s="35"/>
      <c r="AK828" s="35"/>
    </row>
    <row r="829" ht="12.75" customHeight="1">
      <c r="A829" s="35"/>
      <c r="B829" s="35"/>
      <c r="C829" s="35"/>
      <c r="D829" s="35"/>
      <c r="E829" s="35"/>
      <c r="F829" s="35"/>
      <c r="G829" s="35"/>
      <c r="H829" s="35"/>
      <c r="I829" s="35"/>
      <c r="J829" s="35"/>
      <c r="K829" s="35"/>
      <c r="L829" s="35"/>
      <c r="M829" s="35"/>
      <c r="N829" s="35"/>
      <c r="O829" s="35"/>
      <c r="P829" s="35"/>
      <c r="Q829" s="35"/>
      <c r="R829" s="35"/>
      <c r="S829" s="35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D829" s="35"/>
      <c r="AE829" s="35"/>
      <c r="AF829" s="35"/>
      <c r="AG829" s="35"/>
      <c r="AH829" s="35"/>
      <c r="AI829" s="35"/>
      <c r="AJ829" s="35"/>
      <c r="AK829" s="35"/>
    </row>
    <row r="830" ht="12.75" customHeight="1">
      <c r="A830" s="35"/>
      <c r="B830" s="35"/>
      <c r="C830" s="35"/>
      <c r="D830" s="35"/>
      <c r="E830" s="35"/>
      <c r="F830" s="35"/>
      <c r="G830" s="35"/>
      <c r="H830" s="35"/>
      <c r="I830" s="35"/>
      <c r="J830" s="35"/>
      <c r="K830" s="35"/>
      <c r="L830" s="35"/>
      <c r="M830" s="35"/>
      <c r="N830" s="35"/>
      <c r="O830" s="35"/>
      <c r="P830" s="35"/>
      <c r="Q830" s="35"/>
      <c r="R830" s="35"/>
      <c r="S830" s="35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D830" s="35"/>
      <c r="AE830" s="35"/>
      <c r="AF830" s="35"/>
      <c r="AG830" s="35"/>
      <c r="AH830" s="35"/>
      <c r="AI830" s="35"/>
      <c r="AJ830" s="35"/>
      <c r="AK830" s="35"/>
    </row>
    <row r="831" ht="12.75" customHeight="1">
      <c r="A831" s="35"/>
      <c r="B831" s="35"/>
      <c r="C831" s="35"/>
      <c r="D831" s="35"/>
      <c r="E831" s="35"/>
      <c r="F831" s="35"/>
      <c r="G831" s="35"/>
      <c r="H831" s="35"/>
      <c r="I831" s="35"/>
      <c r="J831" s="35"/>
      <c r="K831" s="35"/>
      <c r="L831" s="35"/>
      <c r="M831" s="35"/>
      <c r="N831" s="35"/>
      <c r="O831" s="35"/>
      <c r="P831" s="35"/>
      <c r="Q831" s="35"/>
      <c r="R831" s="35"/>
      <c r="S831" s="35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D831" s="35"/>
      <c r="AE831" s="35"/>
      <c r="AF831" s="35"/>
      <c r="AG831" s="35"/>
      <c r="AH831" s="35"/>
      <c r="AI831" s="35"/>
      <c r="AJ831" s="35"/>
      <c r="AK831" s="35"/>
    </row>
    <row r="832" ht="12.75" customHeight="1">
      <c r="A832" s="35"/>
      <c r="B832" s="35"/>
      <c r="C832" s="35"/>
      <c r="D832" s="35"/>
      <c r="E832" s="35"/>
      <c r="F832" s="35"/>
      <c r="G832" s="35"/>
      <c r="H832" s="35"/>
      <c r="I832" s="35"/>
      <c r="J832" s="35"/>
      <c r="K832" s="35"/>
      <c r="L832" s="35"/>
      <c r="M832" s="35"/>
      <c r="N832" s="35"/>
      <c r="O832" s="35"/>
      <c r="P832" s="35"/>
      <c r="Q832" s="35"/>
      <c r="R832" s="35"/>
      <c r="S832" s="35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D832" s="35"/>
      <c r="AE832" s="35"/>
      <c r="AF832" s="35"/>
      <c r="AG832" s="35"/>
      <c r="AH832" s="35"/>
      <c r="AI832" s="35"/>
      <c r="AJ832" s="35"/>
      <c r="AK832" s="35"/>
    </row>
    <row r="833" ht="12.75" customHeight="1">
      <c r="A833" s="35"/>
      <c r="B833" s="35"/>
      <c r="C833" s="35"/>
      <c r="D833" s="35"/>
      <c r="E833" s="35"/>
      <c r="F833" s="35"/>
      <c r="G833" s="35"/>
      <c r="H833" s="35"/>
      <c r="I833" s="35"/>
      <c r="J833" s="35"/>
      <c r="K833" s="35"/>
      <c r="L833" s="35"/>
      <c r="M833" s="35"/>
      <c r="N833" s="35"/>
      <c r="O833" s="35"/>
      <c r="P833" s="35"/>
      <c r="Q833" s="35"/>
      <c r="R833" s="35"/>
      <c r="S833" s="35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D833" s="35"/>
      <c r="AE833" s="35"/>
      <c r="AF833" s="35"/>
      <c r="AG833" s="35"/>
      <c r="AH833" s="35"/>
      <c r="AI833" s="35"/>
      <c r="AJ833" s="35"/>
      <c r="AK833" s="35"/>
    </row>
    <row r="834" ht="12.75" customHeight="1">
      <c r="A834" s="35"/>
      <c r="B834" s="35"/>
      <c r="C834" s="35"/>
      <c r="D834" s="35"/>
      <c r="E834" s="35"/>
      <c r="F834" s="35"/>
      <c r="G834" s="35"/>
      <c r="H834" s="35"/>
      <c r="I834" s="35"/>
      <c r="J834" s="35"/>
      <c r="K834" s="35"/>
      <c r="L834" s="35"/>
      <c r="M834" s="35"/>
      <c r="N834" s="35"/>
      <c r="O834" s="35"/>
      <c r="P834" s="35"/>
      <c r="Q834" s="35"/>
      <c r="R834" s="35"/>
      <c r="S834" s="35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D834" s="35"/>
      <c r="AE834" s="35"/>
      <c r="AF834" s="35"/>
      <c r="AG834" s="35"/>
      <c r="AH834" s="35"/>
      <c r="AI834" s="35"/>
      <c r="AJ834" s="35"/>
      <c r="AK834" s="35"/>
    </row>
    <row r="835" ht="12.75" customHeight="1">
      <c r="A835" s="35"/>
      <c r="B835" s="35"/>
      <c r="C835" s="35"/>
      <c r="D835" s="35"/>
      <c r="E835" s="35"/>
      <c r="F835" s="35"/>
      <c r="G835" s="35"/>
      <c r="H835" s="35"/>
      <c r="I835" s="35"/>
      <c r="J835" s="35"/>
      <c r="K835" s="35"/>
      <c r="L835" s="35"/>
      <c r="M835" s="35"/>
      <c r="N835" s="35"/>
      <c r="O835" s="35"/>
      <c r="P835" s="35"/>
      <c r="Q835" s="35"/>
      <c r="R835" s="35"/>
      <c r="S835" s="35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D835" s="35"/>
      <c r="AE835" s="35"/>
      <c r="AF835" s="35"/>
      <c r="AG835" s="35"/>
      <c r="AH835" s="35"/>
      <c r="AI835" s="35"/>
      <c r="AJ835" s="35"/>
      <c r="AK835" s="35"/>
    </row>
    <row r="836" ht="12.75" customHeight="1">
      <c r="A836" s="35"/>
      <c r="B836" s="35"/>
      <c r="C836" s="35"/>
      <c r="D836" s="35"/>
      <c r="E836" s="35"/>
      <c r="F836" s="35"/>
      <c r="G836" s="35"/>
      <c r="H836" s="35"/>
      <c r="I836" s="35"/>
      <c r="J836" s="35"/>
      <c r="K836" s="35"/>
      <c r="L836" s="35"/>
      <c r="M836" s="35"/>
      <c r="N836" s="35"/>
      <c r="O836" s="35"/>
      <c r="P836" s="35"/>
      <c r="Q836" s="35"/>
      <c r="R836" s="35"/>
      <c r="S836" s="35"/>
      <c r="T836" s="35"/>
      <c r="U836" s="35"/>
      <c r="V836" s="35"/>
      <c r="W836" s="35"/>
      <c r="X836" s="35"/>
      <c r="Y836" s="35"/>
      <c r="Z836" s="35"/>
      <c r="AA836" s="35"/>
      <c r="AB836" s="35"/>
      <c r="AC836" s="35"/>
      <c r="AD836" s="35"/>
      <c r="AE836" s="35"/>
      <c r="AF836" s="35"/>
      <c r="AG836" s="35"/>
      <c r="AH836" s="35"/>
      <c r="AI836" s="35"/>
      <c r="AJ836" s="35"/>
      <c r="AK836" s="35"/>
    </row>
    <row r="837" ht="12.75" customHeight="1">
      <c r="A837" s="35"/>
      <c r="B837" s="35"/>
      <c r="C837" s="35"/>
      <c r="D837" s="35"/>
      <c r="E837" s="35"/>
      <c r="F837" s="35"/>
      <c r="G837" s="35"/>
      <c r="H837" s="35"/>
      <c r="I837" s="35"/>
      <c r="J837" s="35"/>
      <c r="K837" s="35"/>
      <c r="L837" s="35"/>
      <c r="M837" s="35"/>
      <c r="N837" s="35"/>
      <c r="O837" s="35"/>
      <c r="P837" s="35"/>
      <c r="Q837" s="35"/>
      <c r="R837" s="35"/>
      <c r="S837" s="35"/>
      <c r="T837" s="35"/>
      <c r="U837" s="35"/>
      <c r="V837" s="35"/>
      <c r="W837" s="35"/>
      <c r="X837" s="35"/>
      <c r="Y837" s="35"/>
      <c r="Z837" s="35"/>
      <c r="AA837" s="35"/>
      <c r="AB837" s="35"/>
      <c r="AC837" s="35"/>
      <c r="AD837" s="35"/>
      <c r="AE837" s="35"/>
      <c r="AF837" s="35"/>
      <c r="AG837" s="35"/>
      <c r="AH837" s="35"/>
      <c r="AI837" s="35"/>
      <c r="AJ837" s="35"/>
      <c r="AK837" s="35"/>
    </row>
    <row r="838" ht="12.75" customHeight="1">
      <c r="A838" s="35"/>
      <c r="B838" s="35"/>
      <c r="C838" s="35"/>
      <c r="D838" s="35"/>
      <c r="E838" s="35"/>
      <c r="F838" s="35"/>
      <c r="G838" s="35"/>
      <c r="H838" s="35"/>
      <c r="I838" s="35"/>
      <c r="J838" s="35"/>
      <c r="K838" s="35"/>
      <c r="L838" s="35"/>
      <c r="M838" s="35"/>
      <c r="N838" s="35"/>
      <c r="O838" s="35"/>
      <c r="P838" s="35"/>
      <c r="Q838" s="35"/>
      <c r="R838" s="35"/>
      <c r="S838" s="35"/>
      <c r="T838" s="35"/>
      <c r="U838" s="35"/>
      <c r="V838" s="35"/>
      <c r="W838" s="35"/>
      <c r="X838" s="35"/>
      <c r="Y838" s="35"/>
      <c r="Z838" s="35"/>
      <c r="AA838" s="35"/>
      <c r="AB838" s="35"/>
      <c r="AC838" s="35"/>
      <c r="AD838" s="35"/>
      <c r="AE838" s="35"/>
      <c r="AF838" s="35"/>
      <c r="AG838" s="35"/>
      <c r="AH838" s="35"/>
      <c r="AI838" s="35"/>
      <c r="AJ838" s="35"/>
      <c r="AK838" s="35"/>
    </row>
    <row r="839" ht="12.75" customHeight="1">
      <c r="A839" s="35"/>
      <c r="B839" s="35"/>
      <c r="C839" s="35"/>
      <c r="D839" s="35"/>
      <c r="E839" s="35"/>
      <c r="F839" s="35"/>
      <c r="G839" s="35"/>
      <c r="H839" s="35"/>
      <c r="I839" s="35"/>
      <c r="J839" s="35"/>
      <c r="K839" s="35"/>
      <c r="L839" s="35"/>
      <c r="M839" s="35"/>
      <c r="N839" s="35"/>
      <c r="O839" s="35"/>
      <c r="P839" s="35"/>
      <c r="Q839" s="35"/>
      <c r="R839" s="35"/>
      <c r="S839" s="35"/>
      <c r="T839" s="35"/>
      <c r="U839" s="35"/>
      <c r="V839" s="35"/>
      <c r="W839" s="35"/>
      <c r="X839" s="35"/>
      <c r="Y839" s="35"/>
      <c r="Z839" s="35"/>
      <c r="AA839" s="35"/>
      <c r="AB839" s="35"/>
      <c r="AC839" s="35"/>
      <c r="AD839" s="35"/>
      <c r="AE839" s="35"/>
      <c r="AF839" s="35"/>
      <c r="AG839" s="35"/>
      <c r="AH839" s="35"/>
      <c r="AI839" s="35"/>
      <c r="AJ839" s="35"/>
      <c r="AK839" s="35"/>
    </row>
    <row r="840" ht="12.75" customHeight="1">
      <c r="A840" s="35"/>
      <c r="B840" s="35"/>
      <c r="C840" s="35"/>
      <c r="D840" s="35"/>
      <c r="E840" s="35"/>
      <c r="F840" s="35"/>
      <c r="G840" s="35"/>
      <c r="H840" s="35"/>
      <c r="I840" s="35"/>
      <c r="J840" s="35"/>
      <c r="K840" s="35"/>
      <c r="L840" s="35"/>
      <c r="M840" s="35"/>
      <c r="N840" s="35"/>
      <c r="O840" s="35"/>
      <c r="P840" s="35"/>
      <c r="Q840" s="35"/>
      <c r="R840" s="35"/>
      <c r="S840" s="35"/>
      <c r="T840" s="35"/>
      <c r="U840" s="35"/>
      <c r="V840" s="35"/>
      <c r="W840" s="35"/>
      <c r="X840" s="35"/>
      <c r="Y840" s="35"/>
      <c r="Z840" s="35"/>
      <c r="AA840" s="35"/>
      <c r="AB840" s="35"/>
      <c r="AC840" s="35"/>
      <c r="AD840" s="35"/>
      <c r="AE840" s="35"/>
      <c r="AF840" s="35"/>
      <c r="AG840" s="35"/>
      <c r="AH840" s="35"/>
      <c r="AI840" s="35"/>
      <c r="AJ840" s="35"/>
      <c r="AK840" s="35"/>
    </row>
    <row r="841" ht="12.75" customHeight="1">
      <c r="A841" s="35"/>
      <c r="B841" s="35"/>
      <c r="C841" s="35"/>
      <c r="D841" s="35"/>
      <c r="E841" s="35"/>
      <c r="F841" s="35"/>
      <c r="G841" s="35"/>
      <c r="H841" s="35"/>
      <c r="I841" s="35"/>
      <c r="J841" s="35"/>
      <c r="K841" s="35"/>
      <c r="L841" s="35"/>
      <c r="M841" s="35"/>
      <c r="N841" s="35"/>
      <c r="O841" s="35"/>
      <c r="P841" s="35"/>
      <c r="Q841" s="35"/>
      <c r="R841" s="35"/>
      <c r="S841" s="35"/>
      <c r="T841" s="35"/>
      <c r="U841" s="35"/>
      <c r="V841" s="35"/>
      <c r="W841" s="35"/>
      <c r="X841" s="35"/>
      <c r="Y841" s="35"/>
      <c r="Z841" s="35"/>
      <c r="AA841" s="35"/>
      <c r="AB841" s="35"/>
      <c r="AC841" s="35"/>
      <c r="AD841" s="35"/>
      <c r="AE841" s="35"/>
      <c r="AF841" s="35"/>
      <c r="AG841" s="35"/>
      <c r="AH841" s="35"/>
      <c r="AI841" s="35"/>
      <c r="AJ841" s="35"/>
      <c r="AK841" s="35"/>
    </row>
    <row r="842" ht="12.75" customHeight="1">
      <c r="A842" s="35"/>
      <c r="B842" s="35"/>
      <c r="C842" s="35"/>
      <c r="D842" s="35"/>
      <c r="E842" s="35"/>
      <c r="F842" s="35"/>
      <c r="G842" s="35"/>
      <c r="H842" s="35"/>
      <c r="I842" s="35"/>
      <c r="J842" s="35"/>
      <c r="K842" s="35"/>
      <c r="L842" s="35"/>
      <c r="M842" s="35"/>
      <c r="N842" s="35"/>
      <c r="O842" s="35"/>
      <c r="P842" s="35"/>
      <c r="Q842" s="35"/>
      <c r="R842" s="35"/>
      <c r="S842" s="35"/>
      <c r="T842" s="35"/>
      <c r="U842" s="35"/>
      <c r="V842" s="35"/>
      <c r="W842" s="35"/>
      <c r="X842" s="35"/>
      <c r="Y842" s="35"/>
      <c r="Z842" s="35"/>
      <c r="AA842" s="35"/>
      <c r="AB842" s="35"/>
      <c r="AC842" s="35"/>
      <c r="AD842" s="35"/>
      <c r="AE842" s="35"/>
      <c r="AF842" s="35"/>
      <c r="AG842" s="35"/>
      <c r="AH842" s="35"/>
      <c r="AI842" s="35"/>
      <c r="AJ842" s="35"/>
      <c r="AK842" s="35"/>
    </row>
    <row r="843" ht="12.75" customHeight="1">
      <c r="A843" s="35"/>
      <c r="B843" s="35"/>
      <c r="C843" s="35"/>
      <c r="D843" s="35"/>
      <c r="E843" s="35"/>
      <c r="F843" s="35"/>
      <c r="G843" s="35"/>
      <c r="H843" s="35"/>
      <c r="I843" s="35"/>
      <c r="J843" s="35"/>
      <c r="K843" s="35"/>
      <c r="L843" s="35"/>
      <c r="M843" s="35"/>
      <c r="N843" s="35"/>
      <c r="O843" s="35"/>
      <c r="P843" s="35"/>
      <c r="Q843" s="35"/>
      <c r="R843" s="35"/>
      <c r="S843" s="35"/>
      <c r="T843" s="35"/>
      <c r="U843" s="35"/>
      <c r="V843" s="35"/>
      <c r="W843" s="35"/>
      <c r="X843" s="35"/>
      <c r="Y843" s="35"/>
      <c r="Z843" s="35"/>
      <c r="AA843" s="35"/>
      <c r="AB843" s="35"/>
      <c r="AC843" s="35"/>
      <c r="AD843" s="35"/>
      <c r="AE843" s="35"/>
      <c r="AF843" s="35"/>
      <c r="AG843" s="35"/>
      <c r="AH843" s="35"/>
      <c r="AI843" s="35"/>
      <c r="AJ843" s="35"/>
      <c r="AK843" s="35"/>
    </row>
    <row r="844" ht="12.75" customHeight="1">
      <c r="A844" s="35"/>
      <c r="B844" s="35"/>
      <c r="C844" s="35"/>
      <c r="D844" s="35"/>
      <c r="E844" s="35"/>
      <c r="F844" s="35"/>
      <c r="G844" s="35"/>
      <c r="H844" s="35"/>
      <c r="I844" s="35"/>
      <c r="J844" s="35"/>
      <c r="K844" s="35"/>
      <c r="L844" s="35"/>
      <c r="M844" s="35"/>
      <c r="N844" s="35"/>
      <c r="O844" s="35"/>
      <c r="P844" s="35"/>
      <c r="Q844" s="35"/>
      <c r="R844" s="35"/>
      <c r="S844" s="35"/>
      <c r="T844" s="35"/>
      <c r="U844" s="35"/>
      <c r="V844" s="35"/>
      <c r="W844" s="35"/>
      <c r="X844" s="35"/>
      <c r="Y844" s="35"/>
      <c r="Z844" s="35"/>
      <c r="AA844" s="35"/>
      <c r="AB844" s="35"/>
      <c r="AC844" s="35"/>
      <c r="AD844" s="35"/>
      <c r="AE844" s="35"/>
      <c r="AF844" s="35"/>
      <c r="AG844" s="35"/>
      <c r="AH844" s="35"/>
      <c r="AI844" s="35"/>
      <c r="AJ844" s="35"/>
      <c r="AK844" s="35"/>
    </row>
    <row r="845" ht="12.75" customHeight="1">
      <c r="A845" s="35"/>
      <c r="B845" s="35"/>
      <c r="C845" s="35"/>
      <c r="D845" s="35"/>
      <c r="E845" s="35"/>
      <c r="F845" s="35"/>
      <c r="G845" s="35"/>
      <c r="H845" s="35"/>
      <c r="I845" s="35"/>
      <c r="J845" s="35"/>
      <c r="K845" s="35"/>
      <c r="L845" s="35"/>
      <c r="M845" s="35"/>
      <c r="N845" s="35"/>
      <c r="O845" s="35"/>
      <c r="P845" s="35"/>
      <c r="Q845" s="35"/>
      <c r="R845" s="35"/>
      <c r="S845" s="35"/>
      <c r="T845" s="35"/>
      <c r="U845" s="35"/>
      <c r="V845" s="35"/>
      <c r="W845" s="35"/>
      <c r="X845" s="35"/>
      <c r="Y845" s="35"/>
      <c r="Z845" s="35"/>
      <c r="AA845" s="35"/>
      <c r="AB845" s="35"/>
      <c r="AC845" s="35"/>
      <c r="AD845" s="35"/>
      <c r="AE845" s="35"/>
      <c r="AF845" s="35"/>
      <c r="AG845" s="35"/>
      <c r="AH845" s="35"/>
      <c r="AI845" s="35"/>
      <c r="AJ845" s="35"/>
      <c r="AK845" s="35"/>
    </row>
    <row r="846" ht="12.75" customHeight="1">
      <c r="A846" s="35"/>
      <c r="B846" s="35"/>
      <c r="C846" s="35"/>
      <c r="D846" s="35"/>
      <c r="E846" s="35"/>
      <c r="F846" s="35"/>
      <c r="G846" s="35"/>
      <c r="H846" s="35"/>
      <c r="I846" s="35"/>
      <c r="J846" s="35"/>
      <c r="K846" s="35"/>
      <c r="L846" s="35"/>
      <c r="M846" s="35"/>
      <c r="N846" s="35"/>
      <c r="O846" s="35"/>
      <c r="P846" s="35"/>
      <c r="Q846" s="35"/>
      <c r="R846" s="35"/>
      <c r="S846" s="35"/>
      <c r="T846" s="35"/>
      <c r="U846" s="35"/>
      <c r="V846" s="35"/>
      <c r="W846" s="35"/>
      <c r="X846" s="35"/>
      <c r="Y846" s="35"/>
      <c r="Z846" s="35"/>
      <c r="AA846" s="35"/>
      <c r="AB846" s="35"/>
      <c r="AC846" s="35"/>
      <c r="AD846" s="35"/>
      <c r="AE846" s="35"/>
      <c r="AF846" s="35"/>
      <c r="AG846" s="35"/>
      <c r="AH846" s="35"/>
      <c r="AI846" s="35"/>
      <c r="AJ846" s="35"/>
      <c r="AK846" s="35"/>
    </row>
    <row r="847" ht="12.75" customHeight="1">
      <c r="A847" s="35"/>
      <c r="B847" s="35"/>
      <c r="C847" s="35"/>
      <c r="D847" s="35"/>
      <c r="E847" s="35"/>
      <c r="F847" s="35"/>
      <c r="G847" s="35"/>
      <c r="H847" s="35"/>
      <c r="I847" s="35"/>
      <c r="J847" s="35"/>
      <c r="K847" s="35"/>
      <c r="L847" s="35"/>
      <c r="M847" s="35"/>
      <c r="N847" s="35"/>
      <c r="O847" s="35"/>
      <c r="P847" s="35"/>
      <c r="Q847" s="35"/>
      <c r="R847" s="35"/>
      <c r="S847" s="35"/>
      <c r="T847" s="35"/>
      <c r="U847" s="35"/>
      <c r="V847" s="35"/>
      <c r="W847" s="35"/>
      <c r="X847" s="35"/>
      <c r="Y847" s="35"/>
      <c r="Z847" s="35"/>
      <c r="AA847" s="35"/>
      <c r="AB847" s="35"/>
      <c r="AC847" s="35"/>
      <c r="AD847" s="35"/>
      <c r="AE847" s="35"/>
      <c r="AF847" s="35"/>
      <c r="AG847" s="35"/>
      <c r="AH847" s="35"/>
      <c r="AI847" s="35"/>
      <c r="AJ847" s="35"/>
      <c r="AK847" s="35"/>
    </row>
    <row r="848" ht="12.75" customHeight="1">
      <c r="A848" s="35"/>
      <c r="B848" s="35"/>
      <c r="C848" s="35"/>
      <c r="D848" s="35"/>
      <c r="E848" s="35"/>
      <c r="F848" s="35"/>
      <c r="G848" s="35"/>
      <c r="H848" s="35"/>
      <c r="I848" s="35"/>
      <c r="J848" s="35"/>
      <c r="K848" s="35"/>
      <c r="L848" s="35"/>
      <c r="M848" s="35"/>
      <c r="N848" s="35"/>
      <c r="O848" s="35"/>
      <c r="P848" s="35"/>
      <c r="Q848" s="35"/>
      <c r="R848" s="35"/>
      <c r="S848" s="35"/>
      <c r="T848" s="35"/>
      <c r="U848" s="35"/>
      <c r="V848" s="35"/>
      <c r="W848" s="35"/>
      <c r="X848" s="35"/>
      <c r="Y848" s="35"/>
      <c r="Z848" s="35"/>
      <c r="AA848" s="35"/>
      <c r="AB848" s="35"/>
      <c r="AC848" s="35"/>
      <c r="AD848" s="35"/>
      <c r="AE848" s="35"/>
      <c r="AF848" s="35"/>
      <c r="AG848" s="35"/>
      <c r="AH848" s="35"/>
      <c r="AI848" s="35"/>
      <c r="AJ848" s="35"/>
      <c r="AK848" s="35"/>
    </row>
    <row r="849" ht="12.75" customHeight="1">
      <c r="A849" s="35"/>
      <c r="B849" s="35"/>
      <c r="C849" s="35"/>
      <c r="D849" s="35"/>
      <c r="E849" s="35"/>
      <c r="F849" s="35"/>
      <c r="G849" s="35"/>
      <c r="H849" s="35"/>
      <c r="I849" s="35"/>
      <c r="J849" s="35"/>
      <c r="K849" s="35"/>
      <c r="L849" s="35"/>
      <c r="M849" s="35"/>
      <c r="N849" s="35"/>
      <c r="O849" s="35"/>
      <c r="P849" s="35"/>
      <c r="Q849" s="35"/>
      <c r="R849" s="35"/>
      <c r="S849" s="35"/>
      <c r="T849" s="35"/>
      <c r="U849" s="35"/>
      <c r="V849" s="35"/>
      <c r="W849" s="35"/>
      <c r="X849" s="35"/>
      <c r="Y849" s="35"/>
      <c r="Z849" s="35"/>
      <c r="AA849" s="35"/>
      <c r="AB849" s="35"/>
      <c r="AC849" s="35"/>
      <c r="AD849" s="35"/>
      <c r="AE849" s="35"/>
      <c r="AF849" s="35"/>
      <c r="AG849" s="35"/>
      <c r="AH849" s="35"/>
      <c r="AI849" s="35"/>
      <c r="AJ849" s="35"/>
      <c r="AK849" s="35"/>
    </row>
    <row r="850" ht="12.75" customHeight="1">
      <c r="A850" s="35"/>
      <c r="B850" s="35"/>
      <c r="C850" s="35"/>
      <c r="D850" s="35"/>
      <c r="E850" s="35"/>
      <c r="F850" s="35"/>
      <c r="G850" s="35"/>
      <c r="H850" s="35"/>
      <c r="I850" s="35"/>
      <c r="J850" s="35"/>
      <c r="K850" s="35"/>
      <c r="L850" s="35"/>
      <c r="M850" s="35"/>
      <c r="N850" s="35"/>
      <c r="O850" s="35"/>
      <c r="P850" s="35"/>
      <c r="Q850" s="35"/>
      <c r="R850" s="35"/>
      <c r="S850" s="35"/>
      <c r="T850" s="35"/>
      <c r="U850" s="35"/>
      <c r="V850" s="35"/>
      <c r="W850" s="35"/>
      <c r="X850" s="35"/>
      <c r="Y850" s="35"/>
      <c r="Z850" s="35"/>
      <c r="AA850" s="35"/>
      <c r="AB850" s="35"/>
      <c r="AC850" s="35"/>
      <c r="AD850" s="35"/>
      <c r="AE850" s="35"/>
      <c r="AF850" s="35"/>
      <c r="AG850" s="35"/>
      <c r="AH850" s="35"/>
      <c r="AI850" s="35"/>
      <c r="AJ850" s="35"/>
      <c r="AK850" s="35"/>
    </row>
    <row r="851" ht="12.75" customHeight="1">
      <c r="A851" s="35"/>
      <c r="B851" s="35"/>
      <c r="C851" s="35"/>
      <c r="D851" s="35"/>
      <c r="E851" s="35"/>
      <c r="F851" s="35"/>
      <c r="G851" s="35"/>
      <c r="H851" s="35"/>
      <c r="I851" s="35"/>
      <c r="J851" s="35"/>
      <c r="K851" s="35"/>
      <c r="L851" s="35"/>
      <c r="M851" s="35"/>
      <c r="N851" s="35"/>
      <c r="O851" s="35"/>
      <c r="P851" s="35"/>
      <c r="Q851" s="35"/>
      <c r="R851" s="35"/>
      <c r="S851" s="35"/>
      <c r="T851" s="35"/>
      <c r="U851" s="35"/>
      <c r="V851" s="35"/>
      <c r="W851" s="35"/>
      <c r="X851" s="35"/>
      <c r="Y851" s="35"/>
      <c r="Z851" s="35"/>
      <c r="AA851" s="35"/>
      <c r="AB851" s="35"/>
      <c r="AC851" s="35"/>
      <c r="AD851" s="35"/>
      <c r="AE851" s="35"/>
      <c r="AF851" s="35"/>
      <c r="AG851" s="35"/>
      <c r="AH851" s="35"/>
      <c r="AI851" s="35"/>
      <c r="AJ851" s="35"/>
      <c r="AK851" s="35"/>
    </row>
    <row r="852" ht="12.75" customHeight="1">
      <c r="A852" s="35"/>
      <c r="B852" s="35"/>
      <c r="C852" s="35"/>
      <c r="D852" s="35"/>
      <c r="E852" s="35"/>
      <c r="F852" s="35"/>
      <c r="G852" s="35"/>
      <c r="H852" s="35"/>
      <c r="I852" s="35"/>
      <c r="J852" s="35"/>
      <c r="K852" s="35"/>
      <c r="L852" s="35"/>
      <c r="M852" s="35"/>
      <c r="N852" s="35"/>
      <c r="O852" s="35"/>
      <c r="P852" s="35"/>
      <c r="Q852" s="35"/>
      <c r="R852" s="35"/>
      <c r="S852" s="35"/>
      <c r="T852" s="35"/>
      <c r="U852" s="35"/>
      <c r="V852" s="35"/>
      <c r="W852" s="35"/>
      <c r="X852" s="35"/>
      <c r="Y852" s="35"/>
      <c r="Z852" s="35"/>
      <c r="AA852" s="35"/>
      <c r="AB852" s="35"/>
      <c r="AC852" s="35"/>
      <c r="AD852" s="35"/>
      <c r="AE852" s="35"/>
      <c r="AF852" s="35"/>
      <c r="AG852" s="35"/>
      <c r="AH852" s="35"/>
      <c r="AI852" s="35"/>
      <c r="AJ852" s="35"/>
      <c r="AK852" s="35"/>
    </row>
    <row r="853" ht="12.75" customHeight="1">
      <c r="A853" s="35"/>
      <c r="B853" s="35"/>
      <c r="C853" s="35"/>
      <c r="D853" s="35"/>
      <c r="E853" s="35"/>
      <c r="F853" s="35"/>
      <c r="G853" s="35"/>
      <c r="H853" s="35"/>
      <c r="I853" s="35"/>
      <c r="J853" s="35"/>
      <c r="K853" s="35"/>
      <c r="L853" s="35"/>
      <c r="M853" s="35"/>
      <c r="N853" s="35"/>
      <c r="O853" s="35"/>
      <c r="P853" s="35"/>
      <c r="Q853" s="35"/>
      <c r="R853" s="35"/>
      <c r="S853" s="35"/>
      <c r="T853" s="35"/>
      <c r="U853" s="35"/>
      <c r="V853" s="35"/>
      <c r="W853" s="35"/>
      <c r="X853" s="35"/>
      <c r="Y853" s="35"/>
      <c r="Z853" s="35"/>
      <c r="AA853" s="35"/>
      <c r="AB853" s="35"/>
      <c r="AC853" s="35"/>
      <c r="AD853" s="35"/>
      <c r="AE853" s="35"/>
      <c r="AF853" s="35"/>
      <c r="AG853" s="35"/>
      <c r="AH853" s="35"/>
      <c r="AI853" s="35"/>
      <c r="AJ853" s="35"/>
      <c r="AK853" s="35"/>
    </row>
    <row r="854" ht="12.75" customHeight="1">
      <c r="A854" s="35"/>
      <c r="B854" s="35"/>
      <c r="C854" s="35"/>
      <c r="D854" s="35"/>
      <c r="E854" s="35"/>
      <c r="F854" s="35"/>
      <c r="G854" s="35"/>
      <c r="H854" s="35"/>
      <c r="I854" s="35"/>
      <c r="J854" s="35"/>
      <c r="K854" s="35"/>
      <c r="L854" s="35"/>
      <c r="M854" s="35"/>
      <c r="N854" s="35"/>
      <c r="O854" s="35"/>
      <c r="P854" s="35"/>
      <c r="Q854" s="35"/>
      <c r="R854" s="35"/>
      <c r="S854" s="35"/>
      <c r="T854" s="35"/>
      <c r="U854" s="35"/>
      <c r="V854" s="35"/>
      <c r="W854" s="35"/>
      <c r="X854" s="35"/>
      <c r="Y854" s="35"/>
      <c r="Z854" s="35"/>
      <c r="AA854" s="35"/>
      <c r="AB854" s="35"/>
      <c r="AC854" s="35"/>
      <c r="AD854" s="35"/>
      <c r="AE854" s="35"/>
      <c r="AF854" s="35"/>
      <c r="AG854" s="35"/>
      <c r="AH854" s="35"/>
      <c r="AI854" s="35"/>
      <c r="AJ854" s="35"/>
      <c r="AK854" s="35"/>
    </row>
    <row r="855" ht="12.75" customHeight="1">
      <c r="A855" s="35"/>
      <c r="B855" s="35"/>
      <c r="C855" s="35"/>
      <c r="D855" s="35"/>
      <c r="E855" s="35"/>
      <c r="F855" s="35"/>
      <c r="G855" s="35"/>
      <c r="H855" s="35"/>
      <c r="I855" s="35"/>
      <c r="J855" s="35"/>
      <c r="K855" s="35"/>
      <c r="L855" s="35"/>
      <c r="M855" s="35"/>
      <c r="N855" s="35"/>
      <c r="O855" s="35"/>
      <c r="P855" s="35"/>
      <c r="Q855" s="35"/>
      <c r="R855" s="35"/>
      <c r="S855" s="35"/>
      <c r="T855" s="35"/>
      <c r="U855" s="35"/>
      <c r="V855" s="35"/>
      <c r="W855" s="35"/>
      <c r="X855" s="35"/>
      <c r="Y855" s="35"/>
      <c r="Z855" s="35"/>
      <c r="AA855" s="35"/>
      <c r="AB855" s="35"/>
      <c r="AC855" s="35"/>
      <c r="AD855" s="35"/>
      <c r="AE855" s="35"/>
      <c r="AF855" s="35"/>
      <c r="AG855" s="35"/>
      <c r="AH855" s="35"/>
      <c r="AI855" s="35"/>
      <c r="AJ855" s="35"/>
      <c r="AK855" s="35"/>
    </row>
    <row r="856" ht="12.75" customHeight="1">
      <c r="A856" s="35"/>
      <c r="B856" s="35"/>
      <c r="C856" s="35"/>
      <c r="D856" s="35"/>
      <c r="E856" s="35"/>
      <c r="F856" s="35"/>
      <c r="G856" s="35"/>
      <c r="H856" s="35"/>
      <c r="I856" s="35"/>
      <c r="J856" s="35"/>
      <c r="K856" s="35"/>
      <c r="L856" s="35"/>
      <c r="M856" s="35"/>
      <c r="N856" s="35"/>
      <c r="O856" s="35"/>
      <c r="P856" s="35"/>
      <c r="Q856" s="35"/>
      <c r="R856" s="35"/>
      <c r="S856" s="35"/>
      <c r="T856" s="35"/>
      <c r="U856" s="35"/>
      <c r="V856" s="35"/>
      <c r="W856" s="35"/>
      <c r="X856" s="35"/>
      <c r="Y856" s="35"/>
      <c r="Z856" s="35"/>
      <c r="AA856" s="35"/>
      <c r="AB856" s="35"/>
      <c r="AC856" s="35"/>
      <c r="AD856" s="35"/>
      <c r="AE856" s="35"/>
      <c r="AF856" s="35"/>
      <c r="AG856" s="35"/>
      <c r="AH856" s="35"/>
      <c r="AI856" s="35"/>
      <c r="AJ856" s="35"/>
      <c r="AK856" s="35"/>
    </row>
    <row r="857" ht="12.75" customHeight="1">
      <c r="A857" s="35"/>
      <c r="B857" s="35"/>
      <c r="C857" s="35"/>
      <c r="D857" s="35"/>
      <c r="E857" s="35"/>
      <c r="F857" s="35"/>
      <c r="G857" s="35"/>
      <c r="H857" s="35"/>
      <c r="I857" s="35"/>
      <c r="J857" s="35"/>
      <c r="K857" s="35"/>
      <c r="L857" s="35"/>
      <c r="M857" s="35"/>
      <c r="N857" s="35"/>
      <c r="O857" s="35"/>
      <c r="P857" s="35"/>
      <c r="Q857" s="35"/>
      <c r="R857" s="35"/>
      <c r="S857" s="35"/>
      <c r="T857" s="35"/>
      <c r="U857" s="35"/>
      <c r="V857" s="35"/>
      <c r="W857" s="35"/>
      <c r="X857" s="35"/>
      <c r="Y857" s="35"/>
      <c r="Z857" s="35"/>
      <c r="AA857" s="35"/>
      <c r="AB857" s="35"/>
      <c r="AC857" s="35"/>
      <c r="AD857" s="35"/>
      <c r="AE857" s="35"/>
      <c r="AF857" s="35"/>
      <c r="AG857" s="35"/>
      <c r="AH857" s="35"/>
      <c r="AI857" s="35"/>
      <c r="AJ857" s="35"/>
      <c r="AK857" s="35"/>
    </row>
    <row r="858" ht="12.75" customHeight="1">
      <c r="A858" s="35"/>
      <c r="B858" s="35"/>
      <c r="C858" s="35"/>
      <c r="D858" s="35"/>
      <c r="E858" s="35"/>
      <c r="F858" s="35"/>
      <c r="G858" s="35"/>
      <c r="H858" s="35"/>
      <c r="I858" s="35"/>
      <c r="J858" s="35"/>
      <c r="K858" s="35"/>
      <c r="L858" s="35"/>
      <c r="M858" s="35"/>
      <c r="N858" s="35"/>
      <c r="O858" s="35"/>
      <c r="P858" s="35"/>
      <c r="Q858" s="35"/>
      <c r="R858" s="35"/>
      <c r="S858" s="35"/>
      <c r="T858" s="35"/>
      <c r="U858" s="35"/>
      <c r="V858" s="35"/>
      <c r="W858" s="35"/>
      <c r="X858" s="35"/>
      <c r="Y858" s="35"/>
      <c r="Z858" s="35"/>
      <c r="AA858" s="35"/>
      <c r="AB858" s="35"/>
      <c r="AC858" s="35"/>
      <c r="AD858" s="35"/>
      <c r="AE858" s="35"/>
      <c r="AF858" s="35"/>
      <c r="AG858" s="35"/>
      <c r="AH858" s="35"/>
      <c r="AI858" s="35"/>
      <c r="AJ858" s="35"/>
      <c r="AK858" s="35"/>
    </row>
    <row r="859" ht="12.75" customHeight="1">
      <c r="A859" s="35"/>
      <c r="B859" s="35"/>
      <c r="C859" s="35"/>
      <c r="D859" s="35"/>
      <c r="E859" s="35"/>
      <c r="F859" s="35"/>
      <c r="G859" s="35"/>
      <c r="H859" s="35"/>
      <c r="I859" s="35"/>
      <c r="J859" s="35"/>
      <c r="K859" s="35"/>
      <c r="L859" s="35"/>
      <c r="M859" s="35"/>
      <c r="N859" s="35"/>
      <c r="O859" s="35"/>
      <c r="P859" s="35"/>
      <c r="Q859" s="35"/>
      <c r="R859" s="35"/>
      <c r="S859" s="35"/>
      <c r="T859" s="35"/>
      <c r="U859" s="35"/>
      <c r="V859" s="35"/>
      <c r="W859" s="35"/>
      <c r="X859" s="35"/>
      <c r="Y859" s="35"/>
      <c r="Z859" s="35"/>
      <c r="AA859" s="35"/>
      <c r="AB859" s="35"/>
      <c r="AC859" s="35"/>
      <c r="AD859" s="35"/>
      <c r="AE859" s="35"/>
      <c r="AF859" s="35"/>
      <c r="AG859" s="35"/>
      <c r="AH859" s="35"/>
      <c r="AI859" s="35"/>
      <c r="AJ859" s="35"/>
      <c r="AK859" s="35"/>
    </row>
    <row r="860" ht="12.75" customHeight="1">
      <c r="A860" s="35"/>
      <c r="B860" s="35"/>
      <c r="C860" s="35"/>
      <c r="D860" s="35"/>
      <c r="E860" s="35"/>
      <c r="F860" s="35"/>
      <c r="G860" s="35"/>
      <c r="H860" s="35"/>
      <c r="I860" s="35"/>
      <c r="J860" s="35"/>
      <c r="K860" s="35"/>
      <c r="L860" s="35"/>
      <c r="M860" s="35"/>
      <c r="N860" s="35"/>
      <c r="O860" s="35"/>
      <c r="P860" s="35"/>
      <c r="Q860" s="35"/>
      <c r="R860" s="35"/>
      <c r="S860" s="35"/>
      <c r="T860" s="35"/>
      <c r="U860" s="35"/>
      <c r="V860" s="35"/>
      <c r="W860" s="35"/>
      <c r="X860" s="35"/>
      <c r="Y860" s="35"/>
      <c r="Z860" s="35"/>
      <c r="AA860" s="35"/>
      <c r="AB860" s="35"/>
      <c r="AC860" s="35"/>
      <c r="AD860" s="35"/>
      <c r="AE860" s="35"/>
      <c r="AF860" s="35"/>
      <c r="AG860" s="35"/>
      <c r="AH860" s="35"/>
      <c r="AI860" s="35"/>
      <c r="AJ860" s="35"/>
      <c r="AK860" s="35"/>
    </row>
    <row r="861" ht="12.75" customHeight="1">
      <c r="A861" s="35"/>
      <c r="B861" s="35"/>
      <c r="C861" s="35"/>
      <c r="D861" s="35"/>
      <c r="E861" s="35"/>
      <c r="F861" s="35"/>
      <c r="G861" s="35"/>
      <c r="H861" s="35"/>
      <c r="I861" s="35"/>
      <c r="J861" s="35"/>
      <c r="K861" s="35"/>
      <c r="L861" s="35"/>
      <c r="M861" s="35"/>
      <c r="N861" s="35"/>
      <c r="O861" s="35"/>
      <c r="P861" s="35"/>
      <c r="Q861" s="35"/>
      <c r="R861" s="35"/>
      <c r="S861" s="35"/>
      <c r="T861" s="35"/>
      <c r="U861" s="35"/>
      <c r="V861" s="35"/>
      <c r="W861" s="35"/>
      <c r="X861" s="35"/>
      <c r="Y861" s="35"/>
      <c r="Z861" s="35"/>
      <c r="AA861" s="35"/>
      <c r="AB861" s="35"/>
      <c r="AC861" s="35"/>
      <c r="AD861" s="35"/>
      <c r="AE861" s="35"/>
      <c r="AF861" s="35"/>
      <c r="AG861" s="35"/>
      <c r="AH861" s="35"/>
      <c r="AI861" s="35"/>
      <c r="AJ861" s="35"/>
      <c r="AK861" s="35"/>
    </row>
    <row r="862" ht="12.75" customHeight="1">
      <c r="A862" s="35"/>
      <c r="B862" s="35"/>
      <c r="C862" s="35"/>
      <c r="D862" s="35"/>
      <c r="E862" s="35"/>
      <c r="F862" s="35"/>
      <c r="G862" s="35"/>
      <c r="H862" s="35"/>
      <c r="I862" s="35"/>
      <c r="J862" s="35"/>
      <c r="K862" s="35"/>
      <c r="L862" s="35"/>
      <c r="M862" s="35"/>
      <c r="N862" s="35"/>
      <c r="O862" s="35"/>
      <c r="P862" s="35"/>
      <c r="Q862" s="35"/>
      <c r="R862" s="35"/>
      <c r="S862" s="35"/>
      <c r="T862" s="35"/>
      <c r="U862" s="35"/>
      <c r="V862" s="35"/>
      <c r="W862" s="35"/>
      <c r="X862" s="35"/>
      <c r="Y862" s="35"/>
      <c r="Z862" s="35"/>
      <c r="AA862" s="35"/>
      <c r="AB862" s="35"/>
      <c r="AC862" s="35"/>
      <c r="AD862" s="35"/>
      <c r="AE862" s="35"/>
      <c r="AF862" s="35"/>
      <c r="AG862" s="35"/>
      <c r="AH862" s="35"/>
      <c r="AI862" s="35"/>
      <c r="AJ862" s="35"/>
      <c r="AK862" s="35"/>
    </row>
    <row r="863" ht="12.75" customHeight="1">
      <c r="A863" s="35"/>
      <c r="B863" s="35"/>
      <c r="C863" s="35"/>
      <c r="D863" s="35"/>
      <c r="E863" s="35"/>
      <c r="F863" s="35"/>
      <c r="G863" s="35"/>
      <c r="H863" s="35"/>
      <c r="I863" s="35"/>
      <c r="J863" s="35"/>
      <c r="K863" s="35"/>
      <c r="L863" s="35"/>
      <c r="M863" s="35"/>
      <c r="N863" s="35"/>
      <c r="O863" s="35"/>
      <c r="P863" s="35"/>
      <c r="Q863" s="35"/>
      <c r="R863" s="35"/>
      <c r="S863" s="35"/>
      <c r="T863" s="35"/>
      <c r="U863" s="35"/>
      <c r="V863" s="35"/>
      <c r="W863" s="35"/>
      <c r="X863" s="35"/>
      <c r="Y863" s="35"/>
      <c r="Z863" s="35"/>
      <c r="AA863" s="35"/>
      <c r="AB863" s="35"/>
      <c r="AC863" s="35"/>
      <c r="AD863" s="35"/>
      <c r="AE863" s="35"/>
      <c r="AF863" s="35"/>
      <c r="AG863" s="35"/>
      <c r="AH863" s="35"/>
      <c r="AI863" s="35"/>
      <c r="AJ863" s="35"/>
      <c r="AK863" s="35"/>
    </row>
    <row r="864" ht="12.75" customHeight="1">
      <c r="A864" s="35"/>
      <c r="B864" s="35"/>
      <c r="C864" s="35"/>
      <c r="D864" s="35"/>
      <c r="E864" s="35"/>
      <c r="F864" s="35"/>
      <c r="G864" s="35"/>
      <c r="H864" s="35"/>
      <c r="I864" s="35"/>
      <c r="J864" s="35"/>
      <c r="K864" s="35"/>
      <c r="L864" s="35"/>
      <c r="M864" s="35"/>
      <c r="N864" s="35"/>
      <c r="O864" s="35"/>
      <c r="P864" s="35"/>
      <c r="Q864" s="35"/>
      <c r="R864" s="35"/>
      <c r="S864" s="35"/>
      <c r="T864" s="35"/>
      <c r="U864" s="35"/>
      <c r="V864" s="35"/>
      <c r="W864" s="35"/>
      <c r="X864" s="35"/>
      <c r="Y864" s="35"/>
      <c r="Z864" s="35"/>
      <c r="AA864" s="35"/>
      <c r="AB864" s="35"/>
      <c r="AC864" s="35"/>
      <c r="AD864" s="35"/>
      <c r="AE864" s="35"/>
      <c r="AF864" s="35"/>
      <c r="AG864" s="35"/>
      <c r="AH864" s="35"/>
      <c r="AI864" s="35"/>
      <c r="AJ864" s="35"/>
      <c r="AK864" s="35"/>
    </row>
    <row r="865" ht="12.75" customHeight="1">
      <c r="A865" s="35"/>
      <c r="B865" s="35"/>
      <c r="C865" s="35"/>
      <c r="D865" s="35"/>
      <c r="E865" s="35"/>
      <c r="F865" s="35"/>
      <c r="G865" s="35"/>
      <c r="H865" s="35"/>
      <c r="I865" s="35"/>
      <c r="J865" s="35"/>
      <c r="K865" s="35"/>
      <c r="L865" s="35"/>
      <c r="M865" s="35"/>
      <c r="N865" s="35"/>
      <c r="O865" s="35"/>
      <c r="P865" s="35"/>
      <c r="Q865" s="35"/>
      <c r="R865" s="35"/>
      <c r="S865" s="35"/>
      <c r="T865" s="35"/>
      <c r="U865" s="35"/>
      <c r="V865" s="35"/>
      <c r="W865" s="35"/>
      <c r="X865" s="35"/>
      <c r="Y865" s="35"/>
      <c r="Z865" s="35"/>
      <c r="AA865" s="35"/>
      <c r="AB865" s="35"/>
      <c r="AC865" s="35"/>
      <c r="AD865" s="35"/>
      <c r="AE865" s="35"/>
      <c r="AF865" s="35"/>
      <c r="AG865" s="35"/>
      <c r="AH865" s="35"/>
      <c r="AI865" s="35"/>
      <c r="AJ865" s="35"/>
      <c r="AK865" s="35"/>
    </row>
    <row r="866" ht="12.75" customHeight="1">
      <c r="A866" s="35"/>
      <c r="B866" s="35"/>
      <c r="C866" s="35"/>
      <c r="D866" s="35"/>
      <c r="E866" s="35"/>
      <c r="F866" s="35"/>
      <c r="G866" s="35"/>
      <c r="H866" s="35"/>
      <c r="I866" s="35"/>
      <c r="J866" s="35"/>
      <c r="K866" s="35"/>
      <c r="L866" s="35"/>
      <c r="M866" s="35"/>
      <c r="N866" s="35"/>
      <c r="O866" s="35"/>
      <c r="P866" s="35"/>
      <c r="Q866" s="35"/>
      <c r="R866" s="35"/>
      <c r="S866" s="35"/>
      <c r="T866" s="35"/>
      <c r="U866" s="35"/>
      <c r="V866" s="35"/>
      <c r="W866" s="35"/>
      <c r="X866" s="35"/>
      <c r="Y866" s="35"/>
      <c r="Z866" s="35"/>
      <c r="AA866" s="35"/>
      <c r="AB866" s="35"/>
      <c r="AC866" s="35"/>
      <c r="AD866" s="35"/>
      <c r="AE866" s="35"/>
      <c r="AF866" s="35"/>
      <c r="AG866" s="35"/>
      <c r="AH866" s="35"/>
      <c r="AI866" s="35"/>
      <c r="AJ866" s="35"/>
      <c r="AK866" s="35"/>
    </row>
    <row r="867" ht="12.75" customHeight="1">
      <c r="A867" s="35"/>
      <c r="B867" s="35"/>
      <c r="C867" s="35"/>
      <c r="D867" s="35"/>
      <c r="E867" s="35"/>
      <c r="F867" s="35"/>
      <c r="G867" s="35"/>
      <c r="H867" s="35"/>
      <c r="I867" s="35"/>
      <c r="J867" s="35"/>
      <c r="K867" s="35"/>
      <c r="L867" s="35"/>
      <c r="M867" s="35"/>
      <c r="N867" s="35"/>
      <c r="O867" s="35"/>
      <c r="P867" s="35"/>
      <c r="Q867" s="35"/>
      <c r="R867" s="35"/>
      <c r="S867" s="35"/>
      <c r="T867" s="35"/>
      <c r="U867" s="35"/>
      <c r="V867" s="35"/>
      <c r="W867" s="35"/>
      <c r="X867" s="35"/>
      <c r="Y867" s="35"/>
      <c r="Z867" s="35"/>
      <c r="AA867" s="35"/>
      <c r="AB867" s="35"/>
      <c r="AC867" s="35"/>
      <c r="AD867" s="35"/>
      <c r="AE867" s="35"/>
      <c r="AF867" s="35"/>
      <c r="AG867" s="35"/>
      <c r="AH867" s="35"/>
      <c r="AI867" s="35"/>
      <c r="AJ867" s="35"/>
      <c r="AK867" s="35"/>
    </row>
    <row r="868" ht="12.75" customHeight="1">
      <c r="A868" s="35"/>
      <c r="B868" s="35"/>
      <c r="C868" s="35"/>
      <c r="D868" s="35"/>
      <c r="E868" s="35"/>
      <c r="F868" s="35"/>
      <c r="G868" s="35"/>
      <c r="H868" s="35"/>
      <c r="I868" s="35"/>
      <c r="J868" s="35"/>
      <c r="K868" s="35"/>
      <c r="L868" s="35"/>
      <c r="M868" s="35"/>
      <c r="N868" s="35"/>
      <c r="O868" s="35"/>
      <c r="P868" s="35"/>
      <c r="Q868" s="35"/>
      <c r="R868" s="35"/>
      <c r="S868" s="35"/>
      <c r="T868" s="35"/>
      <c r="U868" s="35"/>
      <c r="V868" s="35"/>
      <c r="W868" s="35"/>
      <c r="X868" s="35"/>
      <c r="Y868" s="35"/>
      <c r="Z868" s="35"/>
      <c r="AA868" s="35"/>
      <c r="AB868" s="35"/>
      <c r="AC868" s="35"/>
      <c r="AD868" s="35"/>
      <c r="AE868" s="35"/>
      <c r="AF868" s="35"/>
      <c r="AG868" s="35"/>
      <c r="AH868" s="35"/>
      <c r="AI868" s="35"/>
      <c r="AJ868" s="35"/>
      <c r="AK868" s="35"/>
    </row>
    <row r="869" ht="12.75" customHeight="1">
      <c r="A869" s="35"/>
      <c r="B869" s="35"/>
      <c r="C869" s="35"/>
      <c r="D869" s="35"/>
      <c r="E869" s="35"/>
      <c r="F869" s="35"/>
      <c r="G869" s="35"/>
      <c r="H869" s="35"/>
      <c r="I869" s="35"/>
      <c r="J869" s="35"/>
      <c r="K869" s="35"/>
      <c r="L869" s="35"/>
      <c r="M869" s="35"/>
      <c r="N869" s="35"/>
      <c r="O869" s="35"/>
      <c r="P869" s="35"/>
      <c r="Q869" s="35"/>
      <c r="R869" s="35"/>
      <c r="S869" s="35"/>
      <c r="T869" s="35"/>
      <c r="U869" s="35"/>
      <c r="V869" s="35"/>
      <c r="W869" s="35"/>
      <c r="X869" s="35"/>
      <c r="Y869" s="35"/>
      <c r="Z869" s="35"/>
      <c r="AA869" s="35"/>
      <c r="AB869" s="35"/>
      <c r="AC869" s="35"/>
      <c r="AD869" s="35"/>
      <c r="AE869" s="35"/>
      <c r="AF869" s="35"/>
      <c r="AG869" s="35"/>
      <c r="AH869" s="35"/>
      <c r="AI869" s="35"/>
      <c r="AJ869" s="35"/>
      <c r="AK869" s="35"/>
    </row>
    <row r="870" ht="12.75" customHeight="1">
      <c r="A870" s="35"/>
      <c r="B870" s="35"/>
      <c r="C870" s="35"/>
      <c r="D870" s="35"/>
      <c r="E870" s="35"/>
      <c r="F870" s="35"/>
      <c r="G870" s="35"/>
      <c r="H870" s="35"/>
      <c r="I870" s="35"/>
      <c r="J870" s="35"/>
      <c r="K870" s="35"/>
      <c r="L870" s="35"/>
      <c r="M870" s="35"/>
      <c r="N870" s="35"/>
      <c r="O870" s="35"/>
      <c r="P870" s="35"/>
      <c r="Q870" s="35"/>
      <c r="R870" s="35"/>
      <c r="S870" s="35"/>
      <c r="T870" s="35"/>
      <c r="U870" s="35"/>
      <c r="V870" s="35"/>
      <c r="W870" s="35"/>
      <c r="X870" s="35"/>
      <c r="Y870" s="35"/>
      <c r="Z870" s="35"/>
      <c r="AA870" s="35"/>
      <c r="AB870" s="35"/>
      <c r="AC870" s="35"/>
      <c r="AD870" s="35"/>
      <c r="AE870" s="35"/>
      <c r="AF870" s="35"/>
      <c r="AG870" s="35"/>
      <c r="AH870" s="35"/>
      <c r="AI870" s="35"/>
      <c r="AJ870" s="35"/>
      <c r="AK870" s="35"/>
    </row>
    <row r="871" ht="12.75" customHeight="1">
      <c r="A871" s="35"/>
      <c r="B871" s="35"/>
      <c r="C871" s="35"/>
      <c r="D871" s="35"/>
      <c r="E871" s="35"/>
      <c r="F871" s="35"/>
      <c r="G871" s="35"/>
      <c r="H871" s="35"/>
      <c r="I871" s="35"/>
      <c r="J871" s="35"/>
      <c r="K871" s="35"/>
      <c r="L871" s="35"/>
      <c r="M871" s="35"/>
      <c r="N871" s="35"/>
      <c r="O871" s="35"/>
      <c r="P871" s="35"/>
      <c r="Q871" s="35"/>
      <c r="R871" s="35"/>
      <c r="S871" s="35"/>
      <c r="T871" s="35"/>
      <c r="U871" s="35"/>
      <c r="V871" s="35"/>
      <c r="W871" s="35"/>
      <c r="X871" s="35"/>
      <c r="Y871" s="35"/>
      <c r="Z871" s="35"/>
      <c r="AA871" s="35"/>
      <c r="AB871" s="35"/>
      <c r="AC871" s="35"/>
      <c r="AD871" s="35"/>
      <c r="AE871" s="35"/>
      <c r="AF871" s="35"/>
      <c r="AG871" s="35"/>
      <c r="AH871" s="35"/>
      <c r="AI871" s="35"/>
      <c r="AJ871" s="35"/>
      <c r="AK871" s="35"/>
    </row>
    <row r="872" ht="12.75" customHeight="1">
      <c r="A872" s="35"/>
      <c r="B872" s="35"/>
      <c r="C872" s="35"/>
      <c r="D872" s="35"/>
      <c r="E872" s="35"/>
      <c r="F872" s="35"/>
      <c r="G872" s="35"/>
      <c r="H872" s="35"/>
      <c r="I872" s="35"/>
      <c r="J872" s="35"/>
      <c r="K872" s="35"/>
      <c r="L872" s="35"/>
      <c r="M872" s="35"/>
      <c r="N872" s="35"/>
      <c r="O872" s="35"/>
      <c r="P872" s="35"/>
      <c r="Q872" s="35"/>
      <c r="R872" s="35"/>
      <c r="S872" s="35"/>
      <c r="T872" s="35"/>
      <c r="U872" s="35"/>
      <c r="V872" s="35"/>
      <c r="W872" s="35"/>
      <c r="X872" s="35"/>
      <c r="Y872" s="35"/>
      <c r="Z872" s="35"/>
      <c r="AA872" s="35"/>
      <c r="AB872" s="35"/>
      <c r="AC872" s="35"/>
      <c r="AD872" s="35"/>
      <c r="AE872" s="35"/>
      <c r="AF872" s="35"/>
      <c r="AG872" s="35"/>
      <c r="AH872" s="35"/>
      <c r="AI872" s="35"/>
      <c r="AJ872" s="35"/>
      <c r="AK872" s="35"/>
    </row>
    <row r="873" ht="12.75" customHeight="1">
      <c r="A873" s="35"/>
      <c r="B873" s="35"/>
      <c r="C873" s="35"/>
      <c r="D873" s="35"/>
      <c r="E873" s="35"/>
      <c r="F873" s="35"/>
      <c r="G873" s="35"/>
      <c r="H873" s="35"/>
      <c r="I873" s="35"/>
      <c r="J873" s="35"/>
      <c r="K873" s="35"/>
      <c r="L873" s="35"/>
      <c r="M873" s="35"/>
      <c r="N873" s="35"/>
      <c r="O873" s="35"/>
      <c r="P873" s="35"/>
      <c r="Q873" s="35"/>
      <c r="R873" s="35"/>
      <c r="S873" s="35"/>
      <c r="T873" s="35"/>
      <c r="U873" s="35"/>
      <c r="V873" s="35"/>
      <c r="W873" s="35"/>
      <c r="X873" s="35"/>
      <c r="Y873" s="35"/>
      <c r="Z873" s="35"/>
      <c r="AA873" s="35"/>
      <c r="AB873" s="35"/>
      <c r="AC873" s="35"/>
      <c r="AD873" s="35"/>
      <c r="AE873" s="35"/>
      <c r="AF873" s="35"/>
      <c r="AG873" s="35"/>
      <c r="AH873" s="35"/>
      <c r="AI873" s="35"/>
      <c r="AJ873" s="35"/>
      <c r="AK873" s="35"/>
    </row>
    <row r="874" ht="12.75" customHeight="1">
      <c r="A874" s="35"/>
      <c r="B874" s="35"/>
      <c r="C874" s="35"/>
      <c r="D874" s="35"/>
      <c r="E874" s="35"/>
      <c r="F874" s="35"/>
      <c r="G874" s="35"/>
      <c r="H874" s="35"/>
      <c r="I874" s="35"/>
      <c r="J874" s="35"/>
      <c r="K874" s="35"/>
      <c r="L874" s="35"/>
      <c r="M874" s="35"/>
      <c r="N874" s="35"/>
      <c r="O874" s="35"/>
      <c r="P874" s="35"/>
      <c r="Q874" s="35"/>
      <c r="R874" s="35"/>
      <c r="S874" s="35"/>
      <c r="T874" s="35"/>
      <c r="U874" s="35"/>
      <c r="V874" s="35"/>
      <c r="W874" s="35"/>
      <c r="X874" s="35"/>
      <c r="Y874" s="35"/>
      <c r="Z874" s="35"/>
      <c r="AA874" s="35"/>
      <c r="AB874" s="35"/>
      <c r="AC874" s="35"/>
      <c r="AD874" s="35"/>
      <c r="AE874" s="35"/>
      <c r="AF874" s="35"/>
      <c r="AG874" s="35"/>
      <c r="AH874" s="35"/>
      <c r="AI874" s="35"/>
      <c r="AJ874" s="35"/>
      <c r="AK874" s="35"/>
    </row>
    <row r="875" ht="12.75" customHeight="1">
      <c r="A875" s="35"/>
      <c r="B875" s="35"/>
      <c r="C875" s="35"/>
      <c r="D875" s="35"/>
      <c r="E875" s="35"/>
      <c r="F875" s="35"/>
      <c r="G875" s="35"/>
      <c r="H875" s="35"/>
      <c r="I875" s="35"/>
      <c r="J875" s="35"/>
      <c r="K875" s="35"/>
      <c r="L875" s="35"/>
      <c r="M875" s="35"/>
      <c r="N875" s="35"/>
      <c r="O875" s="35"/>
      <c r="P875" s="35"/>
      <c r="Q875" s="35"/>
      <c r="R875" s="35"/>
      <c r="S875" s="35"/>
      <c r="T875" s="35"/>
      <c r="U875" s="35"/>
      <c r="V875" s="35"/>
      <c r="W875" s="35"/>
      <c r="X875" s="35"/>
      <c r="Y875" s="35"/>
      <c r="Z875" s="35"/>
      <c r="AA875" s="35"/>
      <c r="AB875" s="35"/>
      <c r="AC875" s="35"/>
      <c r="AD875" s="35"/>
      <c r="AE875" s="35"/>
      <c r="AF875" s="35"/>
      <c r="AG875" s="35"/>
      <c r="AH875" s="35"/>
      <c r="AI875" s="35"/>
      <c r="AJ875" s="35"/>
      <c r="AK875" s="35"/>
    </row>
    <row r="876" ht="12.75" customHeight="1">
      <c r="A876" s="35"/>
      <c r="B876" s="35"/>
      <c r="C876" s="35"/>
      <c r="D876" s="35"/>
      <c r="E876" s="35"/>
      <c r="F876" s="35"/>
      <c r="G876" s="35"/>
      <c r="H876" s="35"/>
      <c r="I876" s="35"/>
      <c r="J876" s="35"/>
      <c r="K876" s="35"/>
      <c r="L876" s="35"/>
      <c r="M876" s="35"/>
      <c r="N876" s="35"/>
      <c r="O876" s="35"/>
      <c r="P876" s="35"/>
      <c r="Q876" s="35"/>
      <c r="R876" s="35"/>
      <c r="S876" s="35"/>
      <c r="T876" s="35"/>
      <c r="U876" s="35"/>
      <c r="V876" s="35"/>
      <c r="W876" s="35"/>
      <c r="X876" s="35"/>
      <c r="Y876" s="35"/>
      <c r="Z876" s="35"/>
      <c r="AA876" s="35"/>
      <c r="AB876" s="35"/>
      <c r="AC876" s="35"/>
      <c r="AD876" s="35"/>
      <c r="AE876" s="35"/>
      <c r="AF876" s="35"/>
      <c r="AG876" s="35"/>
      <c r="AH876" s="35"/>
      <c r="AI876" s="35"/>
      <c r="AJ876" s="35"/>
      <c r="AK876" s="35"/>
    </row>
    <row r="877" ht="12.75" customHeight="1">
      <c r="A877" s="35"/>
      <c r="B877" s="35"/>
      <c r="C877" s="35"/>
      <c r="D877" s="35"/>
      <c r="E877" s="35"/>
      <c r="F877" s="35"/>
      <c r="G877" s="35"/>
      <c r="H877" s="35"/>
      <c r="I877" s="35"/>
      <c r="J877" s="35"/>
      <c r="K877" s="35"/>
      <c r="L877" s="35"/>
      <c r="M877" s="35"/>
      <c r="N877" s="35"/>
      <c r="O877" s="35"/>
      <c r="P877" s="35"/>
      <c r="Q877" s="35"/>
      <c r="R877" s="35"/>
      <c r="S877" s="35"/>
      <c r="T877" s="35"/>
      <c r="U877" s="35"/>
      <c r="V877" s="35"/>
      <c r="W877" s="35"/>
      <c r="X877" s="35"/>
      <c r="Y877" s="35"/>
      <c r="Z877" s="35"/>
      <c r="AA877" s="35"/>
      <c r="AB877" s="35"/>
      <c r="AC877" s="35"/>
      <c r="AD877" s="35"/>
      <c r="AE877" s="35"/>
      <c r="AF877" s="35"/>
      <c r="AG877" s="35"/>
      <c r="AH877" s="35"/>
      <c r="AI877" s="35"/>
      <c r="AJ877" s="35"/>
      <c r="AK877" s="35"/>
    </row>
    <row r="878" ht="12.75" customHeight="1">
      <c r="A878" s="35"/>
      <c r="B878" s="35"/>
      <c r="C878" s="35"/>
      <c r="D878" s="35"/>
      <c r="E878" s="35"/>
      <c r="F878" s="35"/>
      <c r="G878" s="35"/>
      <c r="H878" s="35"/>
      <c r="I878" s="35"/>
      <c r="J878" s="35"/>
      <c r="K878" s="35"/>
      <c r="L878" s="35"/>
      <c r="M878" s="35"/>
      <c r="N878" s="35"/>
      <c r="O878" s="35"/>
      <c r="P878" s="35"/>
      <c r="Q878" s="35"/>
      <c r="R878" s="35"/>
      <c r="S878" s="35"/>
      <c r="T878" s="35"/>
      <c r="U878" s="35"/>
      <c r="V878" s="35"/>
      <c r="W878" s="35"/>
      <c r="X878" s="35"/>
      <c r="Y878" s="35"/>
      <c r="Z878" s="35"/>
      <c r="AA878" s="35"/>
      <c r="AB878" s="35"/>
      <c r="AC878" s="35"/>
      <c r="AD878" s="35"/>
      <c r="AE878" s="35"/>
      <c r="AF878" s="35"/>
      <c r="AG878" s="35"/>
      <c r="AH878" s="35"/>
      <c r="AI878" s="35"/>
      <c r="AJ878" s="35"/>
      <c r="AK878" s="35"/>
    </row>
    <row r="879" ht="12.75" customHeight="1">
      <c r="A879" s="35"/>
      <c r="B879" s="35"/>
      <c r="C879" s="35"/>
      <c r="D879" s="35"/>
      <c r="E879" s="35"/>
      <c r="F879" s="35"/>
      <c r="G879" s="35"/>
      <c r="H879" s="35"/>
      <c r="I879" s="35"/>
      <c r="J879" s="35"/>
      <c r="K879" s="35"/>
      <c r="L879" s="35"/>
      <c r="M879" s="35"/>
      <c r="N879" s="35"/>
      <c r="O879" s="35"/>
      <c r="P879" s="35"/>
      <c r="Q879" s="35"/>
      <c r="R879" s="35"/>
      <c r="S879" s="35"/>
      <c r="T879" s="35"/>
      <c r="U879" s="35"/>
      <c r="V879" s="35"/>
      <c r="W879" s="35"/>
      <c r="X879" s="35"/>
      <c r="Y879" s="35"/>
      <c r="Z879" s="35"/>
      <c r="AA879" s="35"/>
      <c r="AB879" s="35"/>
      <c r="AC879" s="35"/>
      <c r="AD879" s="35"/>
      <c r="AE879" s="35"/>
      <c r="AF879" s="35"/>
      <c r="AG879" s="35"/>
      <c r="AH879" s="35"/>
      <c r="AI879" s="35"/>
      <c r="AJ879" s="35"/>
      <c r="AK879" s="35"/>
    </row>
    <row r="880" ht="12.75" customHeight="1">
      <c r="A880" s="35"/>
      <c r="B880" s="35"/>
      <c r="C880" s="35"/>
      <c r="D880" s="35"/>
      <c r="E880" s="35"/>
      <c r="F880" s="35"/>
      <c r="G880" s="35"/>
      <c r="H880" s="35"/>
      <c r="I880" s="35"/>
      <c r="J880" s="35"/>
      <c r="K880" s="35"/>
      <c r="L880" s="35"/>
      <c r="M880" s="35"/>
      <c r="N880" s="35"/>
      <c r="O880" s="35"/>
      <c r="P880" s="35"/>
      <c r="Q880" s="35"/>
      <c r="R880" s="35"/>
      <c r="S880" s="35"/>
      <c r="T880" s="35"/>
      <c r="U880" s="35"/>
      <c r="V880" s="35"/>
      <c r="W880" s="35"/>
      <c r="X880" s="35"/>
      <c r="Y880" s="35"/>
      <c r="Z880" s="35"/>
      <c r="AA880" s="35"/>
      <c r="AB880" s="35"/>
      <c r="AC880" s="35"/>
      <c r="AD880" s="35"/>
      <c r="AE880" s="35"/>
      <c r="AF880" s="35"/>
      <c r="AG880" s="35"/>
      <c r="AH880" s="35"/>
      <c r="AI880" s="35"/>
      <c r="AJ880" s="35"/>
      <c r="AK880" s="35"/>
    </row>
    <row r="881" ht="12.75" customHeight="1">
      <c r="A881" s="35"/>
      <c r="B881" s="35"/>
      <c r="C881" s="35"/>
      <c r="D881" s="35"/>
      <c r="E881" s="35"/>
      <c r="F881" s="35"/>
      <c r="G881" s="35"/>
      <c r="H881" s="35"/>
      <c r="I881" s="35"/>
      <c r="J881" s="35"/>
      <c r="K881" s="35"/>
      <c r="L881" s="35"/>
      <c r="M881" s="35"/>
      <c r="N881" s="35"/>
      <c r="O881" s="35"/>
      <c r="P881" s="35"/>
      <c r="Q881" s="35"/>
      <c r="R881" s="35"/>
      <c r="S881" s="35"/>
      <c r="T881" s="35"/>
      <c r="U881" s="35"/>
      <c r="V881" s="35"/>
      <c r="W881" s="35"/>
      <c r="X881" s="35"/>
      <c r="Y881" s="35"/>
      <c r="Z881" s="35"/>
      <c r="AA881" s="35"/>
      <c r="AB881" s="35"/>
      <c r="AC881" s="35"/>
      <c r="AD881" s="35"/>
      <c r="AE881" s="35"/>
      <c r="AF881" s="35"/>
      <c r="AG881" s="35"/>
      <c r="AH881" s="35"/>
      <c r="AI881" s="35"/>
      <c r="AJ881" s="35"/>
      <c r="AK881" s="35"/>
    </row>
    <row r="882" ht="12.75" customHeight="1">
      <c r="A882" s="35"/>
      <c r="B882" s="35"/>
      <c r="C882" s="35"/>
      <c r="D882" s="35"/>
      <c r="E882" s="35"/>
      <c r="F882" s="35"/>
      <c r="G882" s="35"/>
      <c r="H882" s="35"/>
      <c r="I882" s="35"/>
      <c r="J882" s="35"/>
      <c r="K882" s="35"/>
      <c r="L882" s="35"/>
      <c r="M882" s="35"/>
      <c r="N882" s="35"/>
      <c r="O882" s="35"/>
      <c r="P882" s="35"/>
      <c r="Q882" s="35"/>
      <c r="R882" s="35"/>
      <c r="S882" s="35"/>
      <c r="T882" s="35"/>
      <c r="U882" s="35"/>
      <c r="V882" s="35"/>
      <c r="W882" s="35"/>
      <c r="X882" s="35"/>
      <c r="Y882" s="35"/>
      <c r="Z882" s="35"/>
      <c r="AA882" s="35"/>
      <c r="AB882" s="35"/>
      <c r="AC882" s="35"/>
      <c r="AD882" s="35"/>
      <c r="AE882" s="35"/>
      <c r="AF882" s="35"/>
      <c r="AG882" s="35"/>
      <c r="AH882" s="35"/>
      <c r="AI882" s="35"/>
      <c r="AJ882" s="35"/>
      <c r="AK882" s="35"/>
    </row>
    <row r="883" ht="12.75" customHeight="1">
      <c r="A883" s="35"/>
      <c r="B883" s="35"/>
      <c r="C883" s="35"/>
      <c r="D883" s="35"/>
      <c r="E883" s="35"/>
      <c r="F883" s="35"/>
      <c r="G883" s="35"/>
      <c r="H883" s="35"/>
      <c r="I883" s="35"/>
      <c r="J883" s="35"/>
      <c r="K883" s="35"/>
      <c r="L883" s="35"/>
      <c r="M883" s="35"/>
      <c r="N883" s="35"/>
      <c r="O883" s="35"/>
      <c r="P883" s="35"/>
      <c r="Q883" s="35"/>
      <c r="R883" s="35"/>
      <c r="S883" s="35"/>
      <c r="T883" s="35"/>
      <c r="U883" s="35"/>
      <c r="V883" s="35"/>
      <c r="W883" s="35"/>
      <c r="X883" s="35"/>
      <c r="Y883" s="35"/>
      <c r="Z883" s="35"/>
      <c r="AA883" s="35"/>
      <c r="AB883" s="35"/>
      <c r="AC883" s="35"/>
      <c r="AD883" s="35"/>
      <c r="AE883" s="35"/>
      <c r="AF883" s="35"/>
      <c r="AG883" s="35"/>
      <c r="AH883" s="35"/>
      <c r="AI883" s="35"/>
      <c r="AJ883" s="35"/>
      <c r="AK883" s="35"/>
    </row>
    <row r="884" ht="12.75" customHeight="1">
      <c r="A884" s="35"/>
      <c r="B884" s="35"/>
      <c r="C884" s="35"/>
      <c r="D884" s="35"/>
      <c r="E884" s="35"/>
      <c r="F884" s="35"/>
      <c r="G884" s="35"/>
      <c r="H884" s="35"/>
      <c r="I884" s="35"/>
      <c r="J884" s="35"/>
      <c r="K884" s="35"/>
      <c r="L884" s="35"/>
      <c r="M884" s="35"/>
      <c r="N884" s="35"/>
      <c r="O884" s="35"/>
      <c r="P884" s="35"/>
      <c r="Q884" s="35"/>
      <c r="R884" s="35"/>
      <c r="S884" s="35"/>
      <c r="T884" s="35"/>
      <c r="U884" s="35"/>
      <c r="V884" s="35"/>
      <c r="W884" s="35"/>
      <c r="X884" s="35"/>
      <c r="Y884" s="35"/>
      <c r="Z884" s="35"/>
      <c r="AA884" s="35"/>
      <c r="AB884" s="35"/>
      <c r="AC884" s="35"/>
      <c r="AD884" s="35"/>
      <c r="AE884" s="35"/>
      <c r="AF884" s="35"/>
      <c r="AG884" s="35"/>
      <c r="AH884" s="35"/>
      <c r="AI884" s="35"/>
      <c r="AJ884" s="35"/>
      <c r="AK884" s="35"/>
    </row>
    <row r="885" ht="12.75" customHeight="1">
      <c r="A885" s="35"/>
      <c r="B885" s="35"/>
      <c r="C885" s="35"/>
      <c r="D885" s="35"/>
      <c r="E885" s="35"/>
      <c r="F885" s="35"/>
      <c r="G885" s="35"/>
      <c r="H885" s="35"/>
      <c r="I885" s="35"/>
      <c r="J885" s="35"/>
      <c r="K885" s="35"/>
      <c r="L885" s="35"/>
      <c r="M885" s="35"/>
      <c r="N885" s="35"/>
      <c r="O885" s="35"/>
      <c r="P885" s="35"/>
      <c r="Q885" s="35"/>
      <c r="R885" s="35"/>
      <c r="S885" s="35"/>
      <c r="T885" s="35"/>
      <c r="U885" s="35"/>
      <c r="V885" s="35"/>
      <c r="W885" s="35"/>
      <c r="X885" s="35"/>
      <c r="Y885" s="35"/>
      <c r="Z885" s="35"/>
      <c r="AA885" s="35"/>
      <c r="AB885" s="35"/>
      <c r="AC885" s="35"/>
      <c r="AD885" s="35"/>
      <c r="AE885" s="35"/>
      <c r="AF885" s="35"/>
      <c r="AG885" s="35"/>
      <c r="AH885" s="35"/>
      <c r="AI885" s="35"/>
      <c r="AJ885" s="35"/>
      <c r="AK885" s="35"/>
    </row>
    <row r="886" ht="12.75" customHeight="1">
      <c r="A886" s="35"/>
      <c r="B886" s="35"/>
      <c r="C886" s="35"/>
      <c r="D886" s="35"/>
      <c r="E886" s="35"/>
      <c r="F886" s="35"/>
      <c r="G886" s="35"/>
      <c r="H886" s="35"/>
      <c r="I886" s="35"/>
      <c r="J886" s="35"/>
      <c r="K886" s="35"/>
      <c r="L886" s="35"/>
      <c r="M886" s="35"/>
      <c r="N886" s="35"/>
      <c r="O886" s="35"/>
      <c r="P886" s="35"/>
      <c r="Q886" s="35"/>
      <c r="R886" s="35"/>
      <c r="S886" s="35"/>
      <c r="T886" s="35"/>
      <c r="U886" s="35"/>
      <c r="V886" s="35"/>
      <c r="W886" s="35"/>
      <c r="X886" s="35"/>
      <c r="Y886" s="35"/>
      <c r="Z886" s="35"/>
      <c r="AA886" s="35"/>
      <c r="AB886" s="35"/>
      <c r="AC886" s="35"/>
      <c r="AD886" s="35"/>
      <c r="AE886" s="35"/>
      <c r="AF886" s="35"/>
      <c r="AG886" s="35"/>
      <c r="AH886" s="35"/>
      <c r="AI886" s="35"/>
      <c r="AJ886" s="35"/>
      <c r="AK886" s="35"/>
    </row>
    <row r="887" ht="12.75" customHeight="1">
      <c r="A887" s="35"/>
      <c r="B887" s="35"/>
      <c r="C887" s="35"/>
      <c r="D887" s="35"/>
      <c r="E887" s="35"/>
      <c r="F887" s="35"/>
      <c r="G887" s="35"/>
      <c r="H887" s="35"/>
      <c r="I887" s="35"/>
      <c r="J887" s="35"/>
      <c r="K887" s="35"/>
      <c r="L887" s="35"/>
      <c r="M887" s="35"/>
      <c r="N887" s="35"/>
      <c r="O887" s="35"/>
      <c r="P887" s="35"/>
      <c r="Q887" s="35"/>
      <c r="R887" s="35"/>
      <c r="S887" s="35"/>
      <c r="T887" s="35"/>
      <c r="U887" s="35"/>
      <c r="V887" s="35"/>
      <c r="W887" s="35"/>
      <c r="X887" s="35"/>
      <c r="Y887" s="35"/>
      <c r="Z887" s="35"/>
      <c r="AA887" s="35"/>
      <c r="AB887" s="35"/>
      <c r="AC887" s="35"/>
      <c r="AD887" s="35"/>
      <c r="AE887" s="35"/>
      <c r="AF887" s="35"/>
      <c r="AG887" s="35"/>
      <c r="AH887" s="35"/>
      <c r="AI887" s="35"/>
      <c r="AJ887" s="35"/>
      <c r="AK887" s="35"/>
    </row>
    <row r="888" ht="12.75" customHeight="1">
      <c r="A888" s="35"/>
      <c r="B888" s="35"/>
      <c r="C888" s="35"/>
      <c r="D888" s="35"/>
      <c r="E888" s="35"/>
      <c r="F888" s="35"/>
      <c r="G888" s="35"/>
      <c r="H888" s="35"/>
      <c r="I888" s="35"/>
      <c r="J888" s="35"/>
      <c r="K888" s="35"/>
      <c r="L888" s="35"/>
      <c r="M888" s="35"/>
      <c r="N888" s="35"/>
      <c r="O888" s="35"/>
      <c r="P888" s="35"/>
      <c r="Q888" s="35"/>
      <c r="R888" s="35"/>
      <c r="S888" s="35"/>
      <c r="T888" s="35"/>
      <c r="U888" s="35"/>
      <c r="V888" s="35"/>
      <c r="W888" s="35"/>
      <c r="X888" s="35"/>
      <c r="Y888" s="35"/>
      <c r="Z888" s="35"/>
      <c r="AA888" s="35"/>
      <c r="AB888" s="35"/>
      <c r="AC888" s="35"/>
      <c r="AD888" s="35"/>
      <c r="AE888" s="35"/>
      <c r="AF888" s="35"/>
      <c r="AG888" s="35"/>
      <c r="AH888" s="35"/>
      <c r="AI888" s="35"/>
      <c r="AJ888" s="35"/>
      <c r="AK888" s="35"/>
    </row>
    <row r="889" ht="12.75" customHeight="1">
      <c r="A889" s="35"/>
      <c r="B889" s="35"/>
      <c r="C889" s="35"/>
      <c r="D889" s="35"/>
      <c r="E889" s="35"/>
      <c r="F889" s="35"/>
      <c r="G889" s="35"/>
      <c r="H889" s="35"/>
      <c r="I889" s="35"/>
      <c r="J889" s="35"/>
      <c r="K889" s="35"/>
      <c r="L889" s="35"/>
      <c r="M889" s="35"/>
      <c r="N889" s="35"/>
      <c r="O889" s="35"/>
      <c r="P889" s="35"/>
      <c r="Q889" s="35"/>
      <c r="R889" s="35"/>
      <c r="S889" s="35"/>
      <c r="T889" s="35"/>
      <c r="U889" s="35"/>
      <c r="V889" s="35"/>
      <c r="W889" s="35"/>
      <c r="X889" s="35"/>
      <c r="Y889" s="35"/>
      <c r="Z889" s="35"/>
      <c r="AA889" s="35"/>
      <c r="AB889" s="35"/>
      <c r="AC889" s="35"/>
      <c r="AD889" s="35"/>
      <c r="AE889" s="35"/>
      <c r="AF889" s="35"/>
      <c r="AG889" s="35"/>
      <c r="AH889" s="35"/>
      <c r="AI889" s="35"/>
      <c r="AJ889" s="35"/>
      <c r="AK889" s="35"/>
    </row>
    <row r="890" ht="12.75" customHeight="1">
      <c r="A890" s="35"/>
      <c r="B890" s="35"/>
      <c r="C890" s="35"/>
      <c r="D890" s="35"/>
      <c r="E890" s="35"/>
      <c r="F890" s="35"/>
      <c r="G890" s="35"/>
      <c r="H890" s="35"/>
      <c r="I890" s="35"/>
      <c r="J890" s="35"/>
      <c r="K890" s="35"/>
      <c r="L890" s="35"/>
      <c r="M890" s="35"/>
      <c r="N890" s="35"/>
      <c r="O890" s="35"/>
      <c r="P890" s="35"/>
      <c r="Q890" s="35"/>
      <c r="R890" s="35"/>
      <c r="S890" s="35"/>
      <c r="T890" s="35"/>
      <c r="U890" s="35"/>
      <c r="V890" s="35"/>
      <c r="W890" s="35"/>
      <c r="X890" s="35"/>
      <c r="Y890" s="35"/>
      <c r="Z890" s="35"/>
      <c r="AA890" s="35"/>
      <c r="AB890" s="35"/>
      <c r="AC890" s="35"/>
      <c r="AD890" s="35"/>
      <c r="AE890" s="35"/>
      <c r="AF890" s="35"/>
      <c r="AG890" s="35"/>
      <c r="AH890" s="35"/>
      <c r="AI890" s="35"/>
      <c r="AJ890" s="35"/>
      <c r="AK890" s="35"/>
    </row>
    <row r="891" ht="12.75" customHeight="1">
      <c r="A891" s="35"/>
      <c r="B891" s="35"/>
      <c r="C891" s="35"/>
      <c r="D891" s="35"/>
      <c r="E891" s="35"/>
      <c r="F891" s="35"/>
      <c r="G891" s="35"/>
      <c r="H891" s="35"/>
      <c r="I891" s="35"/>
      <c r="J891" s="35"/>
      <c r="K891" s="35"/>
      <c r="L891" s="35"/>
      <c r="M891" s="35"/>
      <c r="N891" s="35"/>
      <c r="O891" s="35"/>
      <c r="P891" s="35"/>
      <c r="Q891" s="35"/>
      <c r="R891" s="35"/>
      <c r="S891" s="35"/>
      <c r="T891" s="35"/>
      <c r="U891" s="35"/>
      <c r="V891" s="35"/>
      <c r="W891" s="35"/>
      <c r="X891" s="35"/>
      <c r="Y891" s="35"/>
      <c r="Z891" s="35"/>
      <c r="AA891" s="35"/>
      <c r="AB891" s="35"/>
      <c r="AC891" s="35"/>
      <c r="AD891" s="35"/>
      <c r="AE891" s="35"/>
      <c r="AF891" s="35"/>
      <c r="AG891" s="35"/>
      <c r="AH891" s="35"/>
      <c r="AI891" s="35"/>
      <c r="AJ891" s="35"/>
      <c r="AK891" s="35"/>
    </row>
    <row r="892" ht="12.75" customHeight="1">
      <c r="A892" s="35"/>
      <c r="B892" s="35"/>
      <c r="C892" s="35"/>
      <c r="D892" s="35"/>
      <c r="E892" s="35"/>
      <c r="F892" s="35"/>
      <c r="G892" s="35"/>
      <c r="H892" s="35"/>
      <c r="I892" s="35"/>
      <c r="J892" s="35"/>
      <c r="K892" s="35"/>
      <c r="L892" s="35"/>
      <c r="M892" s="35"/>
      <c r="N892" s="35"/>
      <c r="O892" s="35"/>
      <c r="P892" s="35"/>
      <c r="Q892" s="35"/>
      <c r="R892" s="35"/>
      <c r="S892" s="35"/>
      <c r="T892" s="35"/>
      <c r="U892" s="35"/>
      <c r="V892" s="35"/>
      <c r="W892" s="35"/>
      <c r="X892" s="35"/>
      <c r="Y892" s="35"/>
      <c r="Z892" s="35"/>
      <c r="AA892" s="35"/>
      <c r="AB892" s="35"/>
      <c r="AC892" s="35"/>
      <c r="AD892" s="35"/>
      <c r="AE892" s="35"/>
      <c r="AF892" s="35"/>
      <c r="AG892" s="35"/>
      <c r="AH892" s="35"/>
      <c r="AI892" s="35"/>
      <c r="AJ892" s="35"/>
      <c r="AK892" s="35"/>
    </row>
    <row r="893" ht="12.75" customHeight="1">
      <c r="A893" s="35"/>
      <c r="B893" s="35"/>
      <c r="C893" s="35"/>
      <c r="D893" s="35"/>
      <c r="E893" s="35"/>
      <c r="F893" s="35"/>
      <c r="G893" s="35"/>
      <c r="H893" s="35"/>
      <c r="I893" s="35"/>
      <c r="J893" s="35"/>
      <c r="K893" s="35"/>
      <c r="L893" s="35"/>
      <c r="M893" s="35"/>
      <c r="N893" s="35"/>
      <c r="O893" s="35"/>
      <c r="P893" s="35"/>
      <c r="Q893" s="35"/>
      <c r="R893" s="35"/>
      <c r="S893" s="35"/>
      <c r="T893" s="35"/>
      <c r="U893" s="35"/>
      <c r="V893" s="35"/>
      <c r="W893" s="35"/>
      <c r="X893" s="35"/>
      <c r="Y893" s="35"/>
      <c r="Z893" s="35"/>
      <c r="AA893" s="35"/>
      <c r="AB893" s="35"/>
      <c r="AC893" s="35"/>
      <c r="AD893" s="35"/>
      <c r="AE893" s="35"/>
      <c r="AF893" s="35"/>
      <c r="AG893" s="35"/>
      <c r="AH893" s="35"/>
      <c r="AI893" s="35"/>
      <c r="AJ893" s="35"/>
      <c r="AK893" s="35"/>
    </row>
    <row r="894" ht="12.75" customHeight="1">
      <c r="A894" s="35"/>
      <c r="B894" s="35"/>
      <c r="C894" s="35"/>
      <c r="D894" s="35"/>
      <c r="E894" s="35"/>
      <c r="F894" s="35"/>
      <c r="G894" s="35"/>
      <c r="H894" s="35"/>
      <c r="I894" s="35"/>
      <c r="J894" s="35"/>
      <c r="K894" s="35"/>
      <c r="L894" s="35"/>
      <c r="M894" s="35"/>
      <c r="N894" s="35"/>
      <c r="O894" s="35"/>
      <c r="P894" s="35"/>
      <c r="Q894" s="35"/>
      <c r="R894" s="35"/>
      <c r="S894" s="35"/>
      <c r="T894" s="35"/>
      <c r="U894" s="35"/>
      <c r="V894" s="35"/>
      <c r="W894" s="35"/>
      <c r="X894" s="35"/>
      <c r="Y894" s="35"/>
      <c r="Z894" s="35"/>
      <c r="AA894" s="35"/>
      <c r="AB894" s="35"/>
      <c r="AC894" s="35"/>
      <c r="AD894" s="35"/>
      <c r="AE894" s="35"/>
      <c r="AF894" s="35"/>
      <c r="AG894" s="35"/>
      <c r="AH894" s="35"/>
      <c r="AI894" s="35"/>
      <c r="AJ894" s="35"/>
      <c r="AK894" s="35"/>
    </row>
    <row r="895" ht="12.75" customHeight="1">
      <c r="A895" s="35"/>
      <c r="B895" s="35"/>
      <c r="C895" s="35"/>
      <c r="D895" s="35"/>
      <c r="E895" s="35"/>
      <c r="F895" s="35"/>
      <c r="G895" s="35"/>
      <c r="H895" s="35"/>
      <c r="I895" s="35"/>
      <c r="J895" s="35"/>
      <c r="K895" s="35"/>
      <c r="L895" s="35"/>
      <c r="M895" s="35"/>
      <c r="N895" s="35"/>
      <c r="O895" s="35"/>
      <c r="P895" s="35"/>
      <c r="Q895" s="35"/>
      <c r="R895" s="35"/>
      <c r="S895" s="35"/>
      <c r="T895" s="35"/>
      <c r="U895" s="35"/>
      <c r="V895" s="35"/>
      <c r="W895" s="35"/>
      <c r="X895" s="35"/>
      <c r="Y895" s="35"/>
      <c r="Z895" s="35"/>
      <c r="AA895" s="35"/>
      <c r="AB895" s="35"/>
      <c r="AC895" s="35"/>
      <c r="AD895" s="35"/>
      <c r="AE895" s="35"/>
      <c r="AF895" s="35"/>
      <c r="AG895" s="35"/>
      <c r="AH895" s="35"/>
      <c r="AI895" s="35"/>
      <c r="AJ895" s="35"/>
      <c r="AK895" s="35"/>
    </row>
    <row r="896" ht="12.75" customHeight="1">
      <c r="A896" s="35"/>
      <c r="B896" s="35"/>
      <c r="C896" s="35"/>
      <c r="D896" s="35"/>
      <c r="E896" s="35"/>
      <c r="F896" s="35"/>
      <c r="G896" s="35"/>
      <c r="H896" s="35"/>
      <c r="I896" s="35"/>
      <c r="J896" s="35"/>
      <c r="K896" s="35"/>
      <c r="L896" s="35"/>
      <c r="M896" s="35"/>
      <c r="N896" s="35"/>
      <c r="O896" s="35"/>
      <c r="P896" s="35"/>
      <c r="Q896" s="35"/>
      <c r="R896" s="35"/>
      <c r="S896" s="35"/>
      <c r="T896" s="35"/>
      <c r="U896" s="35"/>
      <c r="V896" s="35"/>
      <c r="W896" s="35"/>
      <c r="X896" s="35"/>
      <c r="Y896" s="35"/>
      <c r="Z896" s="35"/>
      <c r="AA896" s="35"/>
      <c r="AB896" s="35"/>
      <c r="AC896" s="35"/>
      <c r="AD896" s="35"/>
      <c r="AE896" s="35"/>
      <c r="AF896" s="35"/>
      <c r="AG896" s="35"/>
      <c r="AH896" s="35"/>
      <c r="AI896" s="35"/>
      <c r="AJ896" s="35"/>
      <c r="AK896" s="35"/>
    </row>
    <row r="897" ht="12.75" customHeight="1">
      <c r="A897" s="35"/>
      <c r="B897" s="35"/>
      <c r="C897" s="35"/>
      <c r="D897" s="35"/>
      <c r="E897" s="35"/>
      <c r="F897" s="35"/>
      <c r="G897" s="35"/>
      <c r="H897" s="35"/>
      <c r="I897" s="35"/>
      <c r="J897" s="35"/>
      <c r="K897" s="35"/>
      <c r="L897" s="35"/>
      <c r="M897" s="35"/>
      <c r="N897" s="35"/>
      <c r="O897" s="35"/>
      <c r="P897" s="35"/>
      <c r="Q897" s="35"/>
      <c r="R897" s="35"/>
      <c r="S897" s="35"/>
      <c r="T897" s="35"/>
      <c r="U897" s="35"/>
      <c r="V897" s="35"/>
      <c r="W897" s="35"/>
      <c r="X897" s="35"/>
      <c r="Y897" s="35"/>
      <c r="Z897" s="35"/>
      <c r="AA897" s="35"/>
      <c r="AB897" s="35"/>
      <c r="AC897" s="35"/>
      <c r="AD897" s="35"/>
      <c r="AE897" s="35"/>
      <c r="AF897" s="35"/>
      <c r="AG897" s="35"/>
      <c r="AH897" s="35"/>
      <c r="AI897" s="35"/>
      <c r="AJ897" s="35"/>
      <c r="AK897" s="35"/>
    </row>
    <row r="898" ht="12.75" customHeight="1">
      <c r="A898" s="35"/>
      <c r="B898" s="35"/>
      <c r="C898" s="35"/>
      <c r="D898" s="35"/>
      <c r="E898" s="35"/>
      <c r="F898" s="35"/>
      <c r="G898" s="35"/>
      <c r="H898" s="35"/>
      <c r="I898" s="35"/>
      <c r="J898" s="35"/>
      <c r="K898" s="35"/>
      <c r="L898" s="35"/>
      <c r="M898" s="35"/>
      <c r="N898" s="35"/>
      <c r="O898" s="35"/>
      <c r="P898" s="35"/>
      <c r="Q898" s="35"/>
      <c r="R898" s="35"/>
      <c r="S898" s="35"/>
      <c r="T898" s="35"/>
      <c r="U898" s="35"/>
      <c r="V898" s="35"/>
      <c r="W898" s="35"/>
      <c r="X898" s="35"/>
      <c r="Y898" s="35"/>
      <c r="Z898" s="35"/>
      <c r="AA898" s="35"/>
      <c r="AB898" s="35"/>
      <c r="AC898" s="35"/>
      <c r="AD898" s="35"/>
      <c r="AE898" s="35"/>
      <c r="AF898" s="35"/>
      <c r="AG898" s="35"/>
      <c r="AH898" s="35"/>
      <c r="AI898" s="35"/>
      <c r="AJ898" s="35"/>
      <c r="AK898" s="35"/>
    </row>
    <row r="899" ht="12.75" customHeight="1">
      <c r="A899" s="35"/>
      <c r="B899" s="35"/>
      <c r="C899" s="35"/>
      <c r="D899" s="35"/>
      <c r="E899" s="35"/>
      <c r="F899" s="35"/>
      <c r="G899" s="35"/>
      <c r="H899" s="35"/>
      <c r="I899" s="35"/>
      <c r="J899" s="35"/>
      <c r="K899" s="35"/>
      <c r="L899" s="35"/>
      <c r="M899" s="35"/>
      <c r="N899" s="35"/>
      <c r="O899" s="35"/>
      <c r="P899" s="35"/>
      <c r="Q899" s="35"/>
      <c r="R899" s="35"/>
      <c r="S899" s="35"/>
      <c r="T899" s="35"/>
      <c r="U899" s="35"/>
      <c r="V899" s="35"/>
      <c r="W899" s="35"/>
      <c r="X899" s="35"/>
      <c r="Y899" s="35"/>
      <c r="Z899" s="35"/>
      <c r="AA899" s="35"/>
      <c r="AB899" s="35"/>
      <c r="AC899" s="35"/>
      <c r="AD899" s="35"/>
      <c r="AE899" s="35"/>
      <c r="AF899" s="35"/>
      <c r="AG899" s="35"/>
      <c r="AH899" s="35"/>
      <c r="AI899" s="35"/>
      <c r="AJ899" s="35"/>
      <c r="AK899" s="35"/>
    </row>
    <row r="900" ht="12.75" customHeight="1">
      <c r="A900" s="35"/>
      <c r="B900" s="35"/>
      <c r="C900" s="35"/>
      <c r="D900" s="35"/>
      <c r="E900" s="35"/>
      <c r="F900" s="35"/>
      <c r="G900" s="35"/>
      <c r="H900" s="35"/>
      <c r="I900" s="35"/>
      <c r="J900" s="35"/>
      <c r="K900" s="35"/>
      <c r="L900" s="35"/>
      <c r="M900" s="35"/>
      <c r="N900" s="35"/>
      <c r="O900" s="35"/>
      <c r="P900" s="35"/>
      <c r="Q900" s="35"/>
      <c r="R900" s="35"/>
      <c r="S900" s="35"/>
      <c r="T900" s="35"/>
      <c r="U900" s="35"/>
      <c r="V900" s="35"/>
      <c r="W900" s="35"/>
      <c r="X900" s="35"/>
      <c r="Y900" s="35"/>
      <c r="Z900" s="35"/>
      <c r="AA900" s="35"/>
      <c r="AB900" s="35"/>
      <c r="AC900" s="35"/>
      <c r="AD900" s="35"/>
      <c r="AE900" s="35"/>
      <c r="AF900" s="35"/>
      <c r="AG900" s="35"/>
      <c r="AH900" s="35"/>
      <c r="AI900" s="35"/>
      <c r="AJ900" s="35"/>
      <c r="AK900" s="35"/>
    </row>
    <row r="901" ht="12.75" customHeight="1">
      <c r="A901" s="35"/>
      <c r="B901" s="35"/>
      <c r="C901" s="35"/>
      <c r="D901" s="35"/>
      <c r="E901" s="35"/>
      <c r="F901" s="35"/>
      <c r="G901" s="35"/>
      <c r="H901" s="35"/>
      <c r="I901" s="35"/>
      <c r="J901" s="35"/>
      <c r="K901" s="35"/>
      <c r="L901" s="35"/>
      <c r="M901" s="35"/>
      <c r="N901" s="35"/>
      <c r="O901" s="35"/>
      <c r="P901" s="35"/>
      <c r="Q901" s="35"/>
      <c r="R901" s="35"/>
      <c r="S901" s="35"/>
      <c r="T901" s="35"/>
      <c r="U901" s="35"/>
      <c r="V901" s="35"/>
      <c r="W901" s="35"/>
      <c r="X901" s="35"/>
      <c r="Y901" s="35"/>
      <c r="Z901" s="35"/>
      <c r="AA901" s="35"/>
      <c r="AB901" s="35"/>
      <c r="AC901" s="35"/>
      <c r="AD901" s="35"/>
      <c r="AE901" s="35"/>
      <c r="AF901" s="35"/>
      <c r="AG901" s="35"/>
      <c r="AH901" s="35"/>
      <c r="AI901" s="35"/>
      <c r="AJ901" s="35"/>
      <c r="AK901" s="35"/>
    </row>
    <row r="902" ht="12.75" customHeight="1">
      <c r="A902" s="35"/>
      <c r="B902" s="35"/>
      <c r="C902" s="35"/>
      <c r="D902" s="35"/>
      <c r="E902" s="35"/>
      <c r="F902" s="35"/>
      <c r="G902" s="35"/>
      <c r="H902" s="35"/>
      <c r="I902" s="35"/>
      <c r="J902" s="35"/>
      <c r="K902" s="35"/>
      <c r="L902" s="35"/>
      <c r="M902" s="35"/>
      <c r="N902" s="35"/>
      <c r="O902" s="35"/>
      <c r="P902" s="35"/>
      <c r="Q902" s="35"/>
      <c r="R902" s="35"/>
      <c r="S902" s="35"/>
      <c r="T902" s="35"/>
      <c r="U902" s="35"/>
      <c r="V902" s="35"/>
      <c r="W902" s="35"/>
      <c r="X902" s="35"/>
      <c r="Y902" s="35"/>
      <c r="Z902" s="35"/>
      <c r="AA902" s="35"/>
      <c r="AB902" s="35"/>
      <c r="AC902" s="35"/>
      <c r="AD902" s="35"/>
      <c r="AE902" s="35"/>
      <c r="AF902" s="35"/>
      <c r="AG902" s="35"/>
      <c r="AH902" s="35"/>
      <c r="AI902" s="35"/>
      <c r="AJ902" s="35"/>
      <c r="AK902" s="35"/>
    </row>
    <row r="903" ht="12.75" customHeight="1">
      <c r="A903" s="35"/>
      <c r="B903" s="35"/>
      <c r="C903" s="35"/>
      <c r="D903" s="35"/>
      <c r="E903" s="35"/>
      <c r="F903" s="35"/>
      <c r="G903" s="35"/>
      <c r="H903" s="35"/>
      <c r="I903" s="35"/>
      <c r="J903" s="35"/>
      <c r="K903" s="35"/>
      <c r="L903" s="35"/>
      <c r="M903" s="35"/>
      <c r="N903" s="35"/>
      <c r="O903" s="35"/>
      <c r="P903" s="35"/>
      <c r="Q903" s="35"/>
      <c r="R903" s="35"/>
      <c r="S903" s="35"/>
      <c r="T903" s="35"/>
      <c r="U903" s="35"/>
      <c r="V903" s="35"/>
      <c r="W903" s="35"/>
      <c r="X903" s="35"/>
      <c r="Y903" s="35"/>
      <c r="Z903" s="35"/>
      <c r="AA903" s="35"/>
      <c r="AB903" s="35"/>
      <c r="AC903" s="35"/>
      <c r="AD903" s="35"/>
      <c r="AE903" s="35"/>
      <c r="AF903" s="35"/>
      <c r="AG903" s="35"/>
      <c r="AH903" s="35"/>
      <c r="AI903" s="35"/>
      <c r="AJ903" s="35"/>
      <c r="AK903" s="35"/>
    </row>
    <row r="904" ht="12.75" customHeight="1">
      <c r="A904" s="35"/>
      <c r="B904" s="35"/>
      <c r="C904" s="35"/>
      <c r="D904" s="35"/>
      <c r="E904" s="35"/>
      <c r="F904" s="35"/>
      <c r="G904" s="35"/>
      <c r="H904" s="35"/>
      <c r="I904" s="35"/>
      <c r="J904" s="35"/>
      <c r="K904" s="35"/>
      <c r="L904" s="35"/>
      <c r="M904" s="35"/>
      <c r="N904" s="35"/>
      <c r="O904" s="35"/>
      <c r="P904" s="35"/>
      <c r="Q904" s="35"/>
      <c r="R904" s="35"/>
      <c r="S904" s="35"/>
      <c r="T904" s="35"/>
      <c r="U904" s="35"/>
      <c r="V904" s="35"/>
      <c r="W904" s="35"/>
      <c r="X904" s="35"/>
      <c r="Y904" s="35"/>
      <c r="Z904" s="35"/>
      <c r="AA904" s="35"/>
      <c r="AB904" s="35"/>
      <c r="AC904" s="35"/>
      <c r="AD904" s="35"/>
      <c r="AE904" s="35"/>
      <c r="AF904" s="35"/>
      <c r="AG904" s="35"/>
      <c r="AH904" s="35"/>
      <c r="AI904" s="35"/>
      <c r="AJ904" s="35"/>
      <c r="AK904" s="35"/>
    </row>
    <row r="905" ht="12.75" customHeight="1">
      <c r="A905" s="35"/>
      <c r="B905" s="35"/>
      <c r="C905" s="35"/>
      <c r="D905" s="35"/>
      <c r="E905" s="35"/>
      <c r="F905" s="35"/>
      <c r="G905" s="35"/>
      <c r="H905" s="35"/>
      <c r="I905" s="35"/>
      <c r="J905" s="35"/>
      <c r="K905" s="35"/>
      <c r="L905" s="35"/>
      <c r="M905" s="35"/>
      <c r="N905" s="35"/>
      <c r="O905" s="35"/>
      <c r="P905" s="35"/>
      <c r="Q905" s="35"/>
      <c r="R905" s="35"/>
      <c r="S905" s="35"/>
      <c r="T905" s="35"/>
      <c r="U905" s="35"/>
      <c r="V905" s="35"/>
      <c r="W905" s="35"/>
      <c r="X905" s="35"/>
      <c r="Y905" s="35"/>
      <c r="Z905" s="35"/>
      <c r="AA905" s="35"/>
      <c r="AB905" s="35"/>
      <c r="AC905" s="35"/>
      <c r="AD905" s="35"/>
      <c r="AE905" s="35"/>
      <c r="AF905" s="35"/>
      <c r="AG905" s="35"/>
      <c r="AH905" s="35"/>
      <c r="AI905" s="35"/>
      <c r="AJ905" s="35"/>
      <c r="AK905" s="35"/>
    </row>
    <row r="906" ht="12.75" customHeight="1">
      <c r="A906" s="35"/>
      <c r="B906" s="35"/>
      <c r="C906" s="35"/>
      <c r="D906" s="35"/>
      <c r="E906" s="35"/>
      <c r="F906" s="35"/>
      <c r="G906" s="35"/>
      <c r="H906" s="35"/>
      <c r="I906" s="35"/>
      <c r="J906" s="35"/>
      <c r="K906" s="35"/>
      <c r="L906" s="35"/>
      <c r="M906" s="35"/>
      <c r="N906" s="35"/>
      <c r="O906" s="35"/>
      <c r="P906" s="35"/>
      <c r="Q906" s="35"/>
      <c r="R906" s="35"/>
      <c r="S906" s="35"/>
      <c r="T906" s="35"/>
      <c r="U906" s="35"/>
      <c r="V906" s="35"/>
      <c r="W906" s="35"/>
      <c r="X906" s="35"/>
      <c r="Y906" s="35"/>
      <c r="Z906" s="35"/>
      <c r="AA906" s="35"/>
      <c r="AB906" s="35"/>
      <c r="AC906" s="35"/>
      <c r="AD906" s="35"/>
      <c r="AE906" s="35"/>
      <c r="AF906" s="35"/>
      <c r="AG906" s="35"/>
      <c r="AH906" s="35"/>
      <c r="AI906" s="35"/>
      <c r="AJ906" s="35"/>
      <c r="AK906" s="35"/>
    </row>
    <row r="907" ht="12.75" customHeight="1">
      <c r="A907" s="35"/>
      <c r="B907" s="35"/>
      <c r="C907" s="35"/>
      <c r="D907" s="35"/>
      <c r="E907" s="35"/>
      <c r="F907" s="35"/>
      <c r="G907" s="35"/>
      <c r="H907" s="35"/>
      <c r="I907" s="35"/>
      <c r="J907" s="35"/>
      <c r="K907" s="35"/>
      <c r="L907" s="35"/>
      <c r="M907" s="35"/>
      <c r="N907" s="35"/>
      <c r="O907" s="35"/>
      <c r="P907" s="35"/>
      <c r="Q907" s="35"/>
      <c r="R907" s="35"/>
      <c r="S907" s="35"/>
      <c r="T907" s="35"/>
      <c r="U907" s="35"/>
      <c r="V907" s="35"/>
      <c r="W907" s="35"/>
      <c r="X907" s="35"/>
      <c r="Y907" s="35"/>
      <c r="Z907" s="35"/>
      <c r="AA907" s="35"/>
      <c r="AB907" s="35"/>
      <c r="AC907" s="35"/>
      <c r="AD907" s="35"/>
      <c r="AE907" s="35"/>
      <c r="AF907" s="35"/>
      <c r="AG907" s="35"/>
      <c r="AH907" s="35"/>
      <c r="AI907" s="35"/>
      <c r="AJ907" s="35"/>
      <c r="AK907" s="35"/>
    </row>
    <row r="908" ht="12.75" customHeight="1">
      <c r="A908" s="35"/>
      <c r="B908" s="35"/>
      <c r="C908" s="35"/>
      <c r="D908" s="35"/>
      <c r="E908" s="35"/>
      <c r="F908" s="35"/>
      <c r="G908" s="35"/>
      <c r="H908" s="35"/>
      <c r="I908" s="35"/>
      <c r="J908" s="35"/>
      <c r="K908" s="35"/>
      <c r="L908" s="35"/>
      <c r="M908" s="35"/>
      <c r="N908" s="35"/>
      <c r="O908" s="35"/>
      <c r="P908" s="35"/>
      <c r="Q908" s="35"/>
      <c r="R908" s="35"/>
      <c r="S908" s="35"/>
      <c r="T908" s="35"/>
      <c r="U908" s="35"/>
      <c r="V908" s="35"/>
      <c r="W908" s="35"/>
      <c r="X908" s="35"/>
      <c r="Y908" s="35"/>
      <c r="Z908" s="35"/>
      <c r="AA908" s="35"/>
      <c r="AB908" s="35"/>
      <c r="AC908" s="35"/>
      <c r="AD908" s="35"/>
      <c r="AE908" s="35"/>
      <c r="AF908" s="35"/>
      <c r="AG908" s="35"/>
      <c r="AH908" s="35"/>
      <c r="AI908" s="35"/>
      <c r="AJ908" s="35"/>
      <c r="AK908" s="35"/>
    </row>
    <row r="909" ht="12.75" customHeight="1">
      <c r="A909" s="35"/>
      <c r="B909" s="35"/>
      <c r="C909" s="35"/>
      <c r="D909" s="35"/>
      <c r="E909" s="35"/>
      <c r="F909" s="35"/>
      <c r="G909" s="35"/>
      <c r="H909" s="35"/>
      <c r="I909" s="35"/>
      <c r="J909" s="35"/>
      <c r="K909" s="35"/>
      <c r="L909" s="35"/>
      <c r="M909" s="35"/>
      <c r="N909" s="35"/>
      <c r="O909" s="35"/>
      <c r="P909" s="35"/>
      <c r="Q909" s="35"/>
      <c r="R909" s="35"/>
      <c r="S909" s="35"/>
      <c r="T909" s="35"/>
      <c r="U909" s="35"/>
      <c r="V909" s="35"/>
      <c r="W909" s="35"/>
      <c r="X909" s="35"/>
      <c r="Y909" s="35"/>
      <c r="Z909" s="35"/>
      <c r="AA909" s="35"/>
      <c r="AB909" s="35"/>
      <c r="AC909" s="35"/>
      <c r="AD909" s="35"/>
      <c r="AE909" s="35"/>
      <c r="AF909" s="35"/>
      <c r="AG909" s="35"/>
      <c r="AH909" s="35"/>
      <c r="AI909" s="35"/>
      <c r="AJ909" s="35"/>
      <c r="AK909" s="35"/>
    </row>
    <row r="910" ht="12.75" customHeight="1">
      <c r="A910" s="35"/>
      <c r="B910" s="35"/>
      <c r="C910" s="35"/>
      <c r="D910" s="35"/>
      <c r="E910" s="35"/>
      <c r="F910" s="35"/>
      <c r="G910" s="35"/>
      <c r="H910" s="35"/>
      <c r="I910" s="35"/>
      <c r="J910" s="35"/>
      <c r="K910" s="35"/>
      <c r="L910" s="35"/>
      <c r="M910" s="35"/>
      <c r="N910" s="35"/>
      <c r="O910" s="35"/>
      <c r="P910" s="35"/>
      <c r="Q910" s="35"/>
      <c r="R910" s="35"/>
      <c r="S910" s="35"/>
      <c r="T910" s="35"/>
      <c r="U910" s="35"/>
      <c r="V910" s="35"/>
      <c r="W910" s="35"/>
      <c r="X910" s="35"/>
      <c r="Y910" s="35"/>
      <c r="Z910" s="35"/>
      <c r="AA910" s="35"/>
      <c r="AB910" s="35"/>
      <c r="AC910" s="35"/>
      <c r="AD910" s="35"/>
      <c r="AE910" s="35"/>
      <c r="AF910" s="35"/>
      <c r="AG910" s="35"/>
      <c r="AH910" s="35"/>
      <c r="AI910" s="35"/>
      <c r="AJ910" s="35"/>
      <c r="AK910" s="35"/>
    </row>
    <row r="911" ht="12.75" customHeight="1">
      <c r="A911" s="35"/>
      <c r="B911" s="35"/>
      <c r="C911" s="35"/>
      <c r="D911" s="35"/>
      <c r="E911" s="35"/>
      <c r="F911" s="35"/>
      <c r="G911" s="35"/>
      <c r="H911" s="35"/>
      <c r="I911" s="35"/>
      <c r="J911" s="35"/>
      <c r="K911" s="35"/>
      <c r="L911" s="35"/>
      <c r="M911" s="35"/>
      <c r="N911" s="35"/>
      <c r="O911" s="35"/>
      <c r="P911" s="35"/>
      <c r="Q911" s="35"/>
      <c r="R911" s="35"/>
      <c r="S911" s="35"/>
      <c r="T911" s="35"/>
      <c r="U911" s="35"/>
      <c r="V911" s="35"/>
      <c r="W911" s="35"/>
      <c r="X911" s="35"/>
      <c r="Y911" s="35"/>
      <c r="Z911" s="35"/>
      <c r="AA911" s="35"/>
      <c r="AB911" s="35"/>
      <c r="AC911" s="35"/>
      <c r="AD911" s="35"/>
      <c r="AE911" s="35"/>
      <c r="AF911" s="35"/>
      <c r="AG911" s="35"/>
      <c r="AH911" s="35"/>
      <c r="AI911" s="35"/>
      <c r="AJ911" s="35"/>
      <c r="AK911" s="35"/>
    </row>
    <row r="912" ht="12.75" customHeight="1">
      <c r="A912" s="35"/>
      <c r="B912" s="35"/>
      <c r="C912" s="35"/>
      <c r="D912" s="35"/>
      <c r="E912" s="35"/>
      <c r="F912" s="35"/>
      <c r="G912" s="35"/>
      <c r="H912" s="35"/>
      <c r="I912" s="35"/>
      <c r="J912" s="35"/>
      <c r="K912" s="35"/>
      <c r="L912" s="35"/>
      <c r="M912" s="35"/>
      <c r="N912" s="35"/>
      <c r="O912" s="35"/>
      <c r="P912" s="35"/>
      <c r="Q912" s="35"/>
      <c r="R912" s="35"/>
      <c r="S912" s="35"/>
      <c r="T912" s="35"/>
      <c r="U912" s="35"/>
      <c r="V912" s="35"/>
      <c r="W912" s="35"/>
      <c r="X912" s="35"/>
      <c r="Y912" s="35"/>
      <c r="Z912" s="35"/>
      <c r="AA912" s="35"/>
      <c r="AB912" s="35"/>
      <c r="AC912" s="35"/>
      <c r="AD912" s="35"/>
      <c r="AE912" s="35"/>
      <c r="AF912" s="35"/>
      <c r="AG912" s="35"/>
      <c r="AH912" s="35"/>
      <c r="AI912" s="35"/>
      <c r="AJ912" s="35"/>
      <c r="AK912" s="35"/>
    </row>
    <row r="913" ht="12.75" customHeight="1">
      <c r="A913" s="35"/>
      <c r="B913" s="35"/>
      <c r="C913" s="35"/>
      <c r="D913" s="35"/>
      <c r="E913" s="35"/>
      <c r="F913" s="35"/>
      <c r="G913" s="35"/>
      <c r="H913" s="35"/>
      <c r="I913" s="35"/>
      <c r="J913" s="35"/>
      <c r="K913" s="35"/>
      <c r="L913" s="35"/>
      <c r="M913" s="35"/>
      <c r="N913" s="35"/>
      <c r="O913" s="35"/>
      <c r="P913" s="35"/>
      <c r="Q913" s="35"/>
      <c r="R913" s="35"/>
      <c r="S913" s="35"/>
      <c r="T913" s="35"/>
      <c r="U913" s="35"/>
      <c r="V913" s="35"/>
      <c r="W913" s="35"/>
      <c r="X913" s="35"/>
      <c r="Y913" s="35"/>
      <c r="Z913" s="35"/>
      <c r="AA913" s="35"/>
      <c r="AB913" s="35"/>
      <c r="AC913" s="35"/>
      <c r="AD913" s="35"/>
      <c r="AE913" s="35"/>
      <c r="AF913" s="35"/>
      <c r="AG913" s="35"/>
      <c r="AH913" s="35"/>
      <c r="AI913" s="35"/>
      <c r="AJ913" s="35"/>
      <c r="AK913" s="35"/>
    </row>
    <row r="914" ht="12.75" customHeight="1">
      <c r="A914" s="35"/>
      <c r="B914" s="35"/>
      <c r="C914" s="35"/>
      <c r="D914" s="35"/>
      <c r="E914" s="35"/>
      <c r="F914" s="35"/>
      <c r="G914" s="35"/>
      <c r="H914" s="35"/>
      <c r="I914" s="35"/>
      <c r="J914" s="35"/>
      <c r="K914" s="35"/>
      <c r="L914" s="35"/>
      <c r="M914" s="35"/>
      <c r="N914" s="35"/>
      <c r="O914" s="35"/>
      <c r="P914" s="35"/>
      <c r="Q914" s="35"/>
      <c r="R914" s="35"/>
      <c r="S914" s="35"/>
      <c r="T914" s="35"/>
      <c r="U914" s="35"/>
      <c r="V914" s="35"/>
      <c r="W914" s="35"/>
      <c r="X914" s="35"/>
      <c r="Y914" s="35"/>
      <c r="Z914" s="35"/>
      <c r="AA914" s="35"/>
      <c r="AB914" s="35"/>
      <c r="AC914" s="35"/>
      <c r="AD914" s="35"/>
      <c r="AE914" s="35"/>
      <c r="AF914" s="35"/>
      <c r="AG914" s="35"/>
      <c r="AH914" s="35"/>
      <c r="AI914" s="35"/>
      <c r="AJ914" s="35"/>
      <c r="AK914" s="35"/>
    </row>
    <row r="915" ht="12.75" customHeight="1">
      <c r="A915" s="35"/>
      <c r="B915" s="35"/>
      <c r="C915" s="35"/>
      <c r="D915" s="35"/>
      <c r="E915" s="35"/>
      <c r="F915" s="35"/>
      <c r="G915" s="35"/>
      <c r="H915" s="35"/>
      <c r="I915" s="35"/>
      <c r="J915" s="35"/>
      <c r="K915" s="35"/>
      <c r="L915" s="35"/>
      <c r="M915" s="35"/>
      <c r="N915" s="35"/>
      <c r="O915" s="35"/>
      <c r="P915" s="35"/>
      <c r="Q915" s="35"/>
      <c r="R915" s="35"/>
      <c r="S915" s="35"/>
      <c r="T915" s="35"/>
      <c r="U915" s="35"/>
      <c r="V915" s="35"/>
      <c r="W915" s="35"/>
      <c r="X915" s="35"/>
      <c r="Y915" s="35"/>
      <c r="Z915" s="35"/>
      <c r="AA915" s="35"/>
      <c r="AB915" s="35"/>
      <c r="AC915" s="35"/>
      <c r="AD915" s="35"/>
      <c r="AE915" s="35"/>
      <c r="AF915" s="35"/>
      <c r="AG915" s="35"/>
      <c r="AH915" s="35"/>
      <c r="AI915" s="35"/>
      <c r="AJ915" s="35"/>
      <c r="AK915" s="35"/>
    </row>
    <row r="916" ht="12.75" customHeight="1">
      <c r="A916" s="35"/>
      <c r="B916" s="35"/>
      <c r="C916" s="35"/>
      <c r="D916" s="35"/>
      <c r="E916" s="35"/>
      <c r="F916" s="35"/>
      <c r="G916" s="35"/>
      <c r="H916" s="35"/>
      <c r="I916" s="35"/>
      <c r="J916" s="35"/>
      <c r="K916" s="35"/>
      <c r="L916" s="35"/>
      <c r="M916" s="35"/>
      <c r="N916" s="35"/>
      <c r="O916" s="35"/>
      <c r="P916" s="35"/>
      <c r="Q916" s="35"/>
      <c r="R916" s="35"/>
      <c r="S916" s="35"/>
      <c r="T916" s="35"/>
      <c r="U916" s="35"/>
      <c r="V916" s="35"/>
      <c r="W916" s="35"/>
      <c r="X916" s="35"/>
      <c r="Y916" s="35"/>
      <c r="Z916" s="35"/>
      <c r="AA916" s="35"/>
      <c r="AB916" s="35"/>
      <c r="AC916" s="35"/>
      <c r="AD916" s="35"/>
      <c r="AE916" s="35"/>
      <c r="AF916" s="35"/>
      <c r="AG916" s="35"/>
      <c r="AH916" s="35"/>
      <c r="AI916" s="35"/>
      <c r="AJ916" s="35"/>
      <c r="AK916" s="35"/>
    </row>
    <row r="917" ht="12.75" customHeight="1">
      <c r="A917" s="35"/>
      <c r="B917" s="35"/>
      <c r="C917" s="35"/>
      <c r="D917" s="35"/>
      <c r="E917" s="35"/>
      <c r="F917" s="35"/>
      <c r="G917" s="35"/>
      <c r="H917" s="35"/>
      <c r="I917" s="35"/>
      <c r="J917" s="35"/>
      <c r="K917" s="35"/>
      <c r="L917" s="35"/>
      <c r="M917" s="35"/>
      <c r="N917" s="35"/>
      <c r="O917" s="35"/>
      <c r="P917" s="35"/>
      <c r="Q917" s="35"/>
      <c r="R917" s="35"/>
      <c r="S917" s="35"/>
      <c r="T917" s="35"/>
      <c r="U917" s="35"/>
      <c r="V917" s="35"/>
      <c r="W917" s="35"/>
      <c r="X917" s="35"/>
      <c r="Y917" s="35"/>
      <c r="Z917" s="35"/>
      <c r="AA917" s="35"/>
      <c r="AB917" s="35"/>
      <c r="AC917" s="35"/>
      <c r="AD917" s="35"/>
      <c r="AE917" s="35"/>
      <c r="AF917" s="35"/>
      <c r="AG917" s="35"/>
      <c r="AH917" s="35"/>
      <c r="AI917" s="35"/>
      <c r="AJ917" s="35"/>
      <c r="AK917" s="35"/>
    </row>
    <row r="918" ht="12.75" customHeight="1">
      <c r="A918" s="35"/>
      <c r="B918" s="35"/>
      <c r="C918" s="35"/>
      <c r="D918" s="35"/>
      <c r="E918" s="35"/>
      <c r="F918" s="35"/>
      <c r="G918" s="35"/>
      <c r="H918" s="35"/>
      <c r="I918" s="35"/>
      <c r="J918" s="35"/>
      <c r="K918" s="35"/>
      <c r="L918" s="35"/>
      <c r="M918" s="35"/>
      <c r="N918" s="35"/>
      <c r="O918" s="35"/>
      <c r="P918" s="35"/>
      <c r="Q918" s="35"/>
      <c r="R918" s="35"/>
      <c r="S918" s="35"/>
      <c r="T918" s="35"/>
      <c r="U918" s="35"/>
      <c r="V918" s="35"/>
      <c r="W918" s="35"/>
      <c r="X918" s="35"/>
      <c r="Y918" s="35"/>
      <c r="Z918" s="35"/>
      <c r="AA918" s="35"/>
      <c r="AB918" s="35"/>
      <c r="AC918" s="35"/>
      <c r="AD918" s="35"/>
      <c r="AE918" s="35"/>
      <c r="AF918" s="35"/>
      <c r="AG918" s="35"/>
      <c r="AH918" s="35"/>
      <c r="AI918" s="35"/>
      <c r="AJ918" s="35"/>
      <c r="AK918" s="35"/>
    </row>
    <row r="919" ht="12.75" customHeight="1">
      <c r="A919" s="35"/>
      <c r="B919" s="35"/>
      <c r="C919" s="35"/>
      <c r="D919" s="35"/>
      <c r="E919" s="35"/>
      <c r="F919" s="35"/>
      <c r="G919" s="35"/>
      <c r="H919" s="35"/>
      <c r="I919" s="35"/>
      <c r="J919" s="35"/>
      <c r="K919" s="35"/>
      <c r="L919" s="35"/>
      <c r="M919" s="35"/>
      <c r="N919" s="35"/>
      <c r="O919" s="35"/>
      <c r="P919" s="35"/>
      <c r="Q919" s="35"/>
      <c r="R919" s="35"/>
      <c r="S919" s="35"/>
      <c r="T919" s="35"/>
      <c r="U919" s="35"/>
      <c r="V919" s="35"/>
      <c r="W919" s="35"/>
      <c r="X919" s="35"/>
      <c r="Y919" s="35"/>
      <c r="Z919" s="35"/>
      <c r="AA919" s="35"/>
      <c r="AB919" s="35"/>
      <c r="AC919" s="35"/>
      <c r="AD919" s="35"/>
      <c r="AE919" s="35"/>
      <c r="AF919" s="35"/>
      <c r="AG919" s="35"/>
      <c r="AH919" s="35"/>
      <c r="AI919" s="35"/>
      <c r="AJ919" s="35"/>
      <c r="AK919" s="35"/>
    </row>
    <row r="920" ht="12.75" customHeight="1">
      <c r="A920" s="35"/>
      <c r="B920" s="35"/>
      <c r="C920" s="35"/>
      <c r="D920" s="35"/>
      <c r="E920" s="35"/>
      <c r="F920" s="35"/>
      <c r="G920" s="35"/>
      <c r="H920" s="35"/>
      <c r="I920" s="35"/>
      <c r="J920" s="35"/>
      <c r="K920" s="35"/>
      <c r="L920" s="35"/>
      <c r="M920" s="35"/>
      <c r="N920" s="35"/>
      <c r="O920" s="35"/>
      <c r="P920" s="35"/>
      <c r="Q920" s="35"/>
      <c r="R920" s="35"/>
      <c r="S920" s="35"/>
      <c r="T920" s="35"/>
      <c r="U920" s="35"/>
      <c r="V920" s="35"/>
      <c r="W920" s="35"/>
      <c r="X920" s="35"/>
      <c r="Y920" s="35"/>
      <c r="Z920" s="35"/>
      <c r="AA920" s="35"/>
      <c r="AB920" s="35"/>
      <c r="AC920" s="35"/>
      <c r="AD920" s="35"/>
      <c r="AE920" s="35"/>
      <c r="AF920" s="35"/>
      <c r="AG920" s="35"/>
      <c r="AH920" s="35"/>
      <c r="AI920" s="35"/>
      <c r="AJ920" s="35"/>
      <c r="AK920" s="35"/>
    </row>
    <row r="921" ht="12.75" customHeight="1">
      <c r="A921" s="35"/>
      <c r="B921" s="35"/>
      <c r="C921" s="35"/>
      <c r="D921" s="35"/>
      <c r="E921" s="35"/>
      <c r="F921" s="35"/>
      <c r="G921" s="35"/>
      <c r="H921" s="35"/>
      <c r="I921" s="35"/>
      <c r="J921" s="35"/>
      <c r="K921" s="35"/>
      <c r="L921" s="35"/>
      <c r="M921" s="35"/>
      <c r="N921" s="35"/>
      <c r="O921" s="35"/>
      <c r="P921" s="35"/>
      <c r="Q921" s="35"/>
      <c r="R921" s="35"/>
      <c r="S921" s="35"/>
      <c r="T921" s="35"/>
      <c r="U921" s="35"/>
      <c r="V921" s="35"/>
      <c r="W921" s="35"/>
      <c r="X921" s="35"/>
      <c r="Y921" s="35"/>
      <c r="Z921" s="35"/>
      <c r="AA921" s="35"/>
      <c r="AB921" s="35"/>
      <c r="AC921" s="35"/>
      <c r="AD921" s="35"/>
      <c r="AE921" s="35"/>
      <c r="AF921" s="35"/>
      <c r="AG921" s="35"/>
      <c r="AH921" s="35"/>
      <c r="AI921" s="35"/>
      <c r="AJ921" s="35"/>
      <c r="AK921" s="35"/>
    </row>
    <row r="922" ht="12.75" customHeight="1">
      <c r="A922" s="35"/>
      <c r="B922" s="35"/>
      <c r="C922" s="35"/>
      <c r="D922" s="35"/>
      <c r="E922" s="35"/>
      <c r="F922" s="35"/>
      <c r="G922" s="35"/>
      <c r="H922" s="35"/>
      <c r="I922" s="35"/>
      <c r="J922" s="35"/>
      <c r="K922" s="35"/>
      <c r="L922" s="35"/>
      <c r="M922" s="35"/>
      <c r="N922" s="35"/>
      <c r="O922" s="35"/>
      <c r="P922" s="35"/>
      <c r="Q922" s="35"/>
      <c r="R922" s="35"/>
      <c r="S922" s="35"/>
      <c r="T922" s="35"/>
      <c r="U922" s="35"/>
      <c r="V922" s="35"/>
      <c r="W922" s="35"/>
      <c r="X922" s="35"/>
      <c r="Y922" s="35"/>
      <c r="Z922" s="35"/>
      <c r="AA922" s="35"/>
      <c r="AB922" s="35"/>
      <c r="AC922" s="35"/>
      <c r="AD922" s="35"/>
      <c r="AE922" s="35"/>
      <c r="AF922" s="35"/>
      <c r="AG922" s="35"/>
      <c r="AH922" s="35"/>
      <c r="AI922" s="35"/>
      <c r="AJ922" s="35"/>
      <c r="AK922" s="35"/>
    </row>
    <row r="923" ht="12.75" customHeight="1">
      <c r="A923" s="35"/>
      <c r="B923" s="35"/>
      <c r="C923" s="35"/>
      <c r="D923" s="35"/>
      <c r="E923" s="35"/>
      <c r="F923" s="35"/>
      <c r="G923" s="35"/>
      <c r="H923" s="35"/>
      <c r="I923" s="35"/>
      <c r="J923" s="35"/>
      <c r="K923" s="35"/>
      <c r="L923" s="35"/>
      <c r="M923" s="35"/>
      <c r="N923" s="35"/>
      <c r="O923" s="35"/>
      <c r="P923" s="35"/>
      <c r="Q923" s="35"/>
      <c r="R923" s="35"/>
      <c r="S923" s="35"/>
      <c r="T923" s="35"/>
      <c r="U923" s="35"/>
      <c r="V923" s="35"/>
      <c r="W923" s="35"/>
      <c r="X923" s="35"/>
      <c r="Y923" s="35"/>
      <c r="Z923" s="35"/>
      <c r="AA923" s="35"/>
      <c r="AB923" s="35"/>
      <c r="AC923" s="35"/>
      <c r="AD923" s="35"/>
      <c r="AE923" s="35"/>
      <c r="AF923" s="35"/>
      <c r="AG923" s="35"/>
      <c r="AH923" s="35"/>
      <c r="AI923" s="35"/>
      <c r="AJ923" s="35"/>
      <c r="AK923" s="35"/>
    </row>
    <row r="924" ht="12.75" customHeight="1">
      <c r="A924" s="35"/>
      <c r="B924" s="35"/>
      <c r="C924" s="35"/>
      <c r="D924" s="35"/>
      <c r="E924" s="35"/>
      <c r="F924" s="35"/>
      <c r="G924" s="35"/>
      <c r="H924" s="35"/>
      <c r="I924" s="35"/>
      <c r="J924" s="35"/>
      <c r="K924" s="35"/>
      <c r="L924" s="35"/>
      <c r="M924" s="35"/>
      <c r="N924" s="35"/>
      <c r="O924" s="35"/>
      <c r="P924" s="35"/>
      <c r="Q924" s="35"/>
      <c r="R924" s="35"/>
      <c r="S924" s="35"/>
      <c r="T924" s="35"/>
      <c r="U924" s="35"/>
      <c r="V924" s="35"/>
      <c r="W924" s="35"/>
      <c r="X924" s="35"/>
      <c r="Y924" s="35"/>
      <c r="Z924" s="35"/>
      <c r="AA924" s="35"/>
      <c r="AB924" s="35"/>
      <c r="AC924" s="35"/>
      <c r="AD924" s="35"/>
      <c r="AE924" s="35"/>
      <c r="AF924" s="35"/>
      <c r="AG924" s="35"/>
      <c r="AH924" s="35"/>
      <c r="AI924" s="35"/>
      <c r="AJ924" s="35"/>
      <c r="AK924" s="35"/>
    </row>
    <row r="925" ht="12.75" customHeight="1">
      <c r="A925" s="35"/>
      <c r="B925" s="35"/>
      <c r="C925" s="35"/>
      <c r="D925" s="35"/>
      <c r="E925" s="35"/>
      <c r="F925" s="35"/>
      <c r="G925" s="35"/>
      <c r="H925" s="35"/>
      <c r="I925" s="35"/>
      <c r="J925" s="35"/>
      <c r="K925" s="35"/>
      <c r="L925" s="35"/>
      <c r="M925" s="35"/>
      <c r="N925" s="35"/>
      <c r="O925" s="35"/>
      <c r="P925" s="35"/>
      <c r="Q925" s="35"/>
      <c r="R925" s="35"/>
      <c r="S925" s="35"/>
      <c r="T925" s="35"/>
      <c r="U925" s="35"/>
      <c r="V925" s="35"/>
      <c r="W925" s="35"/>
      <c r="X925" s="35"/>
      <c r="Y925" s="35"/>
      <c r="Z925" s="35"/>
      <c r="AA925" s="35"/>
      <c r="AB925" s="35"/>
      <c r="AC925" s="35"/>
      <c r="AD925" s="35"/>
      <c r="AE925" s="35"/>
      <c r="AF925" s="35"/>
      <c r="AG925" s="35"/>
      <c r="AH925" s="35"/>
      <c r="AI925" s="35"/>
      <c r="AJ925" s="35"/>
      <c r="AK925" s="35"/>
    </row>
    <row r="926" ht="12.75" customHeight="1">
      <c r="A926" s="35"/>
      <c r="B926" s="35"/>
      <c r="C926" s="35"/>
      <c r="D926" s="35"/>
      <c r="E926" s="35"/>
      <c r="F926" s="35"/>
      <c r="G926" s="35"/>
      <c r="H926" s="35"/>
      <c r="I926" s="35"/>
      <c r="J926" s="35"/>
      <c r="K926" s="35"/>
      <c r="L926" s="35"/>
      <c r="M926" s="35"/>
      <c r="N926" s="35"/>
      <c r="O926" s="35"/>
      <c r="P926" s="35"/>
      <c r="Q926" s="35"/>
      <c r="R926" s="35"/>
      <c r="S926" s="35"/>
      <c r="T926" s="35"/>
      <c r="U926" s="35"/>
      <c r="V926" s="35"/>
      <c r="W926" s="35"/>
      <c r="X926" s="35"/>
      <c r="Y926" s="35"/>
      <c r="Z926" s="35"/>
      <c r="AA926" s="35"/>
      <c r="AB926" s="35"/>
      <c r="AC926" s="35"/>
      <c r="AD926" s="35"/>
      <c r="AE926" s="35"/>
      <c r="AF926" s="35"/>
      <c r="AG926" s="35"/>
      <c r="AH926" s="35"/>
      <c r="AI926" s="35"/>
      <c r="AJ926" s="35"/>
      <c r="AK926" s="35"/>
    </row>
    <row r="927" ht="12.75" customHeight="1">
      <c r="A927" s="35"/>
      <c r="B927" s="35"/>
      <c r="C927" s="35"/>
      <c r="D927" s="35"/>
      <c r="E927" s="35"/>
      <c r="F927" s="35"/>
      <c r="G927" s="35"/>
      <c r="H927" s="35"/>
      <c r="I927" s="35"/>
      <c r="J927" s="35"/>
      <c r="K927" s="35"/>
      <c r="L927" s="35"/>
      <c r="M927" s="35"/>
      <c r="N927" s="35"/>
      <c r="O927" s="35"/>
      <c r="P927" s="35"/>
      <c r="Q927" s="35"/>
      <c r="R927" s="35"/>
      <c r="S927" s="35"/>
      <c r="T927" s="35"/>
      <c r="U927" s="35"/>
      <c r="V927" s="35"/>
      <c r="W927" s="35"/>
      <c r="X927" s="35"/>
      <c r="Y927" s="35"/>
      <c r="Z927" s="35"/>
      <c r="AA927" s="35"/>
      <c r="AB927" s="35"/>
      <c r="AC927" s="35"/>
      <c r="AD927" s="35"/>
      <c r="AE927" s="35"/>
      <c r="AF927" s="35"/>
      <c r="AG927" s="35"/>
      <c r="AH927" s="35"/>
      <c r="AI927" s="35"/>
      <c r="AJ927" s="35"/>
      <c r="AK927" s="35"/>
    </row>
    <row r="928" ht="12.75" customHeight="1">
      <c r="A928" s="35"/>
      <c r="B928" s="35"/>
      <c r="C928" s="35"/>
      <c r="D928" s="35"/>
      <c r="E928" s="35"/>
      <c r="F928" s="35"/>
      <c r="G928" s="35"/>
      <c r="H928" s="35"/>
      <c r="I928" s="35"/>
      <c r="J928" s="35"/>
      <c r="K928" s="35"/>
      <c r="L928" s="35"/>
      <c r="M928" s="35"/>
      <c r="N928" s="35"/>
      <c r="O928" s="35"/>
      <c r="P928" s="35"/>
      <c r="Q928" s="35"/>
      <c r="R928" s="35"/>
      <c r="S928" s="35"/>
      <c r="T928" s="35"/>
      <c r="U928" s="35"/>
      <c r="V928" s="35"/>
      <c r="W928" s="35"/>
      <c r="X928" s="35"/>
      <c r="Y928" s="35"/>
      <c r="Z928" s="35"/>
      <c r="AA928" s="35"/>
      <c r="AB928" s="35"/>
      <c r="AC928" s="35"/>
      <c r="AD928" s="35"/>
      <c r="AE928" s="35"/>
      <c r="AF928" s="35"/>
      <c r="AG928" s="35"/>
      <c r="AH928" s="35"/>
      <c r="AI928" s="35"/>
      <c r="AJ928" s="35"/>
      <c r="AK928" s="35"/>
    </row>
    <row r="929" ht="12.75" customHeight="1">
      <c r="A929" s="35"/>
      <c r="B929" s="35"/>
      <c r="C929" s="35"/>
      <c r="D929" s="35"/>
      <c r="E929" s="35"/>
      <c r="F929" s="35"/>
      <c r="G929" s="35"/>
      <c r="H929" s="35"/>
      <c r="I929" s="35"/>
      <c r="J929" s="35"/>
      <c r="K929" s="35"/>
      <c r="L929" s="35"/>
      <c r="M929" s="35"/>
      <c r="N929" s="35"/>
      <c r="O929" s="35"/>
      <c r="P929" s="35"/>
      <c r="Q929" s="35"/>
      <c r="R929" s="35"/>
      <c r="S929" s="35"/>
      <c r="T929" s="35"/>
      <c r="U929" s="35"/>
      <c r="V929" s="35"/>
      <c r="W929" s="35"/>
      <c r="X929" s="35"/>
      <c r="Y929" s="35"/>
      <c r="Z929" s="35"/>
      <c r="AA929" s="35"/>
      <c r="AB929" s="35"/>
      <c r="AC929" s="35"/>
      <c r="AD929" s="35"/>
      <c r="AE929" s="35"/>
      <c r="AF929" s="35"/>
      <c r="AG929" s="35"/>
      <c r="AH929" s="35"/>
      <c r="AI929" s="35"/>
      <c r="AJ929" s="35"/>
      <c r="AK929" s="35"/>
    </row>
    <row r="930" ht="12.75" customHeight="1">
      <c r="A930" s="35"/>
      <c r="B930" s="35"/>
      <c r="C930" s="35"/>
      <c r="D930" s="35"/>
      <c r="E930" s="35"/>
      <c r="F930" s="35"/>
      <c r="G930" s="35"/>
      <c r="H930" s="35"/>
      <c r="I930" s="35"/>
      <c r="J930" s="35"/>
      <c r="K930" s="35"/>
      <c r="L930" s="35"/>
      <c r="M930" s="35"/>
      <c r="N930" s="35"/>
      <c r="O930" s="35"/>
      <c r="P930" s="35"/>
      <c r="Q930" s="35"/>
      <c r="R930" s="35"/>
      <c r="S930" s="35"/>
      <c r="T930" s="35"/>
      <c r="U930" s="35"/>
      <c r="V930" s="35"/>
      <c r="W930" s="35"/>
      <c r="X930" s="35"/>
      <c r="Y930" s="35"/>
      <c r="Z930" s="35"/>
      <c r="AA930" s="35"/>
      <c r="AB930" s="35"/>
      <c r="AC930" s="35"/>
      <c r="AD930" s="35"/>
      <c r="AE930" s="35"/>
      <c r="AF930" s="35"/>
      <c r="AG930" s="35"/>
      <c r="AH930" s="35"/>
      <c r="AI930" s="35"/>
      <c r="AJ930" s="35"/>
      <c r="AK930" s="35"/>
    </row>
    <row r="931" ht="12.75" customHeight="1">
      <c r="A931" s="35"/>
      <c r="B931" s="35"/>
      <c r="C931" s="35"/>
      <c r="D931" s="35"/>
      <c r="E931" s="35"/>
      <c r="F931" s="35"/>
      <c r="G931" s="35"/>
      <c r="H931" s="35"/>
      <c r="I931" s="35"/>
      <c r="J931" s="35"/>
      <c r="K931" s="35"/>
      <c r="L931" s="35"/>
      <c r="M931" s="35"/>
      <c r="N931" s="35"/>
      <c r="O931" s="35"/>
      <c r="P931" s="35"/>
      <c r="Q931" s="35"/>
      <c r="R931" s="35"/>
      <c r="S931" s="35"/>
      <c r="T931" s="35"/>
      <c r="U931" s="35"/>
      <c r="V931" s="35"/>
      <c r="W931" s="35"/>
      <c r="X931" s="35"/>
      <c r="Y931" s="35"/>
      <c r="Z931" s="35"/>
      <c r="AA931" s="35"/>
      <c r="AB931" s="35"/>
      <c r="AC931" s="35"/>
      <c r="AD931" s="35"/>
      <c r="AE931" s="35"/>
      <c r="AF931" s="35"/>
      <c r="AG931" s="35"/>
      <c r="AH931" s="35"/>
      <c r="AI931" s="35"/>
      <c r="AJ931" s="35"/>
      <c r="AK931" s="35"/>
    </row>
    <row r="932" ht="12.75" customHeight="1">
      <c r="A932" s="35"/>
      <c r="B932" s="35"/>
      <c r="C932" s="35"/>
      <c r="D932" s="35"/>
      <c r="E932" s="35"/>
      <c r="F932" s="35"/>
      <c r="G932" s="35"/>
      <c r="H932" s="35"/>
      <c r="I932" s="35"/>
      <c r="J932" s="35"/>
      <c r="K932" s="35"/>
      <c r="L932" s="35"/>
      <c r="M932" s="35"/>
      <c r="N932" s="35"/>
      <c r="O932" s="35"/>
      <c r="P932" s="35"/>
      <c r="Q932" s="35"/>
      <c r="R932" s="35"/>
      <c r="S932" s="35"/>
      <c r="T932" s="35"/>
      <c r="U932" s="35"/>
      <c r="V932" s="35"/>
      <c r="W932" s="35"/>
      <c r="X932" s="35"/>
      <c r="Y932" s="35"/>
      <c r="Z932" s="35"/>
      <c r="AA932" s="35"/>
      <c r="AB932" s="35"/>
      <c r="AC932" s="35"/>
      <c r="AD932" s="35"/>
      <c r="AE932" s="35"/>
      <c r="AF932" s="35"/>
      <c r="AG932" s="35"/>
      <c r="AH932" s="35"/>
      <c r="AI932" s="35"/>
      <c r="AJ932" s="35"/>
      <c r="AK932" s="35"/>
    </row>
    <row r="933" ht="12.75" customHeight="1">
      <c r="A933" s="35"/>
      <c r="B933" s="35"/>
      <c r="C933" s="35"/>
      <c r="D933" s="35"/>
      <c r="E933" s="35"/>
      <c r="F933" s="35"/>
      <c r="G933" s="35"/>
      <c r="H933" s="35"/>
      <c r="I933" s="35"/>
      <c r="J933" s="35"/>
      <c r="K933" s="35"/>
      <c r="L933" s="35"/>
      <c r="M933" s="35"/>
      <c r="N933" s="35"/>
      <c r="O933" s="35"/>
      <c r="P933" s="35"/>
      <c r="Q933" s="35"/>
      <c r="R933" s="35"/>
      <c r="S933" s="35"/>
      <c r="T933" s="35"/>
      <c r="U933" s="35"/>
      <c r="V933" s="35"/>
      <c r="W933" s="35"/>
      <c r="X933" s="35"/>
      <c r="Y933" s="35"/>
      <c r="Z933" s="35"/>
      <c r="AA933" s="35"/>
      <c r="AB933" s="35"/>
      <c r="AC933" s="35"/>
      <c r="AD933" s="35"/>
      <c r="AE933" s="35"/>
      <c r="AF933" s="35"/>
      <c r="AG933" s="35"/>
      <c r="AH933" s="35"/>
      <c r="AI933" s="35"/>
      <c r="AJ933" s="35"/>
      <c r="AK933" s="35"/>
    </row>
    <row r="934" ht="12.75" customHeight="1">
      <c r="A934" s="35"/>
      <c r="B934" s="35"/>
      <c r="C934" s="35"/>
      <c r="D934" s="35"/>
      <c r="E934" s="35"/>
      <c r="F934" s="35"/>
      <c r="G934" s="35"/>
      <c r="H934" s="35"/>
      <c r="I934" s="35"/>
      <c r="J934" s="35"/>
      <c r="K934" s="35"/>
      <c r="L934" s="35"/>
      <c r="M934" s="35"/>
      <c r="N934" s="35"/>
      <c r="O934" s="35"/>
      <c r="P934" s="35"/>
      <c r="Q934" s="35"/>
      <c r="R934" s="35"/>
      <c r="S934" s="35"/>
      <c r="T934" s="35"/>
      <c r="U934" s="35"/>
      <c r="V934" s="35"/>
      <c r="W934" s="35"/>
      <c r="X934" s="35"/>
      <c r="Y934" s="35"/>
      <c r="Z934" s="35"/>
      <c r="AA934" s="35"/>
      <c r="AB934" s="35"/>
      <c r="AC934" s="35"/>
      <c r="AD934" s="35"/>
      <c r="AE934" s="35"/>
      <c r="AF934" s="35"/>
      <c r="AG934" s="35"/>
      <c r="AH934" s="35"/>
      <c r="AI934" s="35"/>
      <c r="AJ934" s="35"/>
      <c r="AK934" s="35"/>
    </row>
    <row r="935" ht="12.75" customHeight="1">
      <c r="A935" s="35"/>
      <c r="B935" s="35"/>
      <c r="C935" s="35"/>
      <c r="D935" s="35"/>
      <c r="E935" s="35"/>
      <c r="F935" s="35"/>
      <c r="G935" s="35"/>
      <c r="H935" s="35"/>
      <c r="I935" s="35"/>
      <c r="J935" s="35"/>
      <c r="K935" s="35"/>
      <c r="L935" s="35"/>
      <c r="M935" s="35"/>
      <c r="N935" s="35"/>
      <c r="O935" s="35"/>
      <c r="P935" s="35"/>
      <c r="Q935" s="35"/>
      <c r="R935" s="35"/>
      <c r="S935" s="35"/>
      <c r="T935" s="35"/>
      <c r="U935" s="35"/>
      <c r="V935" s="35"/>
      <c r="W935" s="35"/>
      <c r="X935" s="35"/>
      <c r="Y935" s="35"/>
      <c r="Z935" s="35"/>
      <c r="AA935" s="35"/>
      <c r="AB935" s="35"/>
      <c r="AC935" s="35"/>
      <c r="AD935" s="35"/>
      <c r="AE935" s="35"/>
      <c r="AF935" s="35"/>
      <c r="AG935" s="35"/>
      <c r="AH935" s="35"/>
      <c r="AI935" s="35"/>
      <c r="AJ935" s="35"/>
      <c r="AK935" s="35"/>
    </row>
    <row r="936" ht="12.75" customHeight="1">
      <c r="A936" s="35"/>
      <c r="B936" s="35"/>
      <c r="C936" s="35"/>
      <c r="D936" s="35"/>
      <c r="E936" s="35"/>
      <c r="F936" s="35"/>
      <c r="G936" s="35"/>
      <c r="H936" s="35"/>
      <c r="I936" s="35"/>
      <c r="J936" s="35"/>
      <c r="K936" s="35"/>
      <c r="L936" s="35"/>
      <c r="M936" s="35"/>
      <c r="N936" s="35"/>
      <c r="O936" s="35"/>
      <c r="P936" s="35"/>
      <c r="Q936" s="35"/>
      <c r="R936" s="35"/>
      <c r="S936" s="35"/>
      <c r="T936" s="35"/>
      <c r="U936" s="35"/>
      <c r="V936" s="35"/>
      <c r="W936" s="35"/>
      <c r="X936" s="35"/>
      <c r="Y936" s="35"/>
      <c r="Z936" s="35"/>
      <c r="AA936" s="35"/>
      <c r="AB936" s="35"/>
      <c r="AC936" s="35"/>
      <c r="AD936" s="35"/>
      <c r="AE936" s="35"/>
      <c r="AF936" s="35"/>
      <c r="AG936" s="35"/>
      <c r="AH936" s="35"/>
      <c r="AI936" s="35"/>
      <c r="AJ936" s="35"/>
      <c r="AK936" s="35"/>
    </row>
    <row r="937" ht="12.75" customHeight="1">
      <c r="A937" s="35"/>
      <c r="B937" s="35"/>
      <c r="C937" s="35"/>
      <c r="D937" s="35"/>
      <c r="E937" s="35"/>
      <c r="F937" s="35"/>
      <c r="G937" s="35"/>
      <c r="H937" s="35"/>
      <c r="I937" s="35"/>
      <c r="J937" s="35"/>
      <c r="K937" s="35"/>
      <c r="L937" s="35"/>
      <c r="M937" s="35"/>
      <c r="N937" s="35"/>
      <c r="O937" s="35"/>
      <c r="P937" s="35"/>
      <c r="Q937" s="35"/>
      <c r="R937" s="35"/>
      <c r="S937" s="35"/>
      <c r="T937" s="35"/>
      <c r="U937" s="35"/>
      <c r="V937" s="35"/>
      <c r="W937" s="35"/>
      <c r="X937" s="35"/>
      <c r="Y937" s="35"/>
      <c r="Z937" s="35"/>
      <c r="AA937" s="35"/>
      <c r="AB937" s="35"/>
      <c r="AC937" s="35"/>
      <c r="AD937" s="35"/>
      <c r="AE937" s="35"/>
      <c r="AF937" s="35"/>
      <c r="AG937" s="35"/>
      <c r="AH937" s="35"/>
      <c r="AI937" s="35"/>
      <c r="AJ937" s="35"/>
      <c r="AK937" s="35"/>
    </row>
    <row r="938" ht="12.75" customHeight="1">
      <c r="A938" s="35"/>
      <c r="B938" s="35"/>
      <c r="C938" s="35"/>
      <c r="D938" s="35"/>
      <c r="E938" s="35"/>
      <c r="F938" s="35"/>
      <c r="G938" s="35"/>
      <c r="H938" s="35"/>
      <c r="I938" s="35"/>
      <c r="J938" s="35"/>
      <c r="K938" s="35"/>
      <c r="L938" s="35"/>
      <c r="M938" s="35"/>
      <c r="N938" s="35"/>
      <c r="O938" s="35"/>
      <c r="P938" s="35"/>
      <c r="Q938" s="35"/>
      <c r="R938" s="35"/>
      <c r="S938" s="35"/>
      <c r="T938" s="35"/>
      <c r="U938" s="35"/>
      <c r="V938" s="35"/>
      <c r="W938" s="35"/>
      <c r="X938" s="35"/>
      <c r="Y938" s="35"/>
      <c r="Z938" s="35"/>
      <c r="AA938" s="35"/>
      <c r="AB938" s="35"/>
      <c r="AC938" s="35"/>
      <c r="AD938" s="35"/>
      <c r="AE938" s="35"/>
      <c r="AF938" s="35"/>
      <c r="AG938" s="35"/>
      <c r="AH938" s="35"/>
      <c r="AI938" s="35"/>
      <c r="AJ938" s="35"/>
      <c r="AK938" s="35"/>
    </row>
    <row r="939" ht="12.75" customHeight="1">
      <c r="A939" s="35"/>
      <c r="B939" s="35"/>
      <c r="C939" s="35"/>
      <c r="D939" s="35"/>
      <c r="E939" s="35"/>
      <c r="F939" s="35"/>
      <c r="G939" s="35"/>
      <c r="H939" s="35"/>
      <c r="I939" s="35"/>
      <c r="J939" s="35"/>
      <c r="K939" s="35"/>
      <c r="L939" s="35"/>
      <c r="M939" s="35"/>
      <c r="N939" s="35"/>
      <c r="O939" s="35"/>
      <c r="P939" s="35"/>
      <c r="Q939" s="35"/>
      <c r="R939" s="35"/>
      <c r="S939" s="35"/>
      <c r="T939" s="35"/>
      <c r="U939" s="35"/>
      <c r="V939" s="35"/>
      <c r="W939" s="35"/>
      <c r="X939" s="35"/>
      <c r="Y939" s="35"/>
      <c r="Z939" s="35"/>
      <c r="AA939" s="35"/>
      <c r="AB939" s="35"/>
      <c r="AC939" s="35"/>
      <c r="AD939" s="35"/>
      <c r="AE939" s="35"/>
      <c r="AF939" s="35"/>
      <c r="AG939" s="35"/>
      <c r="AH939" s="35"/>
      <c r="AI939" s="35"/>
      <c r="AJ939" s="35"/>
      <c r="AK939" s="35"/>
    </row>
    <row r="940" ht="12.75" customHeight="1">
      <c r="A940" s="35"/>
      <c r="B940" s="35"/>
      <c r="C940" s="35"/>
      <c r="D940" s="35"/>
      <c r="E940" s="35"/>
      <c r="F940" s="35"/>
      <c r="G940" s="35"/>
      <c r="H940" s="35"/>
      <c r="I940" s="35"/>
      <c r="J940" s="35"/>
      <c r="K940" s="35"/>
      <c r="L940" s="35"/>
      <c r="M940" s="35"/>
      <c r="N940" s="35"/>
      <c r="O940" s="35"/>
      <c r="P940" s="35"/>
      <c r="Q940" s="35"/>
      <c r="R940" s="35"/>
      <c r="S940" s="35"/>
      <c r="T940" s="35"/>
      <c r="U940" s="35"/>
      <c r="V940" s="35"/>
      <c r="W940" s="35"/>
      <c r="X940" s="35"/>
      <c r="Y940" s="35"/>
      <c r="Z940" s="35"/>
      <c r="AA940" s="35"/>
      <c r="AB940" s="35"/>
      <c r="AC940" s="35"/>
      <c r="AD940" s="35"/>
      <c r="AE940" s="35"/>
      <c r="AF940" s="35"/>
      <c r="AG940" s="35"/>
      <c r="AH940" s="35"/>
      <c r="AI940" s="35"/>
      <c r="AJ940" s="35"/>
      <c r="AK940" s="35"/>
    </row>
    <row r="941" ht="12.75" customHeight="1">
      <c r="A941" s="35"/>
      <c r="B941" s="35"/>
      <c r="C941" s="35"/>
      <c r="D941" s="35"/>
      <c r="E941" s="35"/>
      <c r="F941" s="35"/>
      <c r="G941" s="35"/>
      <c r="H941" s="35"/>
      <c r="I941" s="35"/>
      <c r="J941" s="35"/>
      <c r="K941" s="35"/>
      <c r="L941" s="35"/>
      <c r="M941" s="35"/>
      <c r="N941" s="35"/>
      <c r="O941" s="35"/>
      <c r="P941" s="35"/>
      <c r="Q941" s="35"/>
      <c r="R941" s="35"/>
      <c r="S941" s="35"/>
      <c r="T941" s="35"/>
      <c r="U941" s="35"/>
      <c r="V941" s="35"/>
      <c r="W941" s="35"/>
      <c r="X941" s="35"/>
      <c r="Y941" s="35"/>
      <c r="Z941" s="35"/>
      <c r="AA941" s="35"/>
      <c r="AB941" s="35"/>
      <c r="AC941" s="35"/>
      <c r="AD941" s="35"/>
      <c r="AE941" s="35"/>
      <c r="AF941" s="35"/>
      <c r="AG941" s="35"/>
      <c r="AH941" s="35"/>
      <c r="AI941" s="35"/>
      <c r="AJ941" s="35"/>
      <c r="AK941" s="35"/>
    </row>
    <row r="942" ht="12.75" customHeight="1">
      <c r="A942" s="35"/>
      <c r="B942" s="35"/>
      <c r="C942" s="35"/>
      <c r="D942" s="35"/>
      <c r="E942" s="35"/>
      <c r="F942" s="35"/>
      <c r="G942" s="35"/>
      <c r="H942" s="35"/>
      <c r="I942" s="35"/>
      <c r="J942" s="35"/>
      <c r="K942" s="35"/>
      <c r="L942" s="35"/>
      <c r="M942" s="35"/>
      <c r="N942" s="35"/>
      <c r="O942" s="35"/>
      <c r="P942" s="35"/>
      <c r="Q942" s="35"/>
      <c r="R942" s="35"/>
      <c r="S942" s="35"/>
      <c r="T942" s="35"/>
      <c r="U942" s="35"/>
      <c r="V942" s="35"/>
      <c r="W942" s="35"/>
      <c r="X942" s="35"/>
      <c r="Y942" s="35"/>
      <c r="Z942" s="35"/>
      <c r="AA942" s="35"/>
      <c r="AB942" s="35"/>
      <c r="AC942" s="35"/>
      <c r="AD942" s="35"/>
      <c r="AE942" s="35"/>
      <c r="AF942" s="35"/>
      <c r="AG942" s="35"/>
      <c r="AH942" s="35"/>
      <c r="AI942" s="35"/>
      <c r="AJ942" s="35"/>
      <c r="AK942" s="35"/>
    </row>
    <row r="943" ht="12.75" customHeight="1">
      <c r="A943" s="35"/>
      <c r="B943" s="35"/>
      <c r="C943" s="35"/>
      <c r="D943" s="35"/>
      <c r="E943" s="35"/>
      <c r="F943" s="35"/>
      <c r="G943" s="35"/>
      <c r="H943" s="35"/>
      <c r="I943" s="35"/>
      <c r="J943" s="35"/>
      <c r="K943" s="35"/>
      <c r="L943" s="35"/>
      <c r="M943" s="35"/>
      <c r="N943" s="35"/>
      <c r="O943" s="35"/>
      <c r="P943" s="35"/>
      <c r="Q943" s="35"/>
      <c r="R943" s="35"/>
      <c r="S943" s="35"/>
      <c r="T943" s="35"/>
      <c r="U943" s="35"/>
      <c r="V943" s="35"/>
      <c r="W943" s="35"/>
      <c r="X943" s="35"/>
      <c r="Y943" s="35"/>
      <c r="Z943" s="35"/>
      <c r="AA943" s="35"/>
      <c r="AB943" s="35"/>
      <c r="AC943" s="35"/>
      <c r="AD943" s="35"/>
      <c r="AE943" s="35"/>
      <c r="AF943" s="35"/>
      <c r="AG943" s="35"/>
      <c r="AH943" s="35"/>
      <c r="AI943" s="35"/>
      <c r="AJ943" s="35"/>
      <c r="AK943" s="35"/>
    </row>
    <row r="944" ht="12.75" customHeight="1">
      <c r="A944" s="35"/>
      <c r="B944" s="35"/>
      <c r="C944" s="35"/>
      <c r="D944" s="35"/>
      <c r="E944" s="35"/>
      <c r="F944" s="35"/>
      <c r="G944" s="35"/>
      <c r="H944" s="35"/>
      <c r="I944" s="35"/>
      <c r="J944" s="35"/>
      <c r="K944" s="35"/>
      <c r="L944" s="35"/>
      <c r="M944" s="35"/>
      <c r="N944" s="35"/>
      <c r="O944" s="35"/>
      <c r="P944" s="35"/>
      <c r="Q944" s="35"/>
      <c r="R944" s="35"/>
      <c r="S944" s="35"/>
      <c r="T944" s="35"/>
      <c r="U944" s="35"/>
      <c r="V944" s="35"/>
      <c r="W944" s="35"/>
      <c r="X944" s="35"/>
      <c r="Y944" s="35"/>
      <c r="Z944" s="35"/>
      <c r="AA944" s="35"/>
      <c r="AB944" s="35"/>
      <c r="AC944" s="35"/>
      <c r="AD944" s="35"/>
      <c r="AE944" s="35"/>
      <c r="AF944" s="35"/>
      <c r="AG944" s="35"/>
      <c r="AH944" s="35"/>
      <c r="AI944" s="35"/>
      <c r="AJ944" s="35"/>
      <c r="AK944" s="35"/>
    </row>
    <row r="945" ht="12.75" customHeight="1">
      <c r="A945" s="35"/>
      <c r="B945" s="35"/>
      <c r="C945" s="35"/>
      <c r="D945" s="35"/>
      <c r="E945" s="35"/>
      <c r="F945" s="35"/>
      <c r="G945" s="35"/>
      <c r="H945" s="35"/>
      <c r="I945" s="35"/>
      <c r="J945" s="35"/>
      <c r="K945" s="35"/>
      <c r="L945" s="35"/>
      <c r="M945" s="35"/>
      <c r="N945" s="35"/>
      <c r="O945" s="35"/>
      <c r="P945" s="35"/>
      <c r="Q945" s="35"/>
      <c r="R945" s="35"/>
      <c r="S945" s="35"/>
      <c r="T945" s="35"/>
      <c r="U945" s="35"/>
      <c r="V945" s="35"/>
      <c r="W945" s="35"/>
      <c r="X945" s="35"/>
      <c r="Y945" s="35"/>
      <c r="Z945" s="35"/>
      <c r="AA945" s="35"/>
      <c r="AB945" s="35"/>
      <c r="AC945" s="35"/>
      <c r="AD945" s="35"/>
      <c r="AE945" s="35"/>
      <c r="AF945" s="35"/>
      <c r="AG945" s="35"/>
      <c r="AH945" s="35"/>
      <c r="AI945" s="35"/>
      <c r="AJ945" s="35"/>
      <c r="AK945" s="35"/>
    </row>
    <row r="946" ht="12.75" customHeight="1">
      <c r="A946" s="35"/>
      <c r="B946" s="35"/>
      <c r="C946" s="35"/>
      <c r="D946" s="35"/>
      <c r="E946" s="35"/>
      <c r="F946" s="35"/>
      <c r="G946" s="35"/>
      <c r="H946" s="35"/>
      <c r="I946" s="35"/>
      <c r="J946" s="35"/>
      <c r="K946" s="35"/>
      <c r="L946" s="35"/>
      <c r="M946" s="35"/>
      <c r="N946" s="35"/>
      <c r="O946" s="35"/>
      <c r="P946" s="35"/>
      <c r="Q946" s="35"/>
      <c r="R946" s="35"/>
      <c r="S946" s="35"/>
      <c r="T946" s="35"/>
      <c r="U946" s="35"/>
      <c r="V946" s="35"/>
      <c r="W946" s="35"/>
      <c r="X946" s="35"/>
      <c r="Y946" s="35"/>
      <c r="Z946" s="35"/>
      <c r="AA946" s="35"/>
      <c r="AB946" s="35"/>
      <c r="AC946" s="35"/>
      <c r="AD946" s="35"/>
      <c r="AE946" s="35"/>
      <c r="AF946" s="35"/>
      <c r="AG946" s="35"/>
      <c r="AH946" s="35"/>
      <c r="AI946" s="35"/>
      <c r="AJ946" s="35"/>
      <c r="AK946" s="35"/>
    </row>
    <row r="947" ht="12.75" customHeight="1">
      <c r="A947" s="35"/>
      <c r="B947" s="35"/>
      <c r="C947" s="35"/>
      <c r="D947" s="35"/>
      <c r="E947" s="35"/>
      <c r="F947" s="35"/>
      <c r="G947" s="35"/>
      <c r="H947" s="35"/>
      <c r="I947" s="35"/>
      <c r="J947" s="35"/>
      <c r="K947" s="35"/>
      <c r="L947" s="35"/>
      <c r="M947" s="35"/>
      <c r="N947" s="35"/>
      <c r="O947" s="35"/>
      <c r="P947" s="35"/>
      <c r="Q947" s="35"/>
      <c r="R947" s="35"/>
      <c r="S947" s="35"/>
      <c r="T947" s="35"/>
      <c r="U947" s="35"/>
      <c r="V947" s="35"/>
      <c r="W947" s="35"/>
      <c r="X947" s="35"/>
      <c r="Y947" s="35"/>
      <c r="Z947" s="35"/>
      <c r="AA947" s="35"/>
      <c r="AB947" s="35"/>
      <c r="AC947" s="35"/>
      <c r="AD947" s="35"/>
      <c r="AE947" s="35"/>
      <c r="AF947" s="35"/>
      <c r="AG947" s="35"/>
      <c r="AH947" s="35"/>
      <c r="AI947" s="35"/>
      <c r="AJ947" s="35"/>
      <c r="AK947" s="35"/>
    </row>
    <row r="948" ht="12.75" customHeight="1">
      <c r="A948" s="35"/>
      <c r="B948" s="35"/>
      <c r="C948" s="35"/>
      <c r="D948" s="35"/>
      <c r="E948" s="35"/>
      <c r="F948" s="35"/>
      <c r="G948" s="35"/>
      <c r="H948" s="35"/>
      <c r="I948" s="35"/>
      <c r="J948" s="35"/>
      <c r="K948" s="35"/>
      <c r="L948" s="35"/>
      <c r="M948" s="35"/>
      <c r="N948" s="35"/>
      <c r="O948" s="35"/>
      <c r="P948" s="35"/>
      <c r="Q948" s="35"/>
      <c r="R948" s="35"/>
      <c r="S948" s="35"/>
      <c r="T948" s="35"/>
      <c r="U948" s="35"/>
      <c r="V948" s="35"/>
      <c r="W948" s="35"/>
      <c r="X948" s="35"/>
      <c r="Y948" s="35"/>
      <c r="Z948" s="35"/>
      <c r="AA948" s="35"/>
      <c r="AB948" s="35"/>
      <c r="AC948" s="35"/>
      <c r="AD948" s="35"/>
      <c r="AE948" s="35"/>
      <c r="AF948" s="35"/>
      <c r="AG948" s="35"/>
      <c r="AH948" s="35"/>
      <c r="AI948" s="35"/>
      <c r="AJ948" s="35"/>
      <c r="AK948" s="35"/>
    </row>
    <row r="949" ht="12.75" customHeight="1">
      <c r="A949" s="35"/>
      <c r="B949" s="35"/>
      <c r="C949" s="35"/>
      <c r="D949" s="35"/>
      <c r="E949" s="35"/>
      <c r="F949" s="35"/>
      <c r="G949" s="35"/>
      <c r="H949" s="35"/>
      <c r="I949" s="35"/>
      <c r="J949" s="35"/>
      <c r="K949" s="35"/>
      <c r="L949" s="35"/>
      <c r="M949" s="35"/>
      <c r="N949" s="35"/>
      <c r="O949" s="35"/>
      <c r="P949" s="35"/>
      <c r="Q949" s="35"/>
      <c r="R949" s="35"/>
      <c r="S949" s="35"/>
      <c r="T949" s="35"/>
      <c r="U949" s="35"/>
      <c r="V949" s="35"/>
      <c r="W949" s="35"/>
      <c r="X949" s="35"/>
      <c r="Y949" s="35"/>
      <c r="Z949" s="35"/>
      <c r="AA949" s="35"/>
      <c r="AB949" s="35"/>
      <c r="AC949" s="35"/>
      <c r="AD949" s="35"/>
      <c r="AE949" s="35"/>
      <c r="AF949" s="35"/>
      <c r="AG949" s="35"/>
      <c r="AH949" s="35"/>
      <c r="AI949" s="35"/>
      <c r="AJ949" s="35"/>
      <c r="AK949" s="35"/>
    </row>
    <row r="950" ht="12.75" customHeight="1">
      <c r="A950" s="35"/>
      <c r="B950" s="35"/>
      <c r="C950" s="35"/>
      <c r="D950" s="35"/>
      <c r="E950" s="35"/>
      <c r="F950" s="35"/>
      <c r="G950" s="35"/>
      <c r="H950" s="35"/>
      <c r="I950" s="35"/>
      <c r="J950" s="35"/>
      <c r="K950" s="35"/>
      <c r="L950" s="35"/>
      <c r="M950" s="35"/>
      <c r="N950" s="35"/>
      <c r="O950" s="35"/>
      <c r="P950" s="35"/>
      <c r="Q950" s="35"/>
      <c r="R950" s="35"/>
      <c r="S950" s="35"/>
      <c r="T950" s="35"/>
      <c r="U950" s="35"/>
      <c r="V950" s="35"/>
      <c r="W950" s="35"/>
      <c r="X950" s="35"/>
      <c r="Y950" s="35"/>
      <c r="Z950" s="35"/>
      <c r="AA950" s="35"/>
      <c r="AB950" s="35"/>
      <c r="AC950" s="35"/>
      <c r="AD950" s="35"/>
      <c r="AE950" s="35"/>
      <c r="AF950" s="35"/>
      <c r="AG950" s="35"/>
      <c r="AH950" s="35"/>
      <c r="AI950" s="35"/>
      <c r="AJ950" s="35"/>
      <c r="AK950" s="35"/>
    </row>
    <row r="951" ht="12.75" customHeight="1">
      <c r="A951" s="35"/>
      <c r="B951" s="35"/>
      <c r="C951" s="35"/>
      <c r="D951" s="35"/>
      <c r="E951" s="35"/>
      <c r="F951" s="35"/>
      <c r="G951" s="35"/>
      <c r="H951" s="35"/>
      <c r="I951" s="35"/>
      <c r="J951" s="35"/>
      <c r="K951" s="35"/>
      <c r="L951" s="35"/>
      <c r="M951" s="35"/>
      <c r="N951" s="35"/>
      <c r="O951" s="35"/>
      <c r="P951" s="35"/>
      <c r="Q951" s="35"/>
      <c r="R951" s="35"/>
      <c r="S951" s="35"/>
      <c r="T951" s="35"/>
      <c r="U951" s="35"/>
      <c r="V951" s="35"/>
      <c r="W951" s="35"/>
      <c r="X951" s="35"/>
      <c r="Y951" s="35"/>
      <c r="Z951" s="35"/>
      <c r="AA951" s="35"/>
      <c r="AB951" s="35"/>
      <c r="AC951" s="35"/>
      <c r="AD951" s="35"/>
      <c r="AE951" s="35"/>
      <c r="AF951" s="35"/>
      <c r="AG951" s="35"/>
      <c r="AH951" s="35"/>
      <c r="AI951" s="35"/>
      <c r="AJ951" s="35"/>
      <c r="AK951" s="35"/>
    </row>
    <row r="952" ht="12.75" customHeight="1">
      <c r="A952" s="35"/>
      <c r="B952" s="35"/>
      <c r="C952" s="35"/>
      <c r="D952" s="35"/>
      <c r="E952" s="35"/>
      <c r="F952" s="35"/>
      <c r="G952" s="35"/>
      <c r="H952" s="35"/>
      <c r="I952" s="35"/>
      <c r="J952" s="35"/>
      <c r="K952" s="35"/>
      <c r="L952" s="35"/>
      <c r="M952" s="35"/>
      <c r="N952" s="35"/>
      <c r="O952" s="35"/>
      <c r="P952" s="35"/>
      <c r="Q952" s="35"/>
      <c r="R952" s="35"/>
      <c r="S952" s="35"/>
      <c r="T952" s="35"/>
      <c r="U952" s="35"/>
      <c r="V952" s="35"/>
      <c r="W952" s="35"/>
      <c r="X952" s="35"/>
      <c r="Y952" s="35"/>
      <c r="Z952" s="35"/>
      <c r="AA952" s="35"/>
      <c r="AB952" s="35"/>
      <c r="AC952" s="35"/>
      <c r="AD952" s="35"/>
      <c r="AE952" s="35"/>
      <c r="AF952" s="35"/>
      <c r="AG952" s="35"/>
      <c r="AH952" s="35"/>
      <c r="AI952" s="35"/>
      <c r="AJ952" s="35"/>
      <c r="AK952" s="35"/>
    </row>
    <row r="953" ht="12.75" customHeight="1">
      <c r="A953" s="35"/>
      <c r="B953" s="35"/>
      <c r="C953" s="35"/>
      <c r="D953" s="35"/>
      <c r="E953" s="35"/>
      <c r="F953" s="35"/>
      <c r="G953" s="35"/>
      <c r="H953" s="35"/>
      <c r="I953" s="35"/>
      <c r="J953" s="35"/>
      <c r="K953" s="35"/>
      <c r="L953" s="35"/>
      <c r="M953" s="35"/>
      <c r="N953" s="35"/>
      <c r="O953" s="35"/>
      <c r="P953" s="35"/>
      <c r="Q953" s="35"/>
      <c r="R953" s="35"/>
      <c r="S953" s="35"/>
      <c r="T953" s="35"/>
      <c r="U953" s="35"/>
      <c r="V953" s="35"/>
      <c r="W953" s="35"/>
      <c r="X953" s="35"/>
      <c r="Y953" s="35"/>
      <c r="Z953" s="35"/>
      <c r="AA953" s="35"/>
      <c r="AB953" s="35"/>
      <c r="AC953" s="35"/>
      <c r="AD953" s="35"/>
      <c r="AE953" s="35"/>
      <c r="AF953" s="35"/>
      <c r="AG953" s="35"/>
      <c r="AH953" s="35"/>
      <c r="AI953" s="35"/>
      <c r="AJ953" s="35"/>
      <c r="AK953" s="35"/>
    </row>
    <row r="954" ht="12.75" customHeight="1">
      <c r="A954" s="35"/>
      <c r="B954" s="35"/>
      <c r="C954" s="35"/>
      <c r="D954" s="35"/>
      <c r="E954" s="35"/>
      <c r="F954" s="35"/>
      <c r="G954" s="35"/>
      <c r="H954" s="35"/>
      <c r="I954" s="35"/>
      <c r="J954" s="35"/>
      <c r="K954" s="35"/>
      <c r="L954" s="35"/>
      <c r="M954" s="35"/>
      <c r="N954" s="35"/>
      <c r="O954" s="35"/>
      <c r="P954" s="35"/>
      <c r="Q954" s="35"/>
      <c r="R954" s="35"/>
      <c r="S954" s="35"/>
      <c r="T954" s="35"/>
      <c r="U954" s="35"/>
      <c r="V954" s="35"/>
      <c r="W954" s="35"/>
      <c r="X954" s="35"/>
      <c r="Y954" s="35"/>
      <c r="Z954" s="35"/>
      <c r="AA954" s="35"/>
      <c r="AB954" s="35"/>
      <c r="AC954" s="35"/>
      <c r="AD954" s="35"/>
      <c r="AE954" s="35"/>
      <c r="AF954" s="35"/>
      <c r="AG954" s="35"/>
      <c r="AH954" s="35"/>
      <c r="AI954" s="35"/>
      <c r="AJ954" s="35"/>
      <c r="AK954" s="35"/>
    </row>
    <row r="955" ht="12.75" customHeight="1">
      <c r="A955" s="35"/>
      <c r="B955" s="35"/>
      <c r="C955" s="35"/>
      <c r="D955" s="35"/>
      <c r="E955" s="35"/>
      <c r="F955" s="35"/>
      <c r="G955" s="35"/>
      <c r="H955" s="35"/>
      <c r="I955" s="35"/>
      <c r="J955" s="35"/>
      <c r="K955" s="35"/>
      <c r="L955" s="35"/>
      <c r="M955" s="35"/>
      <c r="N955" s="35"/>
      <c r="O955" s="35"/>
      <c r="P955" s="35"/>
      <c r="Q955" s="35"/>
      <c r="R955" s="35"/>
      <c r="S955" s="35"/>
      <c r="T955" s="35"/>
      <c r="U955" s="35"/>
      <c r="V955" s="35"/>
      <c r="W955" s="35"/>
      <c r="X955" s="35"/>
      <c r="Y955" s="35"/>
      <c r="Z955" s="35"/>
      <c r="AA955" s="35"/>
      <c r="AB955" s="35"/>
      <c r="AC955" s="35"/>
      <c r="AD955" s="35"/>
      <c r="AE955" s="35"/>
      <c r="AF955" s="35"/>
      <c r="AG955" s="35"/>
      <c r="AH955" s="35"/>
      <c r="AI955" s="35"/>
      <c r="AJ955" s="35"/>
      <c r="AK955" s="35"/>
    </row>
    <row r="956" ht="12.75" customHeight="1">
      <c r="A956" s="35"/>
      <c r="B956" s="35"/>
      <c r="C956" s="35"/>
      <c r="D956" s="35"/>
      <c r="E956" s="35"/>
      <c r="F956" s="35"/>
      <c r="G956" s="35"/>
      <c r="H956" s="35"/>
      <c r="I956" s="35"/>
      <c r="J956" s="35"/>
      <c r="K956" s="35"/>
      <c r="L956" s="35"/>
      <c r="M956" s="35"/>
      <c r="N956" s="35"/>
      <c r="O956" s="35"/>
      <c r="P956" s="35"/>
      <c r="Q956" s="35"/>
      <c r="R956" s="35"/>
      <c r="S956" s="35"/>
      <c r="T956" s="35"/>
      <c r="U956" s="35"/>
      <c r="V956" s="35"/>
      <c r="W956" s="35"/>
      <c r="X956" s="35"/>
      <c r="Y956" s="35"/>
      <c r="Z956" s="35"/>
      <c r="AA956" s="35"/>
      <c r="AB956" s="35"/>
      <c r="AC956" s="35"/>
      <c r="AD956" s="35"/>
      <c r="AE956" s="35"/>
      <c r="AF956" s="35"/>
      <c r="AG956" s="35"/>
      <c r="AH956" s="35"/>
      <c r="AI956" s="35"/>
      <c r="AJ956" s="35"/>
      <c r="AK956" s="35"/>
    </row>
    <row r="957" ht="12.75" customHeight="1">
      <c r="A957" s="35"/>
      <c r="B957" s="35"/>
      <c r="C957" s="35"/>
      <c r="D957" s="35"/>
      <c r="E957" s="35"/>
      <c r="F957" s="35"/>
      <c r="G957" s="35"/>
      <c r="H957" s="35"/>
      <c r="I957" s="35"/>
      <c r="J957" s="35"/>
      <c r="K957" s="35"/>
      <c r="L957" s="35"/>
      <c r="M957" s="35"/>
      <c r="N957" s="35"/>
      <c r="O957" s="35"/>
      <c r="P957" s="35"/>
      <c r="Q957" s="35"/>
      <c r="R957" s="35"/>
      <c r="S957" s="35"/>
      <c r="T957" s="35"/>
      <c r="U957" s="35"/>
      <c r="V957" s="35"/>
      <c r="W957" s="35"/>
      <c r="X957" s="35"/>
      <c r="Y957" s="35"/>
      <c r="Z957" s="35"/>
      <c r="AA957" s="35"/>
      <c r="AB957" s="35"/>
      <c r="AC957" s="35"/>
      <c r="AD957" s="35"/>
      <c r="AE957" s="35"/>
      <c r="AF957" s="35"/>
      <c r="AG957" s="35"/>
      <c r="AH957" s="35"/>
      <c r="AI957" s="35"/>
      <c r="AJ957" s="35"/>
      <c r="AK957" s="35"/>
    </row>
    <row r="958" ht="12.75" customHeight="1">
      <c r="A958" s="35"/>
      <c r="B958" s="35"/>
      <c r="C958" s="35"/>
      <c r="D958" s="35"/>
      <c r="E958" s="35"/>
      <c r="F958" s="35"/>
      <c r="G958" s="35"/>
      <c r="H958" s="35"/>
      <c r="I958" s="35"/>
      <c r="J958" s="35"/>
      <c r="K958" s="35"/>
      <c r="L958" s="35"/>
      <c r="M958" s="35"/>
      <c r="N958" s="35"/>
      <c r="O958" s="35"/>
      <c r="P958" s="35"/>
      <c r="Q958" s="35"/>
      <c r="R958" s="35"/>
      <c r="S958" s="35"/>
      <c r="T958" s="35"/>
      <c r="U958" s="35"/>
      <c r="V958" s="35"/>
      <c r="W958" s="35"/>
      <c r="X958" s="35"/>
      <c r="Y958" s="35"/>
      <c r="Z958" s="35"/>
      <c r="AA958" s="35"/>
      <c r="AB958" s="35"/>
      <c r="AC958" s="35"/>
      <c r="AD958" s="35"/>
      <c r="AE958" s="35"/>
      <c r="AF958" s="35"/>
      <c r="AG958" s="35"/>
      <c r="AH958" s="35"/>
      <c r="AI958" s="35"/>
      <c r="AJ958" s="35"/>
      <c r="AK958" s="35"/>
    </row>
    <row r="959" ht="12.75" customHeight="1">
      <c r="A959" s="35"/>
      <c r="B959" s="35"/>
      <c r="C959" s="35"/>
      <c r="D959" s="35"/>
      <c r="E959" s="35"/>
      <c r="F959" s="35"/>
      <c r="G959" s="35"/>
      <c r="H959" s="35"/>
      <c r="I959" s="35"/>
      <c r="J959" s="35"/>
      <c r="K959" s="35"/>
      <c r="L959" s="35"/>
      <c r="M959" s="35"/>
      <c r="N959" s="35"/>
      <c r="O959" s="35"/>
      <c r="P959" s="35"/>
      <c r="Q959" s="35"/>
      <c r="R959" s="35"/>
      <c r="S959" s="35"/>
      <c r="T959" s="35"/>
      <c r="U959" s="35"/>
      <c r="V959" s="35"/>
      <c r="W959" s="35"/>
      <c r="X959" s="35"/>
      <c r="Y959" s="35"/>
      <c r="Z959" s="35"/>
      <c r="AA959" s="35"/>
      <c r="AB959" s="35"/>
      <c r="AC959" s="35"/>
      <c r="AD959" s="35"/>
      <c r="AE959" s="35"/>
      <c r="AF959" s="35"/>
      <c r="AG959" s="35"/>
      <c r="AH959" s="35"/>
      <c r="AI959" s="35"/>
      <c r="AJ959" s="35"/>
      <c r="AK959" s="35"/>
    </row>
    <row r="960" ht="12.75" customHeight="1">
      <c r="A960" s="35"/>
      <c r="B960" s="35"/>
      <c r="C960" s="35"/>
      <c r="D960" s="35"/>
      <c r="E960" s="35"/>
      <c r="F960" s="35"/>
      <c r="G960" s="35"/>
      <c r="H960" s="35"/>
      <c r="I960" s="35"/>
      <c r="J960" s="35"/>
      <c r="K960" s="35"/>
      <c r="L960" s="35"/>
      <c r="M960" s="35"/>
      <c r="N960" s="35"/>
      <c r="O960" s="35"/>
      <c r="P960" s="35"/>
      <c r="Q960" s="35"/>
      <c r="R960" s="35"/>
      <c r="S960" s="35"/>
      <c r="T960" s="35"/>
      <c r="U960" s="35"/>
      <c r="V960" s="35"/>
      <c r="W960" s="35"/>
      <c r="X960" s="35"/>
      <c r="Y960" s="35"/>
      <c r="Z960" s="35"/>
      <c r="AA960" s="35"/>
      <c r="AB960" s="35"/>
      <c r="AC960" s="35"/>
      <c r="AD960" s="35"/>
      <c r="AE960" s="35"/>
      <c r="AF960" s="35"/>
      <c r="AG960" s="35"/>
      <c r="AH960" s="35"/>
      <c r="AI960" s="35"/>
      <c r="AJ960" s="35"/>
      <c r="AK960" s="35"/>
    </row>
    <row r="961" ht="12.75" customHeight="1">
      <c r="A961" s="35"/>
      <c r="B961" s="35"/>
      <c r="C961" s="35"/>
      <c r="D961" s="35"/>
      <c r="E961" s="35"/>
      <c r="F961" s="35"/>
      <c r="G961" s="35"/>
      <c r="H961" s="35"/>
      <c r="I961" s="35"/>
      <c r="J961" s="35"/>
      <c r="K961" s="35"/>
      <c r="L961" s="35"/>
      <c r="M961" s="35"/>
      <c r="N961" s="35"/>
      <c r="O961" s="35"/>
      <c r="P961" s="35"/>
      <c r="Q961" s="35"/>
      <c r="R961" s="35"/>
      <c r="S961" s="35"/>
      <c r="T961" s="35"/>
      <c r="U961" s="35"/>
      <c r="V961" s="35"/>
      <c r="W961" s="35"/>
      <c r="X961" s="35"/>
      <c r="Y961" s="35"/>
      <c r="Z961" s="35"/>
      <c r="AA961" s="35"/>
      <c r="AB961" s="35"/>
      <c r="AC961" s="35"/>
      <c r="AD961" s="35"/>
      <c r="AE961" s="35"/>
      <c r="AF961" s="35"/>
      <c r="AG961" s="35"/>
      <c r="AH961" s="35"/>
      <c r="AI961" s="35"/>
      <c r="AJ961" s="35"/>
      <c r="AK961" s="35"/>
    </row>
    <row r="962" ht="12.75" customHeight="1">
      <c r="A962" s="35"/>
      <c r="B962" s="35"/>
      <c r="C962" s="35"/>
      <c r="D962" s="35"/>
      <c r="E962" s="35"/>
      <c r="F962" s="35"/>
      <c r="G962" s="35"/>
      <c r="H962" s="35"/>
      <c r="I962" s="35"/>
      <c r="J962" s="35"/>
      <c r="K962" s="35"/>
      <c r="L962" s="35"/>
      <c r="M962" s="35"/>
      <c r="N962" s="35"/>
      <c r="O962" s="35"/>
      <c r="P962" s="35"/>
      <c r="Q962" s="35"/>
      <c r="R962" s="35"/>
      <c r="S962" s="35"/>
      <c r="T962" s="35"/>
      <c r="U962" s="35"/>
      <c r="V962" s="35"/>
      <c r="W962" s="35"/>
      <c r="X962" s="35"/>
      <c r="Y962" s="35"/>
      <c r="Z962" s="35"/>
      <c r="AA962" s="35"/>
      <c r="AB962" s="35"/>
      <c r="AC962" s="35"/>
      <c r="AD962" s="35"/>
      <c r="AE962" s="35"/>
      <c r="AF962" s="35"/>
      <c r="AG962" s="35"/>
      <c r="AH962" s="35"/>
      <c r="AI962" s="35"/>
      <c r="AJ962" s="35"/>
      <c r="AK962" s="35"/>
    </row>
    <row r="963" ht="12.75" customHeight="1">
      <c r="A963" s="35"/>
      <c r="B963" s="35"/>
      <c r="C963" s="35"/>
      <c r="D963" s="35"/>
      <c r="E963" s="35"/>
      <c r="F963" s="35"/>
      <c r="G963" s="35"/>
      <c r="H963" s="35"/>
      <c r="I963" s="35"/>
      <c r="J963" s="35"/>
      <c r="K963" s="35"/>
      <c r="L963" s="35"/>
      <c r="M963" s="35"/>
      <c r="N963" s="35"/>
      <c r="O963" s="35"/>
      <c r="P963" s="35"/>
      <c r="Q963" s="35"/>
      <c r="R963" s="35"/>
      <c r="S963" s="35"/>
      <c r="T963" s="35"/>
      <c r="U963" s="35"/>
      <c r="V963" s="35"/>
      <c r="W963" s="35"/>
      <c r="X963" s="35"/>
      <c r="Y963" s="35"/>
      <c r="Z963" s="35"/>
      <c r="AA963" s="35"/>
      <c r="AB963" s="35"/>
      <c r="AC963" s="35"/>
      <c r="AD963" s="35"/>
      <c r="AE963" s="35"/>
      <c r="AF963" s="35"/>
      <c r="AG963" s="35"/>
      <c r="AH963" s="35"/>
      <c r="AI963" s="35"/>
      <c r="AJ963" s="35"/>
      <c r="AK963" s="35"/>
    </row>
    <row r="964" ht="12.75" customHeight="1">
      <c r="A964" s="35"/>
      <c r="B964" s="35"/>
      <c r="C964" s="35"/>
      <c r="D964" s="35"/>
      <c r="E964" s="35"/>
      <c r="F964" s="35"/>
      <c r="G964" s="35"/>
      <c r="H964" s="35"/>
      <c r="I964" s="35"/>
      <c r="J964" s="35"/>
      <c r="K964" s="35"/>
      <c r="L964" s="35"/>
      <c r="M964" s="35"/>
      <c r="N964" s="35"/>
      <c r="O964" s="35"/>
      <c r="P964" s="35"/>
      <c r="Q964" s="35"/>
      <c r="R964" s="35"/>
      <c r="S964" s="35"/>
      <c r="T964" s="35"/>
      <c r="U964" s="35"/>
      <c r="V964" s="35"/>
      <c r="W964" s="35"/>
      <c r="X964" s="35"/>
      <c r="Y964" s="35"/>
      <c r="Z964" s="35"/>
      <c r="AA964" s="35"/>
      <c r="AB964" s="35"/>
      <c r="AC964" s="35"/>
      <c r="AD964" s="35"/>
      <c r="AE964" s="35"/>
      <c r="AF964" s="35"/>
      <c r="AG964" s="35"/>
      <c r="AH964" s="35"/>
      <c r="AI964" s="35"/>
      <c r="AJ964" s="35"/>
      <c r="AK964" s="35"/>
    </row>
    <row r="965" ht="12.75" customHeight="1">
      <c r="A965" s="35"/>
      <c r="B965" s="35"/>
      <c r="C965" s="35"/>
      <c r="D965" s="35"/>
      <c r="E965" s="35"/>
      <c r="F965" s="35"/>
      <c r="G965" s="35"/>
      <c r="H965" s="35"/>
      <c r="I965" s="35"/>
      <c r="J965" s="35"/>
      <c r="K965" s="35"/>
      <c r="L965" s="35"/>
      <c r="M965" s="35"/>
      <c r="N965" s="35"/>
      <c r="O965" s="35"/>
      <c r="P965" s="35"/>
      <c r="Q965" s="35"/>
      <c r="R965" s="35"/>
      <c r="S965" s="35"/>
      <c r="T965" s="35"/>
      <c r="U965" s="35"/>
      <c r="V965" s="35"/>
      <c r="W965" s="35"/>
      <c r="X965" s="35"/>
      <c r="Y965" s="35"/>
      <c r="Z965" s="35"/>
      <c r="AA965" s="35"/>
      <c r="AB965" s="35"/>
      <c r="AC965" s="35"/>
      <c r="AD965" s="35"/>
      <c r="AE965" s="35"/>
      <c r="AF965" s="35"/>
      <c r="AG965" s="35"/>
      <c r="AH965" s="35"/>
      <c r="AI965" s="35"/>
      <c r="AJ965" s="35"/>
      <c r="AK965" s="35"/>
    </row>
    <row r="966" ht="12.75" customHeight="1">
      <c r="A966" s="35"/>
      <c r="B966" s="35"/>
      <c r="C966" s="35"/>
      <c r="D966" s="35"/>
      <c r="E966" s="35"/>
      <c r="F966" s="35"/>
      <c r="G966" s="35"/>
      <c r="H966" s="35"/>
      <c r="I966" s="35"/>
      <c r="J966" s="35"/>
      <c r="K966" s="35"/>
      <c r="L966" s="35"/>
      <c r="M966" s="35"/>
      <c r="N966" s="35"/>
      <c r="O966" s="35"/>
      <c r="P966" s="35"/>
      <c r="Q966" s="35"/>
      <c r="R966" s="35"/>
      <c r="S966" s="35"/>
      <c r="T966" s="35"/>
      <c r="U966" s="35"/>
      <c r="V966" s="35"/>
      <c r="W966" s="35"/>
      <c r="X966" s="35"/>
      <c r="Y966" s="35"/>
      <c r="Z966" s="35"/>
      <c r="AA966" s="35"/>
      <c r="AB966" s="35"/>
      <c r="AC966" s="35"/>
      <c r="AD966" s="35"/>
      <c r="AE966" s="35"/>
      <c r="AF966" s="35"/>
      <c r="AG966" s="35"/>
      <c r="AH966" s="35"/>
      <c r="AI966" s="35"/>
      <c r="AJ966" s="35"/>
      <c r="AK966" s="35"/>
    </row>
    <row r="967" ht="12.75" customHeight="1">
      <c r="A967" s="35"/>
      <c r="B967" s="35"/>
      <c r="C967" s="35"/>
      <c r="D967" s="35"/>
      <c r="E967" s="35"/>
      <c r="F967" s="35"/>
      <c r="G967" s="35"/>
      <c r="H967" s="35"/>
      <c r="I967" s="35"/>
      <c r="J967" s="35"/>
      <c r="K967" s="35"/>
      <c r="L967" s="35"/>
      <c r="M967" s="35"/>
      <c r="N967" s="35"/>
      <c r="O967" s="35"/>
      <c r="P967" s="35"/>
      <c r="Q967" s="35"/>
      <c r="R967" s="35"/>
      <c r="S967" s="35"/>
      <c r="T967" s="35"/>
      <c r="U967" s="35"/>
      <c r="V967" s="35"/>
      <c r="W967" s="35"/>
      <c r="X967" s="35"/>
      <c r="Y967" s="35"/>
      <c r="Z967" s="35"/>
      <c r="AA967" s="35"/>
      <c r="AB967" s="35"/>
      <c r="AC967" s="35"/>
      <c r="AD967" s="35"/>
      <c r="AE967" s="35"/>
      <c r="AF967" s="35"/>
      <c r="AG967" s="35"/>
      <c r="AH967" s="35"/>
      <c r="AI967" s="35"/>
      <c r="AJ967" s="35"/>
      <c r="AK967" s="35"/>
    </row>
    <row r="968" ht="12.75" customHeight="1">
      <c r="A968" s="35"/>
      <c r="B968" s="35"/>
      <c r="C968" s="35"/>
      <c r="D968" s="35"/>
      <c r="E968" s="35"/>
      <c r="F968" s="35"/>
      <c r="G968" s="35"/>
      <c r="H968" s="35"/>
      <c r="I968" s="35"/>
      <c r="J968" s="35"/>
      <c r="K968" s="35"/>
      <c r="L968" s="35"/>
      <c r="M968" s="35"/>
      <c r="N968" s="35"/>
      <c r="O968" s="35"/>
      <c r="P968" s="35"/>
      <c r="Q968" s="35"/>
      <c r="R968" s="35"/>
      <c r="S968" s="35"/>
      <c r="T968" s="35"/>
      <c r="U968" s="35"/>
      <c r="V968" s="35"/>
      <c r="W968" s="35"/>
      <c r="X968" s="35"/>
      <c r="Y968" s="35"/>
      <c r="Z968" s="35"/>
      <c r="AA968" s="35"/>
      <c r="AB968" s="35"/>
      <c r="AC968" s="35"/>
      <c r="AD968" s="35"/>
      <c r="AE968" s="35"/>
      <c r="AF968" s="35"/>
      <c r="AG968" s="35"/>
      <c r="AH968" s="35"/>
      <c r="AI968" s="35"/>
      <c r="AJ968" s="35"/>
      <c r="AK968" s="35"/>
    </row>
    <row r="969" ht="12.75" customHeight="1">
      <c r="A969" s="35"/>
      <c r="B969" s="35"/>
      <c r="C969" s="35"/>
      <c r="D969" s="35"/>
      <c r="E969" s="35"/>
      <c r="F969" s="35"/>
      <c r="G969" s="35"/>
      <c r="H969" s="35"/>
      <c r="I969" s="35"/>
      <c r="J969" s="35"/>
      <c r="K969" s="35"/>
      <c r="L969" s="35"/>
      <c r="M969" s="35"/>
      <c r="N969" s="35"/>
      <c r="O969" s="35"/>
      <c r="P969" s="35"/>
      <c r="Q969" s="35"/>
      <c r="R969" s="35"/>
      <c r="S969" s="35"/>
      <c r="T969" s="35"/>
      <c r="U969" s="35"/>
      <c r="V969" s="35"/>
      <c r="W969" s="35"/>
      <c r="X969" s="35"/>
      <c r="Y969" s="35"/>
      <c r="Z969" s="35"/>
      <c r="AA969" s="35"/>
      <c r="AB969" s="35"/>
      <c r="AC969" s="35"/>
      <c r="AD969" s="35"/>
      <c r="AE969" s="35"/>
      <c r="AF969" s="35"/>
      <c r="AG969" s="35"/>
      <c r="AH969" s="35"/>
      <c r="AI969" s="35"/>
      <c r="AJ969" s="35"/>
      <c r="AK969" s="35"/>
    </row>
    <row r="970" ht="12.75" customHeight="1">
      <c r="A970" s="35"/>
      <c r="B970" s="35"/>
      <c r="C970" s="35"/>
      <c r="D970" s="35"/>
      <c r="E970" s="35"/>
      <c r="F970" s="35"/>
      <c r="G970" s="35"/>
      <c r="H970" s="35"/>
      <c r="I970" s="35"/>
      <c r="J970" s="35"/>
      <c r="K970" s="35"/>
      <c r="L970" s="35"/>
      <c r="M970" s="35"/>
      <c r="N970" s="35"/>
      <c r="O970" s="35"/>
      <c r="P970" s="35"/>
      <c r="Q970" s="35"/>
      <c r="R970" s="35"/>
      <c r="S970" s="35"/>
      <c r="T970" s="35"/>
      <c r="U970" s="35"/>
      <c r="V970" s="35"/>
      <c r="W970" s="35"/>
      <c r="X970" s="35"/>
      <c r="Y970" s="35"/>
      <c r="Z970" s="35"/>
      <c r="AA970" s="35"/>
      <c r="AB970" s="35"/>
      <c r="AC970" s="35"/>
      <c r="AD970" s="35"/>
      <c r="AE970" s="35"/>
      <c r="AF970" s="35"/>
      <c r="AG970" s="35"/>
      <c r="AH970" s="35"/>
      <c r="AI970" s="35"/>
      <c r="AJ970" s="35"/>
      <c r="AK970" s="35"/>
    </row>
    <row r="971" ht="12.75" customHeight="1">
      <c r="A971" s="35"/>
      <c r="B971" s="35"/>
      <c r="C971" s="35"/>
      <c r="D971" s="35"/>
      <c r="E971" s="35"/>
      <c r="F971" s="35"/>
      <c r="G971" s="35"/>
      <c r="H971" s="35"/>
      <c r="I971" s="35"/>
      <c r="J971" s="35"/>
      <c r="K971" s="35"/>
      <c r="L971" s="35"/>
      <c r="M971" s="35"/>
      <c r="N971" s="35"/>
      <c r="O971" s="35"/>
      <c r="P971" s="35"/>
      <c r="Q971" s="35"/>
      <c r="R971" s="35"/>
      <c r="S971" s="35"/>
      <c r="T971" s="35"/>
      <c r="U971" s="35"/>
      <c r="V971" s="35"/>
      <c r="W971" s="35"/>
      <c r="X971" s="35"/>
      <c r="Y971" s="35"/>
      <c r="Z971" s="35"/>
      <c r="AA971" s="35"/>
      <c r="AB971" s="35"/>
      <c r="AC971" s="35"/>
      <c r="AD971" s="35"/>
      <c r="AE971" s="35"/>
      <c r="AF971" s="35"/>
      <c r="AG971" s="35"/>
      <c r="AH971" s="35"/>
      <c r="AI971" s="35"/>
      <c r="AJ971" s="35"/>
      <c r="AK971" s="35"/>
    </row>
    <row r="972" ht="12.75" customHeight="1">
      <c r="A972" s="35"/>
      <c r="B972" s="35"/>
      <c r="C972" s="35"/>
      <c r="D972" s="35"/>
      <c r="E972" s="35"/>
      <c r="F972" s="35"/>
      <c r="G972" s="35"/>
      <c r="H972" s="35"/>
      <c r="I972" s="35"/>
      <c r="J972" s="35"/>
      <c r="K972" s="35"/>
      <c r="L972" s="35"/>
      <c r="M972" s="35"/>
      <c r="N972" s="35"/>
      <c r="O972" s="35"/>
      <c r="P972" s="35"/>
      <c r="Q972" s="35"/>
      <c r="R972" s="35"/>
      <c r="S972" s="35"/>
      <c r="T972" s="35"/>
      <c r="U972" s="35"/>
      <c r="V972" s="35"/>
      <c r="W972" s="35"/>
      <c r="X972" s="35"/>
      <c r="Y972" s="35"/>
      <c r="Z972" s="35"/>
      <c r="AA972" s="35"/>
      <c r="AB972" s="35"/>
      <c r="AC972" s="35"/>
      <c r="AD972" s="35"/>
      <c r="AE972" s="35"/>
      <c r="AF972" s="35"/>
      <c r="AG972" s="35"/>
      <c r="AH972" s="35"/>
      <c r="AI972" s="35"/>
      <c r="AJ972" s="35"/>
      <c r="AK972" s="35"/>
    </row>
    <row r="973" ht="12.75" customHeight="1">
      <c r="A973" s="35"/>
      <c r="B973" s="35"/>
      <c r="C973" s="35"/>
      <c r="D973" s="35"/>
      <c r="E973" s="35"/>
      <c r="F973" s="35"/>
      <c r="G973" s="35"/>
      <c r="H973" s="35"/>
      <c r="I973" s="35"/>
      <c r="J973" s="35"/>
      <c r="K973" s="35"/>
      <c r="L973" s="35"/>
      <c r="M973" s="35"/>
      <c r="N973" s="35"/>
      <c r="O973" s="35"/>
      <c r="P973" s="35"/>
      <c r="Q973" s="35"/>
      <c r="R973" s="35"/>
      <c r="S973" s="35"/>
      <c r="T973" s="35"/>
      <c r="U973" s="35"/>
      <c r="V973" s="35"/>
      <c r="W973" s="35"/>
      <c r="X973" s="35"/>
      <c r="Y973" s="35"/>
      <c r="Z973" s="35"/>
      <c r="AA973" s="35"/>
      <c r="AB973" s="35"/>
      <c r="AC973" s="35"/>
      <c r="AD973" s="35"/>
      <c r="AE973" s="35"/>
      <c r="AF973" s="35"/>
      <c r="AG973" s="35"/>
      <c r="AH973" s="35"/>
      <c r="AI973" s="35"/>
      <c r="AJ973" s="35"/>
      <c r="AK973" s="35"/>
    </row>
    <row r="974" ht="12.75" customHeight="1">
      <c r="A974" s="35"/>
      <c r="B974" s="35"/>
      <c r="C974" s="35"/>
      <c r="D974" s="35"/>
      <c r="E974" s="35"/>
      <c r="F974" s="35"/>
      <c r="G974" s="35"/>
      <c r="H974" s="35"/>
      <c r="I974" s="35"/>
      <c r="J974" s="35"/>
      <c r="K974" s="35"/>
      <c r="L974" s="35"/>
      <c r="M974" s="35"/>
      <c r="N974" s="35"/>
      <c r="O974" s="35"/>
      <c r="P974" s="35"/>
      <c r="Q974" s="35"/>
      <c r="R974" s="35"/>
      <c r="S974" s="35"/>
      <c r="T974" s="35"/>
      <c r="U974" s="35"/>
      <c r="V974" s="35"/>
      <c r="W974" s="35"/>
      <c r="X974" s="35"/>
      <c r="Y974" s="35"/>
      <c r="Z974" s="35"/>
      <c r="AA974" s="35"/>
      <c r="AB974" s="35"/>
      <c r="AC974" s="35"/>
      <c r="AD974" s="35"/>
      <c r="AE974" s="35"/>
      <c r="AF974" s="35"/>
      <c r="AG974" s="35"/>
      <c r="AH974" s="35"/>
      <c r="AI974" s="35"/>
      <c r="AJ974" s="35"/>
      <c r="AK974" s="35"/>
    </row>
    <row r="975" ht="12.75" customHeight="1">
      <c r="A975" s="35"/>
      <c r="B975" s="35"/>
      <c r="C975" s="35"/>
      <c r="D975" s="35"/>
      <c r="E975" s="35"/>
      <c r="F975" s="35"/>
      <c r="G975" s="35"/>
      <c r="H975" s="35"/>
      <c r="I975" s="35"/>
      <c r="J975" s="35"/>
      <c r="K975" s="35"/>
      <c r="L975" s="35"/>
      <c r="M975" s="35"/>
      <c r="N975" s="35"/>
      <c r="O975" s="35"/>
      <c r="P975" s="35"/>
      <c r="Q975" s="35"/>
      <c r="R975" s="35"/>
      <c r="S975" s="35"/>
      <c r="T975" s="35"/>
      <c r="U975" s="35"/>
      <c r="V975" s="35"/>
      <c r="W975" s="35"/>
      <c r="X975" s="35"/>
      <c r="Y975" s="35"/>
      <c r="Z975" s="35"/>
      <c r="AA975" s="35"/>
      <c r="AB975" s="35"/>
      <c r="AC975" s="35"/>
      <c r="AD975" s="35"/>
      <c r="AE975" s="35"/>
      <c r="AF975" s="35"/>
      <c r="AG975" s="35"/>
      <c r="AH975" s="35"/>
      <c r="AI975" s="35"/>
      <c r="AJ975" s="35"/>
      <c r="AK975" s="35"/>
    </row>
    <row r="976" ht="12.75" customHeight="1">
      <c r="A976" s="35"/>
      <c r="B976" s="35"/>
      <c r="C976" s="35"/>
      <c r="D976" s="35"/>
      <c r="E976" s="35"/>
      <c r="F976" s="35"/>
      <c r="G976" s="35"/>
      <c r="H976" s="35"/>
      <c r="I976" s="35"/>
      <c r="J976" s="35"/>
      <c r="K976" s="35"/>
      <c r="L976" s="35"/>
      <c r="M976" s="35"/>
      <c r="N976" s="35"/>
      <c r="O976" s="35"/>
      <c r="P976" s="35"/>
      <c r="Q976" s="35"/>
      <c r="R976" s="35"/>
      <c r="S976" s="35"/>
      <c r="T976" s="35"/>
      <c r="U976" s="35"/>
      <c r="V976" s="35"/>
      <c r="W976" s="35"/>
      <c r="X976" s="35"/>
      <c r="Y976" s="35"/>
      <c r="Z976" s="35"/>
      <c r="AA976" s="35"/>
      <c r="AB976" s="35"/>
      <c r="AC976" s="35"/>
      <c r="AD976" s="35"/>
      <c r="AE976" s="35"/>
      <c r="AF976" s="35"/>
      <c r="AG976" s="35"/>
      <c r="AH976" s="35"/>
      <c r="AI976" s="35"/>
      <c r="AJ976" s="35"/>
      <c r="AK976" s="35"/>
    </row>
    <row r="977" ht="12.75" customHeight="1">
      <c r="A977" s="35"/>
      <c r="B977" s="35"/>
      <c r="C977" s="35"/>
      <c r="D977" s="35"/>
      <c r="E977" s="35"/>
      <c r="F977" s="35"/>
      <c r="G977" s="35"/>
      <c r="H977" s="35"/>
      <c r="I977" s="35"/>
      <c r="J977" s="35"/>
      <c r="K977" s="35"/>
      <c r="L977" s="35"/>
      <c r="M977" s="35"/>
      <c r="N977" s="35"/>
      <c r="O977" s="35"/>
      <c r="P977" s="35"/>
      <c r="Q977" s="35"/>
      <c r="R977" s="35"/>
      <c r="S977" s="35"/>
      <c r="T977" s="35"/>
      <c r="U977" s="35"/>
      <c r="V977" s="35"/>
      <c r="W977" s="35"/>
      <c r="X977" s="35"/>
      <c r="Y977" s="35"/>
      <c r="Z977" s="35"/>
      <c r="AA977" s="35"/>
      <c r="AB977" s="35"/>
      <c r="AC977" s="35"/>
      <c r="AD977" s="35"/>
      <c r="AE977" s="35"/>
      <c r="AF977" s="35"/>
      <c r="AG977" s="35"/>
      <c r="AH977" s="35"/>
      <c r="AI977" s="35"/>
      <c r="AJ977" s="35"/>
      <c r="AK977" s="35"/>
    </row>
    <row r="978" ht="12.75" customHeight="1">
      <c r="A978" s="35"/>
      <c r="B978" s="35"/>
      <c r="C978" s="35"/>
      <c r="D978" s="35"/>
      <c r="E978" s="35"/>
      <c r="F978" s="35"/>
      <c r="G978" s="35"/>
      <c r="H978" s="35"/>
      <c r="I978" s="35"/>
      <c r="J978" s="35"/>
      <c r="K978" s="35"/>
      <c r="L978" s="35"/>
      <c r="M978" s="35"/>
      <c r="N978" s="35"/>
      <c r="O978" s="35"/>
      <c r="P978" s="35"/>
      <c r="Q978" s="35"/>
      <c r="R978" s="35"/>
      <c r="S978" s="35"/>
      <c r="T978" s="35"/>
      <c r="U978" s="35"/>
      <c r="V978" s="35"/>
      <c r="W978" s="35"/>
      <c r="X978" s="35"/>
      <c r="Y978" s="35"/>
      <c r="Z978" s="35"/>
      <c r="AA978" s="35"/>
      <c r="AB978" s="35"/>
      <c r="AC978" s="35"/>
      <c r="AD978" s="35"/>
      <c r="AE978" s="35"/>
      <c r="AF978" s="35"/>
      <c r="AG978" s="35"/>
      <c r="AH978" s="35"/>
      <c r="AI978" s="35"/>
      <c r="AJ978" s="35"/>
      <c r="AK978" s="35"/>
    </row>
    <row r="979" ht="12.75" customHeight="1">
      <c r="A979" s="35"/>
      <c r="B979" s="35"/>
      <c r="C979" s="35"/>
      <c r="D979" s="35"/>
      <c r="E979" s="35"/>
      <c r="F979" s="35"/>
      <c r="G979" s="35"/>
      <c r="H979" s="35"/>
      <c r="I979" s="35"/>
      <c r="J979" s="35"/>
      <c r="K979" s="35"/>
      <c r="L979" s="35"/>
      <c r="M979" s="35"/>
      <c r="N979" s="35"/>
      <c r="O979" s="35"/>
      <c r="P979" s="35"/>
      <c r="Q979" s="35"/>
      <c r="R979" s="35"/>
      <c r="S979" s="35"/>
      <c r="T979" s="35"/>
      <c r="U979" s="35"/>
      <c r="V979" s="35"/>
      <c r="W979" s="35"/>
      <c r="X979" s="35"/>
      <c r="Y979" s="35"/>
      <c r="Z979" s="35"/>
      <c r="AA979" s="35"/>
      <c r="AB979" s="35"/>
      <c r="AC979" s="35"/>
      <c r="AD979" s="35"/>
      <c r="AE979" s="35"/>
      <c r="AF979" s="35"/>
      <c r="AG979" s="35"/>
      <c r="AH979" s="35"/>
      <c r="AI979" s="35"/>
      <c r="AJ979" s="35"/>
      <c r="AK979" s="35"/>
    </row>
    <row r="980" ht="12.75" customHeight="1">
      <c r="A980" s="35"/>
      <c r="B980" s="35"/>
      <c r="C980" s="35"/>
      <c r="D980" s="35"/>
      <c r="E980" s="35"/>
      <c r="F980" s="35"/>
      <c r="G980" s="35"/>
      <c r="H980" s="35"/>
      <c r="I980" s="35"/>
      <c r="J980" s="35"/>
      <c r="K980" s="35"/>
      <c r="L980" s="35"/>
      <c r="M980" s="35"/>
      <c r="N980" s="35"/>
      <c r="O980" s="35"/>
      <c r="P980" s="35"/>
      <c r="Q980" s="35"/>
      <c r="R980" s="35"/>
      <c r="S980" s="35"/>
      <c r="T980" s="35"/>
      <c r="U980" s="35"/>
      <c r="V980" s="35"/>
      <c r="W980" s="35"/>
      <c r="X980" s="35"/>
      <c r="Y980" s="35"/>
      <c r="Z980" s="35"/>
      <c r="AA980" s="35"/>
      <c r="AB980" s="35"/>
      <c r="AC980" s="35"/>
      <c r="AD980" s="35"/>
      <c r="AE980" s="35"/>
      <c r="AF980" s="35"/>
      <c r="AG980" s="35"/>
      <c r="AH980" s="35"/>
      <c r="AI980" s="35"/>
      <c r="AJ980" s="35"/>
      <c r="AK980" s="35"/>
    </row>
    <row r="981" ht="12.75" customHeight="1">
      <c r="A981" s="35"/>
      <c r="B981" s="35"/>
      <c r="C981" s="35"/>
      <c r="D981" s="35"/>
      <c r="E981" s="35"/>
      <c r="F981" s="35"/>
      <c r="G981" s="35"/>
      <c r="H981" s="35"/>
      <c r="I981" s="35"/>
      <c r="J981" s="35"/>
      <c r="K981" s="35"/>
      <c r="L981" s="35"/>
      <c r="M981" s="35"/>
      <c r="N981" s="35"/>
      <c r="O981" s="35"/>
      <c r="P981" s="35"/>
      <c r="Q981" s="35"/>
      <c r="R981" s="35"/>
      <c r="S981" s="35"/>
      <c r="T981" s="35"/>
      <c r="U981" s="35"/>
      <c r="V981" s="35"/>
      <c r="W981" s="35"/>
      <c r="X981" s="35"/>
      <c r="Y981" s="35"/>
      <c r="Z981" s="35"/>
      <c r="AA981" s="35"/>
      <c r="AB981" s="35"/>
      <c r="AC981" s="35"/>
      <c r="AD981" s="35"/>
      <c r="AE981" s="35"/>
      <c r="AF981" s="35"/>
      <c r="AG981" s="35"/>
      <c r="AH981" s="35"/>
      <c r="AI981" s="35"/>
      <c r="AJ981" s="35"/>
      <c r="AK981" s="35"/>
    </row>
    <row r="982" ht="12.75" customHeight="1">
      <c r="A982" s="35"/>
      <c r="B982" s="35"/>
      <c r="C982" s="35"/>
      <c r="D982" s="35"/>
      <c r="E982" s="35"/>
      <c r="F982" s="35"/>
      <c r="G982" s="35"/>
      <c r="H982" s="35"/>
      <c r="I982" s="35"/>
      <c r="J982" s="35"/>
      <c r="K982" s="35"/>
      <c r="L982" s="35"/>
      <c r="M982" s="35"/>
      <c r="N982" s="35"/>
      <c r="O982" s="35"/>
      <c r="P982" s="35"/>
      <c r="Q982" s="35"/>
      <c r="R982" s="35"/>
      <c r="S982" s="35"/>
      <c r="T982" s="35"/>
      <c r="U982" s="35"/>
      <c r="V982" s="35"/>
      <c r="W982" s="35"/>
      <c r="X982" s="35"/>
      <c r="Y982" s="35"/>
      <c r="Z982" s="35"/>
      <c r="AA982" s="35"/>
      <c r="AB982" s="35"/>
      <c r="AC982" s="35"/>
      <c r="AD982" s="35"/>
      <c r="AE982" s="35"/>
      <c r="AF982" s="35"/>
      <c r="AG982" s="35"/>
      <c r="AH982" s="35"/>
      <c r="AI982" s="35"/>
      <c r="AJ982" s="35"/>
      <c r="AK982" s="35"/>
    </row>
    <row r="983" ht="12.75" customHeight="1">
      <c r="A983" s="35"/>
      <c r="B983" s="35"/>
      <c r="C983" s="35"/>
      <c r="D983" s="35"/>
      <c r="E983" s="35"/>
      <c r="F983" s="35"/>
      <c r="G983" s="35"/>
      <c r="H983" s="35"/>
      <c r="I983" s="35"/>
      <c r="J983" s="35"/>
      <c r="K983" s="35"/>
      <c r="L983" s="35"/>
      <c r="M983" s="35"/>
      <c r="N983" s="35"/>
      <c r="O983" s="35"/>
      <c r="P983" s="35"/>
      <c r="Q983" s="35"/>
      <c r="R983" s="35"/>
      <c r="S983" s="35"/>
      <c r="T983" s="35"/>
      <c r="U983" s="35"/>
      <c r="V983" s="35"/>
      <c r="W983" s="35"/>
      <c r="X983" s="35"/>
      <c r="Y983" s="35"/>
      <c r="Z983" s="35"/>
      <c r="AA983" s="35"/>
      <c r="AB983" s="35"/>
      <c r="AC983" s="35"/>
      <c r="AD983" s="35"/>
      <c r="AE983" s="35"/>
      <c r="AF983" s="35"/>
      <c r="AG983" s="35"/>
      <c r="AH983" s="35"/>
      <c r="AI983" s="35"/>
      <c r="AJ983" s="35"/>
      <c r="AK983" s="35"/>
    </row>
    <row r="984" ht="12.75" customHeight="1">
      <c r="A984" s="35"/>
      <c r="B984" s="35"/>
      <c r="C984" s="35"/>
      <c r="D984" s="35"/>
      <c r="E984" s="35"/>
      <c r="F984" s="35"/>
      <c r="G984" s="35"/>
      <c r="H984" s="35"/>
      <c r="I984" s="35"/>
      <c r="J984" s="35"/>
      <c r="K984" s="35"/>
      <c r="L984" s="35"/>
      <c r="M984" s="35"/>
      <c r="N984" s="35"/>
      <c r="O984" s="35"/>
      <c r="P984" s="35"/>
      <c r="Q984" s="35"/>
      <c r="R984" s="35"/>
      <c r="S984" s="35"/>
      <c r="T984" s="35"/>
      <c r="U984" s="35"/>
      <c r="V984" s="35"/>
      <c r="W984" s="35"/>
      <c r="X984" s="35"/>
      <c r="Y984" s="35"/>
      <c r="Z984" s="35"/>
      <c r="AA984" s="35"/>
      <c r="AB984" s="35"/>
      <c r="AC984" s="35"/>
      <c r="AD984" s="35"/>
      <c r="AE984" s="35"/>
      <c r="AF984" s="35"/>
      <c r="AG984" s="35"/>
      <c r="AH984" s="35"/>
      <c r="AI984" s="35"/>
      <c r="AJ984" s="35"/>
      <c r="AK984" s="35"/>
    </row>
    <row r="985" ht="12.75" customHeight="1">
      <c r="A985" s="35"/>
      <c r="B985" s="35"/>
      <c r="C985" s="35"/>
      <c r="D985" s="35"/>
      <c r="E985" s="35"/>
      <c r="F985" s="35"/>
      <c r="G985" s="35"/>
      <c r="H985" s="35"/>
      <c r="I985" s="35"/>
      <c r="J985" s="35"/>
      <c r="K985" s="35"/>
      <c r="L985" s="35"/>
      <c r="M985" s="35"/>
      <c r="N985" s="35"/>
      <c r="O985" s="35"/>
      <c r="P985" s="35"/>
      <c r="Q985" s="35"/>
      <c r="R985" s="35"/>
      <c r="S985" s="35"/>
      <c r="T985" s="35"/>
      <c r="U985" s="35"/>
      <c r="V985" s="35"/>
      <c r="W985" s="35"/>
      <c r="X985" s="35"/>
      <c r="Y985" s="35"/>
      <c r="Z985" s="35"/>
      <c r="AA985" s="35"/>
      <c r="AB985" s="35"/>
      <c r="AC985" s="35"/>
      <c r="AD985" s="35"/>
      <c r="AE985" s="35"/>
      <c r="AF985" s="35"/>
      <c r="AG985" s="35"/>
      <c r="AH985" s="35"/>
      <c r="AI985" s="35"/>
      <c r="AJ985" s="35"/>
      <c r="AK985" s="35"/>
    </row>
    <row r="986" ht="12.75" customHeight="1">
      <c r="A986" s="35"/>
      <c r="B986" s="35"/>
      <c r="C986" s="35"/>
      <c r="D986" s="35"/>
      <c r="E986" s="35"/>
      <c r="F986" s="35"/>
      <c r="G986" s="35"/>
      <c r="H986" s="35"/>
      <c r="I986" s="35"/>
      <c r="J986" s="35"/>
      <c r="K986" s="35"/>
      <c r="L986" s="35"/>
      <c r="M986" s="35"/>
      <c r="N986" s="35"/>
      <c r="O986" s="35"/>
      <c r="P986" s="35"/>
      <c r="Q986" s="35"/>
      <c r="R986" s="35"/>
      <c r="S986" s="35"/>
      <c r="T986" s="35"/>
      <c r="U986" s="35"/>
      <c r="V986" s="35"/>
      <c r="W986" s="35"/>
      <c r="X986" s="35"/>
      <c r="Y986" s="35"/>
      <c r="Z986" s="35"/>
      <c r="AA986" s="35"/>
      <c r="AB986" s="35"/>
      <c r="AC986" s="35"/>
      <c r="AD986" s="35"/>
      <c r="AE986" s="35"/>
      <c r="AF986" s="35"/>
      <c r="AG986" s="35"/>
      <c r="AH986" s="35"/>
      <c r="AI986" s="35"/>
      <c r="AJ986" s="35"/>
      <c r="AK986" s="35"/>
    </row>
    <row r="987" ht="12.75" customHeight="1">
      <c r="A987" s="35"/>
      <c r="B987" s="35"/>
      <c r="C987" s="35"/>
      <c r="D987" s="35"/>
      <c r="E987" s="35"/>
      <c r="F987" s="35"/>
      <c r="G987" s="35"/>
      <c r="H987" s="35"/>
      <c r="I987" s="35"/>
      <c r="J987" s="35"/>
      <c r="K987" s="35"/>
      <c r="L987" s="35"/>
      <c r="M987" s="35"/>
      <c r="N987" s="35"/>
      <c r="O987" s="35"/>
      <c r="P987" s="35"/>
      <c r="Q987" s="35"/>
      <c r="R987" s="35"/>
      <c r="S987" s="35"/>
      <c r="T987" s="35"/>
      <c r="U987" s="35"/>
      <c r="V987" s="35"/>
      <c r="W987" s="35"/>
      <c r="X987" s="35"/>
      <c r="Y987" s="35"/>
      <c r="Z987" s="35"/>
      <c r="AA987" s="35"/>
      <c r="AB987" s="35"/>
      <c r="AC987" s="35"/>
      <c r="AD987" s="35"/>
      <c r="AE987" s="35"/>
      <c r="AF987" s="35"/>
      <c r="AG987" s="35"/>
      <c r="AH987" s="35"/>
      <c r="AI987" s="35"/>
      <c r="AJ987" s="35"/>
      <c r="AK987" s="35"/>
    </row>
    <row r="988" ht="12.75" customHeight="1">
      <c r="A988" s="35"/>
      <c r="B988" s="35"/>
      <c r="C988" s="35"/>
      <c r="D988" s="35"/>
      <c r="E988" s="35"/>
      <c r="F988" s="35"/>
      <c r="G988" s="35"/>
      <c r="H988" s="35"/>
      <c r="I988" s="35"/>
      <c r="J988" s="35"/>
      <c r="K988" s="35"/>
      <c r="L988" s="35"/>
      <c r="M988" s="35"/>
      <c r="N988" s="35"/>
      <c r="O988" s="35"/>
      <c r="P988" s="35"/>
      <c r="Q988" s="35"/>
      <c r="R988" s="35"/>
      <c r="S988" s="35"/>
      <c r="T988" s="35"/>
      <c r="U988" s="35"/>
      <c r="V988" s="35"/>
      <c r="W988" s="35"/>
      <c r="X988" s="35"/>
      <c r="Y988" s="35"/>
      <c r="Z988" s="35"/>
      <c r="AA988" s="35"/>
      <c r="AB988" s="35"/>
      <c r="AC988" s="35"/>
      <c r="AD988" s="35"/>
      <c r="AE988" s="35"/>
      <c r="AF988" s="35"/>
      <c r="AG988" s="35"/>
      <c r="AH988" s="35"/>
      <c r="AI988" s="35"/>
      <c r="AJ988" s="35"/>
      <c r="AK988" s="35"/>
    </row>
    <row r="989" ht="12.75" customHeight="1">
      <c r="A989" s="35"/>
      <c r="B989" s="35"/>
      <c r="C989" s="35"/>
      <c r="D989" s="35"/>
      <c r="E989" s="35"/>
      <c r="F989" s="35"/>
      <c r="G989" s="35"/>
      <c r="H989" s="35"/>
      <c r="I989" s="35"/>
      <c r="J989" s="35"/>
      <c r="K989" s="35"/>
      <c r="L989" s="35"/>
      <c r="M989" s="35"/>
      <c r="N989" s="35"/>
      <c r="O989" s="35"/>
      <c r="P989" s="35"/>
      <c r="Q989" s="35"/>
      <c r="R989" s="35"/>
      <c r="S989" s="35"/>
      <c r="T989" s="35"/>
      <c r="U989" s="35"/>
      <c r="V989" s="35"/>
      <c r="W989" s="35"/>
      <c r="X989" s="35"/>
      <c r="Y989" s="35"/>
      <c r="Z989" s="35"/>
      <c r="AA989" s="35"/>
      <c r="AB989" s="35"/>
      <c r="AC989" s="35"/>
      <c r="AD989" s="35"/>
      <c r="AE989" s="35"/>
      <c r="AF989" s="35"/>
      <c r="AG989" s="35"/>
      <c r="AH989" s="35"/>
      <c r="AI989" s="35"/>
      <c r="AJ989" s="35"/>
      <c r="AK989" s="35"/>
    </row>
    <row r="990" ht="12.75" customHeight="1">
      <c r="A990" s="35"/>
      <c r="B990" s="35"/>
      <c r="C990" s="35"/>
      <c r="D990" s="35"/>
      <c r="E990" s="35"/>
      <c r="F990" s="35"/>
      <c r="G990" s="35"/>
      <c r="H990" s="35"/>
      <c r="I990" s="35"/>
      <c r="J990" s="35"/>
      <c r="K990" s="35"/>
      <c r="L990" s="35"/>
      <c r="M990" s="35"/>
      <c r="N990" s="35"/>
      <c r="O990" s="35"/>
      <c r="P990" s="35"/>
      <c r="Q990" s="35"/>
      <c r="R990" s="35"/>
      <c r="S990" s="35"/>
      <c r="T990" s="35"/>
      <c r="U990" s="35"/>
      <c r="V990" s="35"/>
      <c r="W990" s="35"/>
      <c r="X990" s="35"/>
      <c r="Y990" s="35"/>
      <c r="Z990" s="35"/>
      <c r="AA990" s="35"/>
      <c r="AB990" s="35"/>
      <c r="AC990" s="35"/>
      <c r="AD990" s="35"/>
      <c r="AE990" s="35"/>
      <c r="AF990" s="35"/>
      <c r="AG990" s="35"/>
      <c r="AH990" s="35"/>
      <c r="AI990" s="35"/>
      <c r="AJ990" s="35"/>
      <c r="AK990" s="35"/>
    </row>
    <row r="991" ht="12.75" customHeight="1">
      <c r="A991" s="35"/>
      <c r="B991" s="35"/>
      <c r="C991" s="35"/>
      <c r="D991" s="35"/>
      <c r="E991" s="35"/>
      <c r="F991" s="35"/>
      <c r="G991" s="35"/>
      <c r="H991" s="35"/>
      <c r="I991" s="35"/>
      <c r="J991" s="35"/>
      <c r="K991" s="35"/>
      <c r="L991" s="35"/>
      <c r="M991" s="35"/>
      <c r="N991" s="35"/>
      <c r="O991" s="35"/>
      <c r="P991" s="35"/>
      <c r="Q991" s="35"/>
      <c r="R991" s="35"/>
      <c r="S991" s="35"/>
      <c r="T991" s="35"/>
      <c r="U991" s="35"/>
      <c r="V991" s="35"/>
      <c r="W991" s="35"/>
      <c r="X991" s="35"/>
      <c r="Y991" s="35"/>
      <c r="Z991" s="35"/>
      <c r="AA991" s="35"/>
      <c r="AB991" s="35"/>
      <c r="AC991" s="35"/>
      <c r="AD991" s="35"/>
      <c r="AE991" s="35"/>
      <c r="AF991" s="35"/>
      <c r="AG991" s="35"/>
      <c r="AH991" s="35"/>
      <c r="AI991" s="35"/>
      <c r="AJ991" s="35"/>
      <c r="AK991" s="35"/>
    </row>
    <row r="992" ht="12.75" customHeight="1">
      <c r="A992" s="35"/>
      <c r="B992" s="35"/>
      <c r="C992" s="35"/>
      <c r="D992" s="35"/>
      <c r="E992" s="35"/>
      <c r="F992" s="35"/>
      <c r="G992" s="35"/>
      <c r="H992" s="35"/>
      <c r="I992" s="35"/>
      <c r="J992" s="35"/>
      <c r="K992" s="35"/>
      <c r="L992" s="35"/>
      <c r="M992" s="35"/>
      <c r="N992" s="35"/>
      <c r="O992" s="35"/>
      <c r="P992" s="35"/>
      <c r="Q992" s="35"/>
      <c r="R992" s="35"/>
      <c r="S992" s="35"/>
      <c r="T992" s="35"/>
      <c r="U992" s="35"/>
      <c r="V992" s="35"/>
      <c r="W992" s="35"/>
      <c r="X992" s="35"/>
      <c r="Y992" s="35"/>
      <c r="Z992" s="35"/>
      <c r="AA992" s="35"/>
      <c r="AB992" s="35"/>
      <c r="AC992" s="35"/>
      <c r="AD992" s="35"/>
      <c r="AE992" s="35"/>
      <c r="AF992" s="35"/>
      <c r="AG992" s="35"/>
      <c r="AH992" s="35"/>
      <c r="AI992" s="35"/>
      <c r="AJ992" s="35"/>
      <c r="AK992" s="35"/>
    </row>
    <row r="993" ht="12.75" customHeight="1">
      <c r="A993" s="35"/>
      <c r="B993" s="35"/>
      <c r="C993" s="35"/>
      <c r="D993" s="35"/>
      <c r="E993" s="35"/>
      <c r="F993" s="35"/>
      <c r="G993" s="35"/>
      <c r="H993" s="35"/>
      <c r="I993" s="35"/>
      <c r="J993" s="35"/>
      <c r="K993" s="35"/>
      <c r="L993" s="35"/>
      <c r="M993" s="35"/>
      <c r="N993" s="35"/>
      <c r="O993" s="35"/>
      <c r="P993" s="35"/>
      <c r="Q993" s="35"/>
      <c r="R993" s="35"/>
      <c r="S993" s="35"/>
      <c r="T993" s="35"/>
      <c r="U993" s="35"/>
      <c r="V993" s="35"/>
      <c r="W993" s="35"/>
      <c r="X993" s="35"/>
      <c r="Y993" s="35"/>
      <c r="Z993" s="35"/>
      <c r="AA993" s="35"/>
      <c r="AB993" s="35"/>
      <c r="AC993" s="35"/>
      <c r="AD993" s="35"/>
      <c r="AE993" s="35"/>
      <c r="AF993" s="35"/>
      <c r="AG993" s="35"/>
      <c r="AH993" s="35"/>
      <c r="AI993" s="35"/>
      <c r="AJ993" s="35"/>
      <c r="AK993" s="35"/>
    </row>
    <row r="994" ht="12.75" customHeight="1">
      <c r="A994" s="35"/>
      <c r="B994" s="35"/>
      <c r="C994" s="35"/>
      <c r="D994" s="35"/>
      <c r="E994" s="35"/>
      <c r="F994" s="35"/>
      <c r="G994" s="35"/>
      <c r="H994" s="35"/>
      <c r="I994" s="35"/>
      <c r="J994" s="35"/>
      <c r="K994" s="35"/>
      <c r="L994" s="35"/>
      <c r="M994" s="35"/>
      <c r="N994" s="35"/>
      <c r="O994" s="35"/>
      <c r="P994" s="35"/>
      <c r="Q994" s="35"/>
      <c r="R994" s="35"/>
      <c r="S994" s="35"/>
      <c r="T994" s="35"/>
      <c r="U994" s="35"/>
      <c r="V994" s="35"/>
      <c r="W994" s="35"/>
      <c r="X994" s="35"/>
      <c r="Y994" s="35"/>
      <c r="Z994" s="35"/>
      <c r="AA994" s="35"/>
      <c r="AB994" s="35"/>
      <c r="AC994" s="35"/>
      <c r="AD994" s="35"/>
      <c r="AE994" s="35"/>
      <c r="AF994" s="35"/>
      <c r="AG994" s="35"/>
      <c r="AH994" s="35"/>
      <c r="AI994" s="35"/>
      <c r="AJ994" s="35"/>
      <c r="AK994" s="35"/>
    </row>
    <row r="995" ht="12.75" customHeight="1">
      <c r="A995" s="35"/>
      <c r="B995" s="35"/>
      <c r="C995" s="35"/>
      <c r="D995" s="35"/>
      <c r="E995" s="35"/>
      <c r="F995" s="35"/>
      <c r="G995" s="35"/>
      <c r="H995" s="35"/>
      <c r="I995" s="35"/>
      <c r="J995" s="35"/>
      <c r="K995" s="35"/>
      <c r="L995" s="35"/>
      <c r="M995" s="35"/>
      <c r="N995" s="35"/>
      <c r="O995" s="35"/>
      <c r="P995" s="35"/>
      <c r="Q995" s="35"/>
      <c r="R995" s="35"/>
      <c r="S995" s="35"/>
      <c r="T995" s="35"/>
      <c r="U995" s="35"/>
      <c r="V995" s="35"/>
      <c r="W995" s="35"/>
      <c r="X995" s="35"/>
      <c r="Y995" s="35"/>
      <c r="Z995" s="35"/>
      <c r="AA995" s="35"/>
      <c r="AB995" s="35"/>
      <c r="AC995" s="35"/>
      <c r="AD995" s="35"/>
      <c r="AE995" s="35"/>
      <c r="AF995" s="35"/>
      <c r="AG995" s="35"/>
      <c r="AH995" s="35"/>
      <c r="AI995" s="35"/>
      <c r="AJ995" s="35"/>
      <c r="AK995" s="35"/>
    </row>
    <row r="996" ht="12.75" customHeight="1">
      <c r="A996" s="35"/>
      <c r="B996" s="35"/>
      <c r="C996" s="35"/>
      <c r="D996" s="35"/>
      <c r="E996" s="35"/>
      <c r="F996" s="35"/>
      <c r="G996" s="35"/>
      <c r="H996" s="35"/>
      <c r="I996" s="35"/>
      <c r="J996" s="35"/>
      <c r="K996" s="35"/>
      <c r="L996" s="35"/>
      <c r="M996" s="35"/>
      <c r="N996" s="35"/>
      <c r="O996" s="35"/>
      <c r="P996" s="35"/>
      <c r="Q996" s="35"/>
      <c r="R996" s="35"/>
      <c r="S996" s="35"/>
      <c r="T996" s="35"/>
      <c r="U996" s="35"/>
      <c r="V996" s="35"/>
      <c r="W996" s="35"/>
      <c r="X996" s="35"/>
      <c r="Y996" s="35"/>
      <c r="Z996" s="35"/>
      <c r="AA996" s="35"/>
      <c r="AB996" s="35"/>
      <c r="AC996" s="35"/>
      <c r="AD996" s="35"/>
      <c r="AE996" s="35"/>
      <c r="AF996" s="35"/>
      <c r="AG996" s="35"/>
      <c r="AH996" s="35"/>
      <c r="AI996" s="35"/>
      <c r="AJ996" s="35"/>
      <c r="AK996" s="35"/>
    </row>
    <row r="997" ht="12.75" customHeight="1">
      <c r="A997" s="35"/>
      <c r="B997" s="35"/>
      <c r="C997" s="35"/>
      <c r="D997" s="35"/>
      <c r="E997" s="35"/>
      <c r="F997" s="35"/>
      <c r="G997" s="35"/>
      <c r="H997" s="35"/>
      <c r="I997" s="35"/>
      <c r="J997" s="35"/>
      <c r="K997" s="35"/>
      <c r="L997" s="35"/>
      <c r="M997" s="35"/>
      <c r="N997" s="35"/>
      <c r="O997" s="35"/>
      <c r="P997" s="35"/>
      <c r="Q997" s="35"/>
      <c r="R997" s="35"/>
      <c r="S997" s="35"/>
      <c r="T997" s="35"/>
      <c r="U997" s="35"/>
      <c r="V997" s="35"/>
      <c r="W997" s="35"/>
      <c r="X997" s="35"/>
      <c r="Y997" s="35"/>
      <c r="Z997" s="35"/>
      <c r="AA997" s="35"/>
      <c r="AB997" s="35"/>
      <c r="AC997" s="35"/>
      <c r="AD997" s="35"/>
      <c r="AE997" s="35"/>
      <c r="AF997" s="35"/>
      <c r="AG997" s="35"/>
      <c r="AH997" s="35"/>
      <c r="AI997" s="35"/>
      <c r="AJ997" s="35"/>
      <c r="AK997" s="35"/>
    </row>
    <row r="998" ht="12.75" customHeight="1">
      <c r="A998" s="35"/>
      <c r="B998" s="35"/>
      <c r="C998" s="35"/>
      <c r="D998" s="35"/>
      <c r="E998" s="35"/>
      <c r="F998" s="35"/>
      <c r="G998" s="35"/>
      <c r="H998" s="35"/>
      <c r="I998" s="35"/>
      <c r="J998" s="35"/>
      <c r="K998" s="35"/>
      <c r="L998" s="35"/>
      <c r="M998" s="35"/>
      <c r="N998" s="35"/>
      <c r="O998" s="35"/>
      <c r="P998" s="35"/>
      <c r="Q998" s="35"/>
      <c r="R998" s="35"/>
      <c r="S998" s="35"/>
      <c r="T998" s="35"/>
      <c r="U998" s="35"/>
      <c r="V998" s="35"/>
      <c r="W998" s="35"/>
      <c r="X998" s="35"/>
      <c r="Y998" s="35"/>
      <c r="Z998" s="35"/>
      <c r="AA998" s="35"/>
      <c r="AB998" s="35"/>
      <c r="AC998" s="35"/>
      <c r="AD998" s="35"/>
      <c r="AE998" s="35"/>
      <c r="AF998" s="35"/>
      <c r="AG998" s="35"/>
      <c r="AH998" s="35"/>
      <c r="AI998" s="35"/>
      <c r="AJ998" s="35"/>
      <c r="AK998" s="35"/>
    </row>
    <row r="999" ht="12.75" customHeight="1">
      <c r="A999" s="35"/>
      <c r="B999" s="35"/>
      <c r="C999" s="35"/>
      <c r="D999" s="35"/>
      <c r="E999" s="35"/>
      <c r="F999" s="35"/>
      <c r="G999" s="35"/>
      <c r="H999" s="35"/>
      <c r="I999" s="35"/>
      <c r="J999" s="35"/>
      <c r="K999" s="35"/>
      <c r="L999" s="35"/>
      <c r="M999" s="35"/>
      <c r="N999" s="35"/>
      <c r="O999" s="35"/>
      <c r="P999" s="35"/>
      <c r="Q999" s="35"/>
      <c r="R999" s="35"/>
      <c r="S999" s="35"/>
      <c r="T999" s="35"/>
      <c r="U999" s="35"/>
      <c r="V999" s="35"/>
      <c r="W999" s="35"/>
      <c r="X999" s="35"/>
      <c r="Y999" s="35"/>
      <c r="Z999" s="35"/>
      <c r="AA999" s="35"/>
      <c r="AB999" s="35"/>
      <c r="AC999" s="35"/>
      <c r="AD999" s="35"/>
      <c r="AE999" s="35"/>
      <c r="AF999" s="35"/>
      <c r="AG999" s="35"/>
      <c r="AH999" s="35"/>
      <c r="AI999" s="35"/>
      <c r="AJ999" s="35"/>
      <c r="AK999" s="35"/>
    </row>
    <row r="1000" ht="12.75" customHeight="1">
      <c r="A1000" s="35"/>
      <c r="B1000" s="35"/>
      <c r="C1000" s="35"/>
      <c r="D1000" s="35"/>
      <c r="E1000" s="35"/>
      <c r="F1000" s="35"/>
      <c r="G1000" s="35"/>
      <c r="H1000" s="35"/>
      <c r="I1000" s="35"/>
      <c r="J1000" s="35"/>
      <c r="K1000" s="35"/>
      <c r="L1000" s="35"/>
      <c r="M1000" s="35"/>
      <c r="N1000" s="35"/>
      <c r="O1000" s="35"/>
      <c r="P1000" s="35"/>
      <c r="Q1000" s="35"/>
      <c r="R1000" s="35"/>
      <c r="S1000" s="35"/>
      <c r="T1000" s="35"/>
      <c r="U1000" s="35"/>
      <c r="V1000" s="35"/>
      <c r="W1000" s="35"/>
      <c r="X1000" s="35"/>
      <c r="Y1000" s="35"/>
      <c r="Z1000" s="35"/>
      <c r="AA1000" s="35"/>
      <c r="AB1000" s="35"/>
      <c r="AC1000" s="35"/>
      <c r="AD1000" s="35"/>
      <c r="AE1000" s="35"/>
      <c r="AF1000" s="35"/>
      <c r="AG1000" s="35"/>
      <c r="AH1000" s="35"/>
      <c r="AI1000" s="35"/>
      <c r="AJ1000" s="35"/>
      <c r="AK1000" s="35"/>
    </row>
  </sheetData>
  <printOptions/>
  <pageMargins bottom="0.75" footer="0.0" header="0.0" left="0.7" right="0.7" top="0.75"/>
  <pageSetup paperSize="9" orientation="portrait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>
    <pageSetUpPr/>
  </sheetPr>
  <sheetViews>
    <sheetView workbookViewId="0"/>
  </sheetViews>
  <sheetFormatPr customHeight="1" defaultColWidth="12.63" defaultRowHeight="15.0"/>
  <cols>
    <col customWidth="1" min="1" max="11" width="7.63"/>
    <col customWidth="1" min="12" max="12" width="10.75"/>
    <col customWidth="1" min="13" max="13" width="9.13"/>
    <col customWidth="1" min="14" max="14" width="1.25"/>
    <col customWidth="1" min="15" max="15" width="35.5"/>
    <col customWidth="1" min="16" max="26" width="7.63"/>
  </cols>
  <sheetData>
    <row r="1" ht="12.75" customHeight="1"/>
    <row r="2" ht="12.75" customHeight="1">
      <c r="L2" s="37" t="s">
        <v>56</v>
      </c>
      <c r="M2" s="37" t="s">
        <v>57</v>
      </c>
    </row>
    <row r="3" ht="12.75" customHeight="1">
      <c r="L3" s="37" t="s">
        <v>58</v>
      </c>
      <c r="M3" s="37" t="s">
        <v>59</v>
      </c>
    </row>
    <row r="4" ht="12.75" customHeight="1">
      <c r="L4" s="37" t="s">
        <v>60</v>
      </c>
      <c r="M4" s="37" t="s">
        <v>61</v>
      </c>
    </row>
    <row r="5" ht="12.75" customHeight="1">
      <c r="L5" s="37" t="s">
        <v>62</v>
      </c>
      <c r="M5" s="37" t="s">
        <v>63</v>
      </c>
    </row>
    <row r="6" ht="12.75" customHeight="1">
      <c r="L6" s="37" t="s">
        <v>64</v>
      </c>
      <c r="M6" s="37" t="s">
        <v>65</v>
      </c>
    </row>
    <row r="7" ht="12.75" customHeight="1"/>
    <row r="8" ht="12.75" customHeight="1"/>
    <row r="9" ht="12.75" customHeight="1">
      <c r="L9" s="2" t="s">
        <v>5</v>
      </c>
      <c r="M9" s="3"/>
    </row>
    <row r="10" ht="12.75" customHeight="1">
      <c r="L10" s="8" t="s">
        <v>8</v>
      </c>
      <c r="M10" s="42"/>
      <c r="O10" s="43" t="s">
        <v>66</v>
      </c>
    </row>
    <row r="11" ht="12.75" customHeight="1">
      <c r="L11" s="15" t="s">
        <v>13</v>
      </c>
      <c r="M11" s="44"/>
      <c r="O11" s="45" t="s">
        <v>66</v>
      </c>
    </row>
    <row r="12" ht="12.75" customHeight="1">
      <c r="L12" s="15" t="s">
        <v>16</v>
      </c>
      <c r="M12" s="44"/>
      <c r="O12" s="45" t="s">
        <v>66</v>
      </c>
    </row>
    <row r="13" ht="12.75" customHeight="1">
      <c r="L13" s="15" t="s">
        <v>19</v>
      </c>
      <c r="M13" s="44"/>
      <c r="O13" s="45" t="s">
        <v>66</v>
      </c>
    </row>
    <row r="14" ht="12.75" customHeight="1">
      <c r="L14" s="15" t="s">
        <v>21</v>
      </c>
      <c r="M14" s="44"/>
      <c r="O14" s="45" t="s">
        <v>67</v>
      </c>
    </row>
    <row r="15" ht="12.75" customHeight="1">
      <c r="L15" s="15" t="s">
        <v>24</v>
      </c>
      <c r="M15" s="44"/>
      <c r="O15" s="45" t="s">
        <v>66</v>
      </c>
    </row>
    <row r="16" ht="12.75" customHeight="1">
      <c r="L16" s="15" t="s">
        <v>26</v>
      </c>
      <c r="M16" s="44"/>
      <c r="O16" s="45" t="s">
        <v>67</v>
      </c>
    </row>
    <row r="17" ht="12.75" customHeight="1">
      <c r="L17" s="15" t="s">
        <v>28</v>
      </c>
      <c r="M17" s="44"/>
      <c r="O17" s="45" t="s">
        <v>68</v>
      </c>
    </row>
    <row r="18" ht="12.75" customHeight="1">
      <c r="L18" s="22" t="s">
        <v>31</v>
      </c>
      <c r="M18" s="46"/>
      <c r="O18" s="47" t="s">
        <v>69</v>
      </c>
    </row>
    <row r="19" ht="12.75" customHeight="1"/>
    <row r="20" ht="12.75" customHeight="1">
      <c r="L20" s="2" t="s">
        <v>6</v>
      </c>
      <c r="M20" s="3"/>
    </row>
    <row r="21" ht="12.75" customHeight="1">
      <c r="L21" s="8" t="s">
        <v>9</v>
      </c>
      <c r="M21" s="42"/>
      <c r="O21" s="43" t="s">
        <v>70</v>
      </c>
    </row>
    <row r="22" ht="12.75" customHeight="1">
      <c r="L22" s="15" t="s">
        <v>14</v>
      </c>
      <c r="M22" s="44"/>
      <c r="O22" s="45" t="s">
        <v>71</v>
      </c>
    </row>
    <row r="23" ht="12.75" customHeight="1">
      <c r="L23" s="15" t="s">
        <v>17</v>
      </c>
      <c r="M23" s="20"/>
      <c r="O23" s="45" t="s">
        <v>72</v>
      </c>
    </row>
    <row r="24" ht="12.75" customHeight="1">
      <c r="L24" s="15" t="s">
        <v>18</v>
      </c>
      <c r="M24" s="44"/>
      <c r="O24" s="45" t="s">
        <v>73</v>
      </c>
    </row>
    <row r="25" ht="12.75" customHeight="1">
      <c r="L25" s="15" t="s">
        <v>22</v>
      </c>
      <c r="M25" s="20"/>
      <c r="O25" s="45" t="s">
        <v>74</v>
      </c>
    </row>
    <row r="26" ht="12.75" customHeight="1">
      <c r="L26" s="15" t="s">
        <v>25</v>
      </c>
      <c r="M26" s="44"/>
      <c r="O26" s="45" t="s">
        <v>75</v>
      </c>
    </row>
    <row r="27" ht="12.75" customHeight="1">
      <c r="L27" s="15" t="s">
        <v>27</v>
      </c>
      <c r="M27" s="20"/>
      <c r="O27" s="45" t="s">
        <v>76</v>
      </c>
    </row>
    <row r="28" ht="12.75" customHeight="1">
      <c r="L28" s="15" t="s">
        <v>29</v>
      </c>
      <c r="M28" s="20"/>
      <c r="O28" s="45" t="s">
        <v>77</v>
      </c>
    </row>
    <row r="29" ht="12.75" customHeight="1">
      <c r="L29" s="22" t="s">
        <v>32</v>
      </c>
      <c r="M29" s="33"/>
      <c r="O29" s="47" t="s">
        <v>77</v>
      </c>
    </row>
    <row r="30" ht="12.75" customHeight="1"/>
    <row r="31" ht="12.75" customHeight="1">
      <c r="L31" s="8" t="s">
        <v>10</v>
      </c>
      <c r="M31" s="10"/>
      <c r="O31" s="43" t="s">
        <v>78</v>
      </c>
    </row>
    <row r="32" ht="12.75" customHeight="1">
      <c r="L32" s="15" t="s">
        <v>15</v>
      </c>
      <c r="M32" s="17"/>
      <c r="O32" s="45" t="s">
        <v>79</v>
      </c>
    </row>
    <row r="33" ht="12.75" customHeight="1">
      <c r="L33" s="15" t="s">
        <v>18</v>
      </c>
      <c r="M33" s="17"/>
      <c r="O33" s="45" t="s">
        <v>80</v>
      </c>
    </row>
    <row r="34" ht="12.75" customHeight="1">
      <c r="L34" s="22" t="s">
        <v>20</v>
      </c>
      <c r="M34" s="23"/>
      <c r="O34" s="45" t="s">
        <v>81</v>
      </c>
    </row>
    <row r="35" ht="12.75" customHeight="1">
      <c r="L35" s="8" t="s">
        <v>23</v>
      </c>
      <c r="M35" s="10"/>
      <c r="O35" s="45" t="s">
        <v>78</v>
      </c>
    </row>
    <row r="36" ht="12.75" customHeight="1">
      <c r="L36" s="15" t="s">
        <v>15</v>
      </c>
      <c r="M36" s="17"/>
      <c r="O36" s="45" t="s">
        <v>82</v>
      </c>
    </row>
    <row r="37" ht="12.75" customHeight="1">
      <c r="L37" s="28" t="s">
        <v>18</v>
      </c>
      <c r="M37" s="29"/>
      <c r="O37" s="45" t="s">
        <v>83</v>
      </c>
    </row>
    <row r="38" ht="12.75" customHeight="1">
      <c r="L38" s="22" t="s">
        <v>30</v>
      </c>
      <c r="M38" s="31"/>
      <c r="O38" s="47" t="s">
        <v>84</v>
      </c>
    </row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L9:M9"/>
    <mergeCell ref="L20:M20"/>
  </mergeCells>
  <printOptions/>
  <pageMargins bottom="0.75" footer="0.0" header="0.0" left="0.7" right="0.7" top="0.75"/>
  <pageSetup paperSize="9" orientation="portrait"/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2014-05-27T03:12:34Z</dcterms:created>
  <dc:creator>chamatto</dc:creator>
</cp:coreProperties>
</file>